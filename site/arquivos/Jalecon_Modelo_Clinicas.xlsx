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eia-me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Unidade" sheetId="4" state="visible" r:id="rId4"/>
    <sheet xmlns:r="http://schemas.openxmlformats.org/officeDocument/2006/relationships" name="Modelo C" sheetId="5" state="visible" r:id="rId5"/>
    <sheet xmlns:r="http://schemas.openxmlformats.org/officeDocument/2006/relationships" name="Cenarios" sheetId="6" state="visible" r:id="rId6"/>
    <sheet xmlns:r="http://schemas.openxmlformats.org/officeDocument/2006/relationships" name="Sensibilida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-"/>
    <numFmt numFmtId="165" formatCode="R$ #,##0;(R$ #,##0);-"/>
    <numFmt numFmtId="166" formatCode="0.0%;(0.0%);-"/>
    <numFmt numFmtId="167" formatCode="0.0&quot;x&quot;"/>
    <numFmt numFmtId="168" formatCode="#,##0.0;(#,##0.0);-"/>
    <numFmt numFmtId="169" formatCode="R$ #,##0"/>
    <numFmt numFmtId="170" formatCode="0.0%"/>
    <numFmt numFmtId="171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2440"/>
      <sz val="14"/>
    </font>
    <font>
      <name val="Arial"/>
      <color rgb="00000000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b val="1"/>
      <color rgb="00000000"/>
    </font>
  </fonts>
  <fills count="5">
    <fill>
      <patternFill/>
    </fill>
    <fill>
      <patternFill patternType="gray125"/>
    </fill>
    <fill>
      <patternFill patternType="solid">
        <fgColor rgb="00FBE9E0"/>
      </patternFill>
    </fill>
    <fill>
      <patternFill patternType="solid">
        <fgColor rgb="00E9EBF2"/>
      </patternFill>
    </fill>
    <fill>
      <patternFill patternType="solid">
        <fgColor rgb="001F24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5" fillId="4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center" wrapText="1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2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5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4" fontId="6" fillId="0" borderId="0" pivotButton="0" quotePrefix="0" xfId="0"/>
    <xf numFmtId="0" fontId="3" fillId="2" borderId="0" pivotButton="0" quotePrefix="0" xfId="0"/>
    <xf numFmtId="165" fontId="6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5" fontId="6" fillId="0" borderId="0" pivotButton="0" quotePrefix="0" xfId="0"/>
    <xf numFmtId="165" fontId="6" fillId="2" borderId="0" pivotButton="0" quotePrefix="0" xfId="0"/>
    <xf numFmtId="169" fontId="0" fillId="0" borderId="0" pivotButton="0" quotePrefix="0" xfId="0"/>
    <xf numFmtId="1" fontId="0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7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Jalecon Clínicas (Modelo C) · Resumo</t>
        </is>
      </c>
    </row>
    <row r="2">
      <c r="A2" s="2" t="inlineStr">
        <is>
          <t>Cenário:</t>
        </is>
      </c>
      <c r="B2" s="2">
        <f>Premissas!$D$3</f>
        <v/>
      </c>
    </row>
    <row r="3">
      <c r="A3" s="3" t="inlineStr">
        <is>
          <t>Troque o cenário na aba Premissas, célula C3. Valores em reais nominais.</t>
        </is>
      </c>
    </row>
    <row r="5">
      <c r="A5" s="4" t="inlineStr">
        <is>
          <t>Ano a ano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Indicador</t>
        </is>
      </c>
      <c r="B6" s="7" t="inlineStr">
        <is>
          <t>Ano 1</t>
        </is>
      </c>
      <c r="C6" s="7" t="inlineStr">
        <is>
          <t>Ano 2</t>
        </is>
      </c>
      <c r="D6" s="7" t="inlineStr">
        <is>
          <t>Ano 3</t>
        </is>
      </c>
      <c r="E6" s="7" t="inlineStr">
        <is>
          <t>Ano 4</t>
        </is>
      </c>
      <c r="F6" s="7" t="inlineStr">
        <is>
          <t>Ano 5</t>
        </is>
      </c>
      <c r="G6" s="7" t="inlineStr">
        <is>
          <t>Ano 6</t>
        </is>
      </c>
      <c r="H6" s="7" t="inlineStr">
        <is>
          <t>Ano 7</t>
        </is>
      </c>
    </row>
    <row r="7">
      <c r="A7" s="3" t="inlineStr">
        <is>
          <t>Clínicas ativas (fim do ano)</t>
        </is>
      </c>
      <c r="B7" s="8">
        <f>INDEX('Modelo C'!$C$36:$CH$36,1,12)</f>
        <v/>
      </c>
      <c r="C7" s="8">
        <f>INDEX('Modelo C'!$C$36:$CH$36,1,24)</f>
        <v/>
      </c>
      <c r="D7" s="8">
        <f>INDEX('Modelo C'!$C$36:$CH$36,1,36)</f>
        <v/>
      </c>
      <c r="E7" s="8">
        <f>INDEX('Modelo C'!$C$36:$CH$36,1,48)</f>
        <v/>
      </c>
      <c r="F7" s="8">
        <f>INDEX('Modelo C'!$C$36:$CH$36,1,60)</f>
        <v/>
      </c>
      <c r="G7" s="8">
        <f>INDEX('Modelo C'!$C$36:$CH$36,1,72)</f>
        <v/>
      </c>
      <c r="H7" s="8">
        <f>INDEX('Modelo C'!$C$36:$CH$36,1,84)</f>
        <v/>
      </c>
    </row>
    <row r="8">
      <c r="A8" s="3" t="inlineStr">
        <is>
          <t>Clínicas novas no ano</t>
        </is>
      </c>
      <c r="B8" s="8">
        <f>SUMIF('Modelo C'!$C$3:$CH$3,1,'Modelo C'!$C$15:$CH$15)</f>
        <v/>
      </c>
      <c r="C8" s="8">
        <f>SUMIF('Modelo C'!$C$3:$CH$3,2,'Modelo C'!$C$15:$CH$15)</f>
        <v/>
      </c>
      <c r="D8" s="8">
        <f>SUMIF('Modelo C'!$C$3:$CH$3,3,'Modelo C'!$C$15:$CH$15)</f>
        <v/>
      </c>
      <c r="E8" s="8">
        <f>SUMIF('Modelo C'!$C$3:$CH$3,4,'Modelo C'!$C$15:$CH$15)</f>
        <v/>
      </c>
      <c r="F8" s="8">
        <f>SUMIF('Modelo C'!$C$3:$CH$3,5,'Modelo C'!$C$15:$CH$15)</f>
        <v/>
      </c>
      <c r="G8" s="8">
        <f>SUMIF('Modelo C'!$C$3:$CH$3,6,'Modelo C'!$C$15:$CH$15)</f>
        <v/>
      </c>
      <c r="H8" s="8">
        <f>SUMIF('Modelo C'!$C$3:$CH$3,7,'Modelo C'!$C$15:$CH$15)</f>
        <v/>
      </c>
    </row>
    <row r="9">
      <c r="A9" s="3" t="inlineStr">
        <is>
          <t>Receita bruta</t>
        </is>
      </c>
      <c r="B9" s="27">
        <f>SUMIF('Modelo C'!$C$3:$CH$3,1,'Modelo C'!$C$43:$CH$43)</f>
        <v/>
      </c>
      <c r="C9" s="27">
        <f>SUMIF('Modelo C'!$C$3:$CH$3,2,'Modelo C'!$C$43:$CH$43)</f>
        <v/>
      </c>
      <c r="D9" s="27">
        <f>SUMIF('Modelo C'!$C$3:$CH$3,3,'Modelo C'!$C$43:$CH$43)</f>
        <v/>
      </c>
      <c r="E9" s="27">
        <f>SUMIF('Modelo C'!$C$3:$CH$3,4,'Modelo C'!$C$43:$CH$43)</f>
        <v/>
      </c>
      <c r="F9" s="27">
        <f>SUMIF('Modelo C'!$C$3:$CH$3,5,'Modelo C'!$C$43:$CH$43)</f>
        <v/>
      </c>
      <c r="G9" s="27">
        <f>SUMIF('Modelo C'!$C$3:$CH$3,6,'Modelo C'!$C$43:$CH$43)</f>
        <v/>
      </c>
      <c r="H9" s="27">
        <f>SUMIF('Modelo C'!$C$3:$CH$3,7,'Modelo C'!$C$43:$CH$43)</f>
        <v/>
      </c>
    </row>
    <row r="10">
      <c r="A10" s="3" t="inlineStr">
        <is>
          <t>Receita recorrente anualizada (fim do ano)</t>
        </is>
      </c>
      <c r="B10" s="27">
        <f>INDEX('Modelo C'!$C$45:$CH$45,1,12)</f>
        <v/>
      </c>
      <c r="C10" s="27">
        <f>INDEX('Modelo C'!$C$45:$CH$45,1,24)</f>
        <v/>
      </c>
      <c r="D10" s="27">
        <f>INDEX('Modelo C'!$C$45:$CH$45,1,36)</f>
        <v/>
      </c>
      <c r="E10" s="27">
        <f>INDEX('Modelo C'!$C$45:$CH$45,1,48)</f>
        <v/>
      </c>
      <c r="F10" s="27">
        <f>INDEX('Modelo C'!$C$45:$CH$45,1,60)</f>
        <v/>
      </c>
      <c r="G10" s="27">
        <f>INDEX('Modelo C'!$C$45:$CH$45,1,72)</f>
        <v/>
      </c>
      <c r="H10" s="27">
        <f>INDEX('Modelo C'!$C$45:$CH$45,1,84)</f>
        <v/>
      </c>
    </row>
    <row r="11">
      <c r="A11" s="3" t="inlineStr">
        <is>
          <t>Mensalidade média por clínica (fim do ano)</t>
        </is>
      </c>
      <c r="B11" s="27">
        <f>INDEX('Modelo C'!$C$46:$CH$46,1,12)</f>
        <v/>
      </c>
      <c r="C11" s="27">
        <f>INDEX('Modelo C'!$C$46:$CH$46,1,24)</f>
        <v/>
      </c>
      <c r="D11" s="27">
        <f>INDEX('Modelo C'!$C$46:$CH$46,1,36)</f>
        <v/>
      </c>
      <c r="E11" s="27">
        <f>INDEX('Modelo C'!$C$46:$CH$46,1,48)</f>
        <v/>
      </c>
      <c r="F11" s="27">
        <f>INDEX('Modelo C'!$C$46:$CH$46,1,60)</f>
        <v/>
      </c>
      <c r="G11" s="27">
        <f>INDEX('Modelo C'!$C$46:$CH$46,1,72)</f>
        <v/>
      </c>
      <c r="H11" s="27">
        <f>INDEX('Modelo C'!$C$46:$CH$46,1,84)</f>
        <v/>
      </c>
    </row>
    <row r="12">
      <c r="A12" s="3" t="inlineStr">
        <is>
          <t>Lucro bruto</t>
        </is>
      </c>
      <c r="B12" s="27">
        <f>SUMIF('Modelo C'!$C$3:$CH$3,1,'Modelo C'!$C$57:$CH$57)</f>
        <v/>
      </c>
      <c r="C12" s="27">
        <f>SUMIF('Modelo C'!$C$3:$CH$3,2,'Modelo C'!$C$57:$CH$57)</f>
        <v/>
      </c>
      <c r="D12" s="27">
        <f>SUMIF('Modelo C'!$C$3:$CH$3,3,'Modelo C'!$C$57:$CH$57)</f>
        <v/>
      </c>
      <c r="E12" s="27">
        <f>SUMIF('Modelo C'!$C$3:$CH$3,4,'Modelo C'!$C$57:$CH$57)</f>
        <v/>
      </c>
      <c r="F12" s="27">
        <f>SUMIF('Modelo C'!$C$3:$CH$3,5,'Modelo C'!$C$57:$CH$57)</f>
        <v/>
      </c>
      <c r="G12" s="27">
        <f>SUMIF('Modelo C'!$C$3:$CH$3,6,'Modelo C'!$C$57:$CH$57)</f>
        <v/>
      </c>
      <c r="H12" s="27">
        <f>SUMIF('Modelo C'!$C$3:$CH$3,7,'Modelo C'!$C$57:$CH$57)</f>
        <v/>
      </c>
    </row>
    <row r="13">
      <c r="A13" s="3" t="inlineStr">
        <is>
          <t>Margem bruta (sobre a receita líquida)</t>
        </is>
      </c>
      <c r="B13" s="28">
        <f>IFERROR(SUMIF('Modelo C'!$C$3:$CH$3,1,'Modelo C'!$C$57:$CH$57)/SUMIF('Modelo C'!$C$3:$CH$3,1,'Modelo C'!$C$49:$CH$49),0)</f>
        <v/>
      </c>
      <c r="C13" s="28">
        <f>IFERROR(SUMIF('Modelo C'!$C$3:$CH$3,2,'Modelo C'!$C$57:$CH$57)/SUMIF('Modelo C'!$C$3:$CH$3,2,'Modelo C'!$C$49:$CH$49),0)</f>
        <v/>
      </c>
      <c r="D13" s="28">
        <f>IFERROR(SUMIF('Modelo C'!$C$3:$CH$3,3,'Modelo C'!$C$57:$CH$57)/SUMIF('Modelo C'!$C$3:$CH$3,3,'Modelo C'!$C$49:$CH$49),0)</f>
        <v/>
      </c>
      <c r="E13" s="28">
        <f>IFERROR(SUMIF('Modelo C'!$C$3:$CH$3,4,'Modelo C'!$C$57:$CH$57)/SUMIF('Modelo C'!$C$3:$CH$3,4,'Modelo C'!$C$49:$CH$49),0)</f>
        <v/>
      </c>
      <c r="F13" s="28">
        <f>IFERROR(SUMIF('Modelo C'!$C$3:$CH$3,5,'Modelo C'!$C$57:$CH$57)/SUMIF('Modelo C'!$C$3:$CH$3,5,'Modelo C'!$C$49:$CH$49),0)</f>
        <v/>
      </c>
      <c r="G13" s="28">
        <f>IFERROR(SUMIF('Modelo C'!$C$3:$CH$3,6,'Modelo C'!$C$57:$CH$57)/SUMIF('Modelo C'!$C$3:$CH$3,6,'Modelo C'!$C$49:$CH$49),0)</f>
        <v/>
      </c>
      <c r="H13" s="28">
        <f>IFERROR(SUMIF('Modelo C'!$C$3:$CH$3,7,'Modelo C'!$C$57:$CH$57)/SUMIF('Modelo C'!$C$3:$CH$3,7,'Modelo C'!$C$49:$CH$49),0)</f>
        <v/>
      </c>
    </row>
    <row r="14">
      <c r="A14" s="3" t="inlineStr">
        <is>
          <t>EBITDA</t>
        </is>
      </c>
      <c r="B14" s="27">
        <f>SUMIF('Modelo C'!$C$3:$CH$3,1,'Modelo C'!$C$75:$CH$75)</f>
        <v/>
      </c>
      <c r="C14" s="27">
        <f>SUMIF('Modelo C'!$C$3:$CH$3,2,'Modelo C'!$C$75:$CH$75)</f>
        <v/>
      </c>
      <c r="D14" s="27">
        <f>SUMIF('Modelo C'!$C$3:$CH$3,3,'Modelo C'!$C$75:$CH$75)</f>
        <v/>
      </c>
      <c r="E14" s="27">
        <f>SUMIF('Modelo C'!$C$3:$CH$3,4,'Modelo C'!$C$75:$CH$75)</f>
        <v/>
      </c>
      <c r="F14" s="27">
        <f>SUMIF('Modelo C'!$C$3:$CH$3,5,'Modelo C'!$C$75:$CH$75)</f>
        <v/>
      </c>
      <c r="G14" s="27">
        <f>SUMIF('Modelo C'!$C$3:$CH$3,6,'Modelo C'!$C$75:$CH$75)</f>
        <v/>
      </c>
      <c r="H14" s="27">
        <f>SUMIF('Modelo C'!$C$3:$CH$3,7,'Modelo C'!$C$75:$CH$75)</f>
        <v/>
      </c>
    </row>
    <row r="15">
      <c r="A15" s="3" t="inlineStr">
        <is>
          <t>Caixa acumulado sem captação (fim do ano)</t>
        </is>
      </c>
      <c r="B15" s="27">
        <f>INDEX('Modelo C'!$C$76:$CH$76,1,12)</f>
        <v/>
      </c>
      <c r="C15" s="27">
        <f>INDEX('Modelo C'!$C$76:$CH$76,1,24)</f>
        <v/>
      </c>
      <c r="D15" s="27">
        <f>INDEX('Modelo C'!$C$76:$CH$76,1,36)</f>
        <v/>
      </c>
      <c r="E15" s="27">
        <f>INDEX('Modelo C'!$C$76:$CH$76,1,48)</f>
        <v/>
      </c>
      <c r="F15" s="27">
        <f>INDEX('Modelo C'!$C$76:$CH$76,1,60)</f>
        <v/>
      </c>
      <c r="G15" s="27">
        <f>INDEX('Modelo C'!$C$76:$CH$76,1,72)</f>
        <v/>
      </c>
      <c r="H15" s="27">
        <f>INDEX('Modelo C'!$C$76:$CH$76,1,84)</f>
        <v/>
      </c>
    </row>
    <row r="16">
      <c r="A16" s="3" t="inlineStr">
        <is>
          <t>Pessoas (fim do ano)</t>
        </is>
      </c>
      <c r="B16" s="8">
        <f>INDEX('Modelo C'!$C$79:$CH$79,1,12)</f>
        <v/>
      </c>
      <c r="C16" s="8">
        <f>INDEX('Modelo C'!$C$79:$CH$79,1,24)</f>
        <v/>
      </c>
      <c r="D16" s="8">
        <f>INDEX('Modelo C'!$C$79:$CH$79,1,36)</f>
        <v/>
      </c>
      <c r="E16" s="8">
        <f>INDEX('Modelo C'!$C$79:$CH$79,1,48)</f>
        <v/>
      </c>
      <c r="F16" s="8">
        <f>INDEX('Modelo C'!$C$79:$CH$79,1,60)</f>
        <v/>
      </c>
      <c r="G16" s="8">
        <f>INDEX('Modelo C'!$C$79:$CH$79,1,72)</f>
        <v/>
      </c>
      <c r="H16" s="8">
        <f>INDEX('Modelo C'!$C$79:$CH$79,1,84)</f>
        <v/>
      </c>
    </row>
    <row r="17">
      <c r="A17" s="3" t="inlineStr">
        <is>
          <t>Participação no mercado endereçável (fim do ano)</t>
        </is>
      </c>
      <c r="B17" s="28">
        <f>INDEX('Modelo C'!$C$39:$CH$39,1,12)</f>
        <v/>
      </c>
      <c r="C17" s="28">
        <f>INDEX('Modelo C'!$C$39:$CH$39,1,24)</f>
        <v/>
      </c>
      <c r="D17" s="28">
        <f>INDEX('Modelo C'!$C$39:$CH$39,1,36)</f>
        <v/>
      </c>
      <c r="E17" s="28">
        <f>INDEX('Modelo C'!$C$39:$CH$39,1,48)</f>
        <v/>
      </c>
      <c r="F17" s="28">
        <f>INDEX('Modelo C'!$C$39:$CH$39,1,60)</f>
        <v/>
      </c>
      <c r="G17" s="28">
        <f>INDEX('Modelo C'!$C$39:$CH$39,1,72)</f>
        <v/>
      </c>
      <c r="H17" s="28">
        <f>INDEX('Modelo C'!$C$39:$CH$39,1,84)</f>
        <v/>
      </c>
    </row>
    <row r="19">
      <c r="A19" s="4" t="inlineStr">
        <is>
          <t>Indicadores-chave e critérios de corte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s="6" t="inlineStr">
        <is>
          <t>Indicador</t>
        </is>
      </c>
      <c r="B20" s="7" t="inlineStr">
        <is>
          <t>Modelo C</t>
        </is>
      </c>
      <c r="C20" s="7" t="inlineStr">
        <is>
          <t>Critério</t>
        </is>
      </c>
      <c r="D20" s="7" t="inlineStr">
        <is>
          <t>Passa?</t>
        </is>
      </c>
    </row>
    <row r="21">
      <c r="A21" s="3" t="inlineStr">
        <is>
          <t>Receita recorrente anualizada no ano 5</t>
        </is>
      </c>
      <c r="B21" s="27">
        <f>INDEX('Modelo C'!$C$45:$CH$45,1,60)</f>
        <v/>
      </c>
    </row>
    <row r="22">
      <c r="A22" s="3" t="inlineStr">
        <is>
          <t>Receita recorrente anualizada no ano 7</t>
        </is>
      </c>
      <c r="B22" s="27">
        <f>INDEX('Modelo C'!$C$45:$CH$45,1,84)</f>
        <v/>
      </c>
    </row>
    <row r="23">
      <c r="A23" s="3" t="inlineStr">
        <is>
          <t>Mês de equilíbrio (EBITDA positivo daí em diante)</t>
        </is>
      </c>
      <c r="B23" s="8">
        <f>IFERROR(1/(1/MIN('Modelo C'!$C$77:$CH$77)),"não chega")</f>
        <v/>
      </c>
    </row>
    <row r="24">
      <c r="A24" s="3" t="inlineStr">
        <is>
          <t>Capital necessário (pior caixa acumulado)</t>
        </is>
      </c>
      <c r="B24" s="27">
        <f>-MIN(0,MIN('Modelo C'!$C$76:$CH$76))</f>
        <v/>
      </c>
    </row>
    <row r="25">
      <c r="A25" s="3" t="inlineStr">
        <is>
          <t>Margem bruta no ano 5</t>
        </is>
      </c>
      <c r="B25" s="28">
        <f>SUMIF('Modelo C'!$C$3:$CH$3,5,'Modelo C'!$C$57:$CH$57)/SUMIF('Modelo C'!$C$3:$CH$3,5,'Modelo C'!$C$49:$CH$49)</f>
        <v/>
      </c>
      <c r="C25" s="28">
        <f>Premissas!$F$75</f>
        <v/>
      </c>
      <c r="D25" s="3">
        <f>IF(B25&gt;=Premissas!$F$75,"Sim","Não")</f>
        <v/>
      </c>
    </row>
    <row r="26">
      <c r="A26" s="3" t="inlineStr">
        <is>
          <t>LTV/CAC ponderado pelo mix, com CAC total do ano 5</t>
        </is>
      </c>
      <c r="B26" s="11">
        <f>Unidade!H8</f>
        <v/>
      </c>
      <c r="C26" s="11">
        <f>Premissas!$F$76</f>
        <v/>
      </c>
      <c r="D26" s="3">
        <f>IF(B26&gt;=Premissas!$F$76,"Sim","Não")</f>
        <v/>
      </c>
    </row>
    <row r="27">
      <c r="A27" s="3" t="inlineStr">
        <is>
          <t>Recuperação do CAC total, ponderada (meses)</t>
        </is>
      </c>
      <c r="B27" s="12">
        <f>Unidade!I8</f>
        <v/>
      </c>
      <c r="C27" s="12">
        <f>Premissas!$F$77</f>
        <v/>
      </c>
      <c r="D27" s="3">
        <f>IF(B27&lt;=Premissas!$F$77,"Sim","Não")</f>
        <v/>
      </c>
    </row>
    <row r="28">
      <c r="A28" s="3" t="inlineStr">
        <is>
          <t>LTV/CAC ponderado com CAC só de mídia (comparável ao v2.1)</t>
        </is>
      </c>
      <c r="B28" s="11">
        <f>Unidade!G8/Unidade!B12</f>
        <v/>
      </c>
    </row>
    <row r="29">
      <c r="A29" s="3" t="inlineStr">
        <is>
          <t>CAC total no ano 5</t>
        </is>
      </c>
      <c r="B29" s="27">
        <f>Unidade!B11</f>
        <v/>
      </c>
    </row>
    <row r="30">
      <c r="A30" s="3" t="inlineStr">
        <is>
          <t>Mês em que a receita anualizada chega a R$ 50 mi</t>
        </is>
      </c>
      <c r="B30" s="8">
        <f>IFERROR(1/(1/MIN('Modelo C'!$C$78:$CH$78)),"não chega")</f>
        <v/>
      </c>
    </row>
    <row r="31">
      <c r="A31" s="3" t="inlineStr">
        <is>
          <t>Participação no mercado nesse mês</t>
        </is>
      </c>
      <c r="B31" s="28">
        <f>IF(ISNUMBER(B30),INDEX('Modelo C'!$C$39:$CH$39,1,B30),"")</f>
        <v/>
      </c>
      <c r="C31" s="28">
        <f>Premissas!$F$79</f>
        <v/>
      </c>
      <c r="D31" s="3">
        <f>IF(ISNUMBER(B31),IF(B31&lt;=Premissas!$F$79,"Sim","Não"),"Não chega a R$ 50 mi")</f>
        <v/>
      </c>
    </row>
    <row r="32">
      <c r="A32" s="3" t="inlineStr">
        <is>
          <t>Receita de expansão no ano 5, como % das mensalidades</t>
        </is>
      </c>
      <c r="B32" s="28">
        <f>SUMIF('Modelo C'!$C$3:$CH$3,5,'Modelo C'!$C$41:$CH$41)/SUMIF('Modelo C'!$C$3:$CH$3,5,'Modelo C'!$C$40:$CH$40)</f>
        <v/>
      </c>
    </row>
    <row r="33">
      <c r="A33" s="3" t="inlineStr">
        <is>
          <t>Receita por pessoa no ano 5</t>
        </is>
      </c>
      <c r="B33" s="27">
        <f>SUMIF('Modelo C'!$C$3:$CH$3,5,'Modelo C'!$C$43:$CH$43)/INDEX('Modelo C'!$C$79:$CH$79,1,60)</f>
        <v/>
      </c>
    </row>
    <row r="34">
      <c r="A34" s="3" t="inlineStr">
        <is>
          <t>Clínicas ativas no ano 5</t>
        </is>
      </c>
      <c r="B34" s="8">
        <f>INDEX('Modelo C'!$C$36:$CH$36,1,60)</f>
        <v/>
      </c>
    </row>
    <row r="35">
      <c r="A35" s="3" t="inlineStr">
        <is>
          <t>Especialistas nas contas no ano 5</t>
        </is>
      </c>
      <c r="B35" s="12">
        <f>INDEX('Modelo C'!$C$53:$CH$53,1,60)</f>
        <v/>
      </c>
    </row>
    <row r="37">
      <c r="A37" s="3" t="inlineStr">
        <is>
          <t>Como ler: H6 exige as três linhas com 'Sim' (margem, LTV/CAC e recuperação do CAC). H7 exige R$ 50 mi de receita anualizada em até 7 anos com no máximo 3% do mercado endereçável.</t>
        </is>
      </c>
    </row>
    <row r="38">
      <c r="A38" s="3" t="inlineStr">
        <is>
          <t>As abas Cenarios e Sensibilidade são geradas pelo script sensibilidade_clinicas.py: são valores, não fórmulas.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 t="inlineStr">
        <is>
          <t>Jalecon Clínicas (Modelo C) · Como usar este modelo</t>
        </is>
      </c>
    </row>
    <row r="2">
      <c r="A2" s="14" t="inlineStr">
        <is>
          <t>Pivô avaliado depois do memorando 08: a mesma agência operada por agentes de IA, vendida a clínicas privadas de 2 a 15 médicos (e redes), em vez de médicos individuais.</t>
        </is>
      </c>
    </row>
    <row r="3">
      <c r="A3" s="14" t="inlineStr">
        <is>
          <t>O que muda em relação ao Modelo B do v2.1: planos por porte da clínica (R$ 2.900, R$ 4.900 e R$ 8.900), venda ativa com duplas de SDR e executivo, receita de expansão quando a clínica contrata médicos ou abre unidades, e mercado contado em clínicas.</t>
        </is>
      </c>
    </row>
    <row r="4">
      <c r="A4" s="14" t="inlineStr">
        <is>
          <t>O que não muda: impostos, critérios de corte (H6 e H7), mecânica de caixa e cobrança por consulta desligada (art. 59 do Código de Ética Médica).</t>
        </is>
      </c>
    </row>
    <row r="5">
      <c r="A5" s="14" t="inlineStr">
        <is>
          <t>Critério de LTV/CAC mais exigente que no v2.1: usa o CAC total (mídia, duplas, marketing, comissões e marca divididos pelas clínicas novas do ano 5), e não só o CAC de mídia. O LTV não inclui receita de expansão.</t>
        </is>
      </c>
    </row>
    <row r="6">
      <c r="A6" s="14" t="inlineStr">
        <is>
          <t>Abas: Resumo, Leia-me, Unidade (economia por clínica), Premissas, Modelo C (84 meses), Cenarios e Sensibilidade (geradas por script).</t>
        </is>
      </c>
    </row>
    <row r="7">
      <c r="A7" s="14" t="inlineStr">
        <is>
          <t>Limitações: tamanho do mercado, churn, produtividade de vendas e horas por clínica são referências de mercado, não medição própria. Não há sazonalidade nem reforma tributária.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90" customWidth="1" min="7" max="7"/>
  </cols>
  <sheetData>
    <row r="1">
      <c r="A1" s="1" t="inlineStr">
        <is>
          <t>Jalecon Clínicas (Modelo C) · Premissas</t>
        </is>
      </c>
    </row>
    <row r="2">
      <c r="A2" s="3" t="inlineStr">
        <is>
          <t>Texto azul = premissa editável. A coluna F (Usado) segue o cenário escolhido em C3. A coluna G diz de onde veio cada número.</t>
        </is>
      </c>
    </row>
    <row r="3">
      <c r="A3" s="2" t="inlineStr">
        <is>
          <t>Cenário (1 = Conservador, 2 = Base, 3 = Otimista)</t>
        </is>
      </c>
      <c r="C3" s="15" t="n">
        <v>2</v>
      </c>
      <c r="D3" s="2">
        <f>CHOOSE(C3,"Conservador","Base","Otimista")</f>
        <v/>
      </c>
    </row>
    <row r="6">
      <c r="A6" s="4" t="inlineStr">
        <is>
          <t>1. Gerais</t>
        </is>
      </c>
      <c r="B6" s="5" t="n"/>
      <c r="C6" s="5" t="n"/>
      <c r="D6" s="5" t="n"/>
      <c r="E6" s="5" t="n"/>
      <c r="F6" s="5" t="n"/>
      <c r="G6" s="5" t="n"/>
    </row>
    <row r="7">
      <c r="A7" s="6" t="inlineStr">
        <is>
          <t>Premissa</t>
        </is>
      </c>
      <c r="B7" s="7" t="inlineStr">
        <is>
          <t>Unidade</t>
        </is>
      </c>
      <c r="C7" s="7" t="inlineStr">
        <is>
          <t>Conservador</t>
        </is>
      </c>
      <c r="D7" s="7" t="inlineStr">
        <is>
          <t>Base</t>
        </is>
      </c>
      <c r="E7" s="7" t="inlineStr">
        <is>
          <t>Otimista</t>
        </is>
      </c>
      <c r="F7" s="7" t="inlineStr">
        <is>
          <t>Usado</t>
        </is>
      </c>
      <c r="G7" s="7" t="inlineStr">
        <is>
          <t>Fonte ou justificativa</t>
        </is>
      </c>
    </row>
    <row r="8">
      <c r="A8" s="3" t="inlineStr">
        <is>
          <t>Mês de lançamento comercial (antes: piloto concierge)</t>
        </is>
      </c>
      <c r="B8" s="3" t="inlineStr">
        <is>
          <t>mês</t>
        </is>
      </c>
      <c r="C8" s="16" t="n">
        <v>5</v>
      </c>
      <c r="D8" s="16" t="n">
        <v>4</v>
      </c>
      <c r="E8" s="16" t="n">
        <v>4</v>
      </c>
      <c r="F8" s="8">
        <f>CHOOSE($C$3,C8,D8,E8)</f>
        <v/>
      </c>
      <c r="G8" s="3" t="inlineStr">
        <is>
          <t>Como no v2.1</t>
        </is>
      </c>
    </row>
    <row r="9">
      <c r="A9" s="3" t="inlineStr">
        <is>
          <t>Impostos sobre a receita até R$ 4,8 mi nos últimos 12 meses</t>
        </is>
      </c>
      <c r="B9" s="3" t="inlineStr">
        <is>
          <t>%</t>
        </is>
      </c>
      <c r="C9" s="29" t="n">
        <v>0.163</v>
      </c>
      <c r="D9" s="29" t="n">
        <v>0.163</v>
      </c>
      <c r="E9" s="29" t="n">
        <v>0.163</v>
      </c>
      <c r="F9" s="28">
        <f>CHOOSE($C$3,C9,D9,E9)</f>
        <v/>
      </c>
      <c r="G9" s="3" t="inlineStr">
        <is>
          <t>Lucro presumido desde o início, como no v2.1</t>
        </is>
      </c>
    </row>
    <row r="10">
      <c r="A10" s="3" t="inlineStr">
        <is>
          <t>Impostos sobre a receita acima de R$ 4,8 mi nos últimos 12 meses</t>
        </is>
      </c>
      <c r="B10" s="3" t="inlineStr">
        <is>
          <t>%</t>
        </is>
      </c>
      <c r="C10" s="29" t="n">
        <v>0.163</v>
      </c>
      <c r="D10" s="29" t="n">
        <v>0.163</v>
      </c>
      <c r="E10" s="29" t="n">
        <v>0.163</v>
      </c>
      <c r="F10" s="28">
        <f>CHOOSE($C$3,C10,D10,E10)</f>
        <v/>
      </c>
      <c r="G10" s="3" t="inlineStr">
        <is>
          <t>Lucro presumido para serviços (aprox.)</t>
        </is>
      </c>
    </row>
    <row r="11">
      <c r="A11" s="3" t="inlineStr">
        <is>
          <t>Meios de pagamento e inadimplência</t>
        </is>
      </c>
      <c r="B11" s="3" t="inlineStr">
        <is>
          <t>% da receita</t>
        </is>
      </c>
      <c r="C11" s="29" t="n">
        <v>0.04</v>
      </c>
      <c r="D11" s="29" t="n">
        <v>0.03</v>
      </c>
      <c r="E11" s="29" t="n">
        <v>0.025</v>
      </c>
      <c r="F11" s="28">
        <f>CHOOSE($C$3,C11,D11,E11)</f>
        <v/>
      </c>
      <c r="G11" s="3" t="inlineStr">
        <is>
          <t>Boleto e Pix recorrentes; inclui inadimplência de PME</t>
        </is>
      </c>
    </row>
    <row r="12">
      <c r="A12" s="3" t="inlineStr">
        <is>
          <t>Mercado endereçável: clínicas médicas privadas de 2 a 15 médicos que dependem de pacientes particulares</t>
        </is>
      </c>
      <c r="B12" s="3" t="inlineStr">
        <is>
          <t>clínicas</t>
        </is>
      </c>
      <c r="C12" s="16" t="n">
        <v>10000</v>
      </c>
      <c r="D12" s="16" t="n">
        <v>20000</v>
      </c>
      <c r="E12" s="16" t="n">
        <v>35000</v>
      </c>
      <c r="F12" s="8">
        <f>CHOOSE($C$3,C12,D12,E12)</f>
        <v/>
      </c>
      <c r="G12" s="3" t="inlineStr">
        <is>
          <t>pesquisa/clinicas.md: 30 a 70 mil clínicas privadas de 2 a 15 médicos (extrapolação do CNES da Bahia), das quais 30% a 50% investem em captação e têm particular relevante. Estimativa, sem fonte direta</t>
        </is>
      </c>
    </row>
    <row r="13">
      <c r="A13" s="3" t="inlineStr">
        <is>
          <t>Expansão para clínicas odontológicas: mês de início</t>
        </is>
      </c>
      <c r="B13" s="3" t="inlineStr">
        <is>
          <t>mês</t>
        </is>
      </c>
      <c r="C13" s="16" t="n">
        <v>37</v>
      </c>
      <c r="D13" s="16" t="n">
        <v>25</v>
      </c>
      <c r="E13" s="16" t="n">
        <v>25</v>
      </c>
      <c r="F13" s="8">
        <f>CHOOSE($C$3,C13,D13,E13)</f>
        <v/>
      </c>
      <c r="G13" s="3" t="inlineStr">
        <is>
          <t>Exige base de regras do CFO 196/2019 e produto adaptado</t>
        </is>
      </c>
    </row>
    <row r="14">
      <c r="A14" s="3" t="inlineStr">
        <is>
          <t>Expansão: aquisição adicional sobre a de clínicas médicas</t>
        </is>
      </c>
      <c r="B14" s="3" t="inlineStr">
        <is>
          <t>%</t>
        </is>
      </c>
      <c r="C14" s="29" t="n">
        <v>0.3</v>
      </c>
      <c r="D14" s="29" t="n">
        <v>0.5</v>
      </c>
      <c r="E14" s="29" t="n">
        <v>0.8</v>
      </c>
      <c r="F14" s="28">
        <f>CHOOSE($C$3,C14,D14,E14)</f>
        <v/>
      </c>
      <c r="G14" s="3" t="inlineStr">
        <is>
          <t>Clinicorp e Simples Dental mostram mercado grande e já disputado</t>
        </is>
      </c>
    </row>
    <row r="15">
      <c r="A15" s="3" t="inlineStr">
        <is>
          <t>Mercado endereçável: clínicas odontológicas com 2 ou mais dentistas</t>
        </is>
      </c>
      <c r="B15" s="3" t="inlineStr">
        <is>
          <t>clínicas</t>
        </is>
      </c>
      <c r="C15" s="16" t="n">
        <v>8000</v>
      </c>
      <c r="D15" s="16" t="n">
        <v>15000</v>
      </c>
      <c r="E15" s="16" t="n">
        <v>25000</v>
      </c>
      <c r="F15" s="8">
        <f>CHOOSE($C$3,C15,D15,E15)</f>
        <v/>
      </c>
      <c r="G15" s="3" t="inlineStr">
        <is>
          <t>pesquisa/clinicas.md: 191,7 mil CNPJs odontológicos e Clinicorp com mais de 30 mil clínicas; endereçáveis ao ticket de R$ 2.900 ou mais. Estimativa</t>
        </is>
      </c>
    </row>
    <row r="16">
      <c r="A16" s="3" t="inlineStr">
        <is>
          <t>Custo único da expansão (regras, produto, jurídico)</t>
        </is>
      </c>
      <c r="B16" s="3" t="inlineStr">
        <is>
          <t>R$</t>
        </is>
      </c>
      <c r="C16" s="30" t="n">
        <v>400000</v>
      </c>
      <c r="D16" s="30" t="n">
        <v>300000</v>
      </c>
      <c r="E16" s="30" t="n">
        <v>200000</v>
      </c>
      <c r="F16" s="27">
        <f>CHOOSE($C$3,C16,D16,E16)</f>
        <v/>
      </c>
      <c r="G16" s="3" t="inlineStr">
        <is>
          <t>Como no v2.1</t>
        </is>
      </c>
    </row>
    <row r="17">
      <c r="A17" s="3" t="inlineStr">
        <is>
          <t>Indicação: novas clínicas por mês, como % da base ativa</t>
        </is>
      </c>
      <c r="B17" s="3" t="inlineStr">
        <is>
          <t>%</t>
        </is>
      </c>
      <c r="C17" s="29" t="n">
        <v>0.004</v>
      </c>
      <c r="D17" s="29" t="n">
        <v>0.008</v>
      </c>
      <c r="E17" s="29" t="n">
        <v>0.012</v>
      </c>
      <c r="F17" s="28">
        <f>CHOOSE($C$3,C17,D17,E17)</f>
        <v/>
      </c>
      <c r="G17" s="3" t="inlineStr">
        <is>
          <t>Gestores de clínica conversam menos entre si do que médicos; abaixo do v2.1 (1%)</t>
        </is>
      </c>
    </row>
    <row r="18">
      <c r="A18" s="3" t="inlineStr">
        <is>
          <t>Parcerias: multiplicador sobre o plano de parcerias</t>
        </is>
      </c>
      <c r="B18" s="3" t="inlineStr">
        <is>
          <t>x</t>
        </is>
      </c>
      <c r="C18" s="19" t="n">
        <v>0.6</v>
      </c>
      <c r="D18" s="19" t="n">
        <v>1</v>
      </c>
      <c r="E18" s="19" t="n">
        <v>1.3</v>
      </c>
      <c r="F18" s="11">
        <f>CHOOSE($C$3,C18,D18,E18)</f>
        <v/>
      </c>
      <c r="G18" s="3" t="inlineStr">
        <is>
          <t>Softwares de gestão (Feegow, iClinic, Clinicorp), contadores e consultorias de clínicas</t>
        </is>
      </c>
    </row>
    <row r="20">
      <c r="A20" s="4" t="inlineStr">
        <is>
          <t>2. Decisões por ano (iguais nos três cenários)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/>
      <c r="B21" s="7" t="inlineStr"/>
      <c r="C21" s="7" t="inlineStr">
        <is>
          <t>Ano 1</t>
        </is>
      </c>
      <c r="D21" s="7" t="inlineStr">
        <is>
          <t>Ano 2</t>
        </is>
      </c>
      <c r="E21" s="7" t="inlineStr">
        <is>
          <t>Ano 3</t>
        </is>
      </c>
      <c r="F21" s="7" t="inlineStr">
        <is>
          <t>Ano 4</t>
        </is>
      </c>
      <c r="G21" s="7" t="inlineStr">
        <is>
          <t>Ano 5</t>
        </is>
      </c>
      <c r="H21" s="7" t="inlineStr">
        <is>
          <t>Ano 6</t>
        </is>
      </c>
      <c r="I21" s="7" t="inlineStr">
        <is>
          <t>Ano 7</t>
        </is>
      </c>
      <c r="J21" s="7" t="inlineStr">
        <is>
          <t>Fonte</t>
        </is>
      </c>
    </row>
    <row r="22">
      <c r="A22" s="3" t="inlineStr">
        <is>
          <t>Orçamento de mídia paga por mês (gera reuniões com gestores)</t>
        </is>
      </c>
      <c r="B22" s="3" t="inlineStr">
        <is>
          <t>R$</t>
        </is>
      </c>
      <c r="C22" s="30" t="n">
        <v>15000</v>
      </c>
      <c r="D22" s="30" t="n">
        <v>30000</v>
      </c>
      <c r="E22" s="30" t="n">
        <v>50000</v>
      </c>
      <c r="F22" s="30" t="n">
        <v>80000</v>
      </c>
      <c r="G22" s="30" t="n">
        <v>110000</v>
      </c>
      <c r="H22" s="30" t="n">
        <v>140000</v>
      </c>
      <c r="I22" s="30" t="n">
        <v>170000</v>
      </c>
      <c r="J22" s="3" t="inlineStr">
        <is>
          <t>Decisão; metade do Modelo B, porque a venda é ativa</t>
        </is>
      </c>
    </row>
    <row r="23">
      <c r="A23" s="3" t="inlineStr">
        <is>
          <t>Duplas de venda ativa (SDR e executivo)</t>
        </is>
      </c>
      <c r="B23" s="3" t="inlineStr">
        <is>
          <t>duplas</t>
        </is>
      </c>
      <c r="C23" s="16" t="n">
        <v>1</v>
      </c>
      <c r="D23" s="16" t="n">
        <v>2</v>
      </c>
      <c r="E23" s="16" t="n">
        <v>4</v>
      </c>
      <c r="F23" s="16" t="n">
        <v>6</v>
      </c>
      <c r="G23" s="16" t="n">
        <v>8</v>
      </c>
      <c r="H23" s="16" t="n">
        <v>10</v>
      </c>
      <c r="I23" s="16" t="n">
        <v>12</v>
      </c>
      <c r="J23" s="3" t="inlineStr">
        <is>
          <t>Decisão; uma dupla nova produz 50% no ano em que entra</t>
        </is>
      </c>
    </row>
    <row r="24">
      <c r="A24" s="3" t="inlineStr">
        <is>
          <t>Novas clínicas por parcerias por mês (antes do multiplicador)</t>
        </is>
      </c>
      <c r="B24" s="3" t="inlineStr">
        <is>
          <t>clínicas</t>
        </is>
      </c>
      <c r="C24" s="16" t="n">
        <v>0</v>
      </c>
      <c r="D24" s="16" t="n">
        <v>1</v>
      </c>
      <c r="E24" s="16" t="n">
        <v>2</v>
      </c>
      <c r="F24" s="16" t="n">
        <v>3</v>
      </c>
      <c r="G24" s="16" t="n">
        <v>4</v>
      </c>
      <c r="H24" s="16" t="n">
        <v>5</v>
      </c>
      <c r="I24" s="16" t="n">
        <v>6</v>
      </c>
      <c r="J24" s="3" t="inlineStr">
        <is>
          <t>Suposição sem evidência de canal; integração com softwares de gestão só a partir do ano 2</t>
        </is>
      </c>
    </row>
    <row r="25">
      <c r="A25" s="3" t="inlineStr">
        <is>
          <t>Produto, engenharia e IA (pessoas)</t>
        </is>
      </c>
      <c r="B25" s="3" t="inlineStr">
        <is>
          <t>pessoas</t>
        </is>
      </c>
      <c r="C25" s="16" t="n">
        <v>4</v>
      </c>
      <c r="D25" s="16" t="n">
        <v>6</v>
      </c>
      <c r="E25" s="16" t="n">
        <v>8</v>
      </c>
      <c r="F25" s="16" t="n">
        <v>10</v>
      </c>
      <c r="G25" s="16" t="n">
        <v>12</v>
      </c>
      <c r="H25" s="16" t="n">
        <v>13</v>
      </c>
      <c r="I25" s="16" t="n">
        <v>14</v>
      </c>
      <c r="J25" s="3" t="inlineStr">
        <is>
          <t>Menos que no v2.1: um só tipo de cliente</t>
        </is>
      </c>
    </row>
    <row r="26">
      <c r="A26" s="3" t="inlineStr">
        <is>
          <t>Marketing, pré-venda inbound e sucesso do cliente (pessoas)</t>
        </is>
      </c>
      <c r="B26" s="3" t="inlineStr">
        <is>
          <t>pessoas</t>
        </is>
      </c>
      <c r="C26" s="16" t="n">
        <v>1</v>
      </c>
      <c r="D26" s="16" t="n">
        <v>2</v>
      </c>
      <c r="E26" s="16" t="n">
        <v>3</v>
      </c>
      <c r="F26" s="16" t="n">
        <v>4</v>
      </c>
      <c r="G26" s="16" t="n">
        <v>5</v>
      </c>
      <c r="H26" s="16" t="n">
        <v>6</v>
      </c>
      <c r="I26" s="16" t="n">
        <v>7</v>
      </c>
      <c r="J26" s="3" t="inlineStr">
        <is>
          <t>Fecha os contatos que vêm da mídia</t>
        </is>
      </c>
    </row>
    <row r="27">
      <c r="A27" s="3" t="inlineStr">
        <is>
          <t>Administrativo, jurídico e conformidade (pessoas)</t>
        </is>
      </c>
      <c r="B27" s="3" t="inlineStr">
        <is>
          <t>pessoas</t>
        </is>
      </c>
      <c r="C27" s="16" t="n">
        <v>1</v>
      </c>
      <c r="D27" s="16" t="n">
        <v>2</v>
      </c>
      <c r="E27" s="16" t="n">
        <v>3</v>
      </c>
      <c r="F27" s="16" t="n">
        <v>4</v>
      </c>
      <c r="G27" s="16" t="n">
        <v>6</v>
      </c>
      <c r="H27" s="16" t="n">
        <v>7</v>
      </c>
      <c r="I27" s="16" t="n">
        <v>8</v>
      </c>
      <c r="J27" s="3" t="inlineStr">
        <is>
          <t>Plano de contratação</t>
        </is>
      </c>
    </row>
    <row r="28">
      <c r="A28" s="3" t="inlineStr">
        <is>
          <t>Pró-labore por fundador por mês</t>
        </is>
      </c>
      <c r="B28" s="3" t="inlineStr">
        <is>
          <t>R$</t>
        </is>
      </c>
      <c r="C28" s="30" t="n">
        <v>5000</v>
      </c>
      <c r="D28" s="30" t="n">
        <v>10000</v>
      </c>
      <c r="E28" s="30" t="n">
        <v>15000</v>
      </c>
      <c r="F28" s="30" t="n">
        <v>15000</v>
      </c>
      <c r="G28" s="30" t="n">
        <v>18000</v>
      </c>
      <c r="H28" s="30" t="n">
        <v>18000</v>
      </c>
      <c r="I28" s="30" t="n">
        <v>20000</v>
      </c>
      <c r="J28" s="3" t="inlineStr">
        <is>
          <t>Como no v2.1 (6 fundadores)</t>
        </is>
      </c>
    </row>
    <row r="30">
      <c r="A30" s="4" t="inlineStr">
        <is>
          <t>3. Custos de pessoas e despesas gerais</t>
        </is>
      </c>
      <c r="B30" s="5" t="n"/>
      <c r="C30" s="5" t="n"/>
      <c r="D30" s="5" t="n"/>
      <c r="E30" s="5" t="n"/>
      <c r="F30" s="5" t="n"/>
      <c r="G30" s="5" t="n"/>
    </row>
    <row r="31">
      <c r="A31" s="6" t="inlineStr">
        <is>
          <t>Premissa</t>
        </is>
      </c>
      <c r="B31" s="7" t="inlineStr">
        <is>
          <t>Unidade</t>
        </is>
      </c>
      <c r="C31" s="7" t="inlineStr">
        <is>
          <t>Conservador</t>
        </is>
      </c>
      <c r="D31" s="7" t="inlineStr">
        <is>
          <t>Base</t>
        </is>
      </c>
      <c r="E31" s="7" t="inlineStr">
        <is>
          <t>Otimista</t>
        </is>
      </c>
      <c r="F31" s="7" t="inlineStr">
        <is>
          <t>Usado</t>
        </is>
      </c>
      <c r="G31" s="7" t="inlineStr">
        <is>
          <t>Fonte ou justificativa</t>
        </is>
      </c>
    </row>
    <row r="32">
      <c r="A32" s="3" t="inlineStr">
        <is>
          <t>Custo mensal por pessoa de produto e engenharia (com encargos)</t>
        </is>
      </c>
      <c r="B32" s="3" t="inlineStr">
        <is>
          <t>R$</t>
        </is>
      </c>
      <c r="C32" s="30" t="n">
        <v>20000</v>
      </c>
      <c r="D32" s="30" t="n">
        <v>18000</v>
      </c>
      <c r="E32" s="30" t="n">
        <v>16000</v>
      </c>
      <c r="F32" s="27">
        <f>CHOOSE($C$3,C32,D32,E32)</f>
        <v/>
      </c>
      <c r="G32" s="3" t="inlineStr">
        <is>
          <t>Como no v2.1</t>
        </is>
      </c>
    </row>
    <row r="33">
      <c r="A33" s="3" t="inlineStr">
        <is>
          <t>Custo mensal de uma dupla de venda (SDR e executivo, com comissão)</t>
        </is>
      </c>
      <c r="B33" s="3" t="inlineStr">
        <is>
          <t>R$</t>
        </is>
      </c>
      <c r="C33" s="30" t="n">
        <v>24000</v>
      </c>
      <c r="D33" s="30" t="n">
        <v>22000</v>
      </c>
      <c r="E33" s="30" t="n">
        <v>20000</v>
      </c>
      <c r="F33" s="27">
        <f>CHOOSE($C$3,C33,D33,E33)</f>
        <v/>
      </c>
      <c r="G33" s="3" t="inlineStr">
        <is>
          <t>SDR de R$ 7 mil e executivo de R$ 13 mil com encargos, mais comissão</t>
        </is>
      </c>
    </row>
    <row r="34">
      <c r="A34" s="3" t="inlineStr">
        <is>
          <t>Custo mensal por pessoa de marketing e sucesso do cliente</t>
        </is>
      </c>
      <c r="B34" s="3" t="inlineStr">
        <is>
          <t>R$</t>
        </is>
      </c>
      <c r="C34" s="30" t="n">
        <v>11000</v>
      </c>
      <c r="D34" s="30" t="n">
        <v>10000</v>
      </c>
      <c r="E34" s="30" t="n">
        <v>9000</v>
      </c>
      <c r="F34" s="27">
        <f>CHOOSE($C$3,C34,D34,E34)</f>
        <v/>
      </c>
      <c r="G34" s="3" t="inlineStr">
        <is>
          <t>Como vendas e marketing no v2.1</t>
        </is>
      </c>
    </row>
    <row r="35">
      <c r="A35" s="3" t="inlineStr">
        <is>
          <t>Custo mensal por pessoa administrativa e jurídica</t>
        </is>
      </c>
      <c r="B35" s="3" t="inlineStr">
        <is>
          <t>R$</t>
        </is>
      </c>
      <c r="C35" s="30" t="n">
        <v>13000</v>
      </c>
      <c r="D35" s="30" t="n">
        <v>12000</v>
      </c>
      <c r="E35" s="30" t="n">
        <v>11000</v>
      </c>
      <c r="F35" s="27">
        <f>CHOOSE($C$3,C35,D35,E35)</f>
        <v/>
      </c>
      <c r="G35" s="3" t="inlineStr">
        <is>
          <t>Como no v2.1</t>
        </is>
      </c>
    </row>
    <row r="36">
      <c r="A36" s="3" t="inlineStr">
        <is>
          <t>Número de fundadores</t>
        </is>
      </c>
      <c r="B36" s="3" t="inlineStr">
        <is>
          <t>pessoas</t>
        </is>
      </c>
      <c r="C36" s="16" t="n">
        <v>6</v>
      </c>
      <c r="D36" s="16" t="n">
        <v>6</v>
      </c>
      <c r="E36" s="16" t="n">
        <v>6</v>
      </c>
      <c r="F36" s="8">
        <f>CHOOSE($C$3,C36,D36,E36)</f>
        <v/>
      </c>
      <c r="G36" s="3" t="inlineStr">
        <is>
          <t>Grupo 1</t>
        </is>
      </c>
    </row>
    <row r="37">
      <c r="A37" s="3" t="inlineStr">
        <is>
          <t>Outras despesas fixas por mês (ferramentas, jurídico, contabilidade)</t>
        </is>
      </c>
      <c r="B37" s="3" t="inlineStr">
        <is>
          <t>R$</t>
        </is>
      </c>
      <c r="C37" s="30" t="n">
        <v>20000</v>
      </c>
      <c r="D37" s="30" t="n">
        <v>15000</v>
      </c>
      <c r="E37" s="30" t="n">
        <v>12000</v>
      </c>
      <c r="F37" s="27">
        <f>CHOOSE($C$3,C37,D37,E37)</f>
        <v/>
      </c>
      <c r="G37" s="3" t="inlineStr">
        <is>
          <t>Como no v2.1</t>
        </is>
      </c>
    </row>
    <row r="38">
      <c r="A38" s="3" t="inlineStr">
        <is>
          <t>Outras despesas variáveis</t>
        </is>
      </c>
      <c r="B38" s="3" t="inlineStr">
        <is>
          <t>% da receita</t>
        </is>
      </c>
      <c r="C38" s="29" t="n">
        <v>0.04</v>
      </c>
      <c r="D38" s="29" t="n">
        <v>0.03</v>
      </c>
      <c r="E38" s="29" t="n">
        <v>0.025</v>
      </c>
      <c r="F38" s="28">
        <f>CHOOSE($C$3,C38,D38,E38)</f>
        <v/>
      </c>
      <c r="G38" s="3" t="inlineStr">
        <is>
          <t>Como no v2.1</t>
        </is>
      </c>
    </row>
    <row r="39">
      <c r="A39" s="3" t="inlineStr">
        <is>
          <t>Marca, eventos e conteúdo próprio</t>
        </is>
      </c>
      <c r="B39" s="3" t="inlineStr">
        <is>
          <t>% da mídia</t>
        </is>
      </c>
      <c r="C39" s="29" t="n">
        <v>0.1</v>
      </c>
      <c r="D39" s="29" t="n">
        <v>0.08</v>
      </c>
      <c r="E39" s="29" t="n">
        <v>0.06</v>
      </c>
      <c r="F39" s="28">
        <f>CHOOSE($C$3,C39,D39,E39)</f>
        <v/>
      </c>
      <c r="G39" s="3" t="inlineStr">
        <is>
          <t>Feiras de gestão de clínicas e conteúdo para diretores técnicos</t>
        </is>
      </c>
    </row>
    <row r="41">
      <c r="A41" s="4" t="inlineStr">
        <is>
          <t>4. Aquisição</t>
        </is>
      </c>
      <c r="B41" s="5" t="n"/>
      <c r="C41" s="5" t="n"/>
      <c r="D41" s="5" t="n"/>
      <c r="E41" s="5" t="n"/>
      <c r="F41" s="5" t="n"/>
      <c r="G41" s="5" t="n"/>
    </row>
    <row r="42">
      <c r="A42" s="6" t="inlineStr">
        <is>
          <t>Premissa</t>
        </is>
      </c>
      <c r="B42" s="7" t="inlineStr">
        <is>
          <t>Unidade</t>
        </is>
      </c>
      <c r="C42" s="7" t="inlineStr">
        <is>
          <t>Conservador</t>
        </is>
      </c>
      <c r="D42" s="7" t="inlineStr">
        <is>
          <t>Base</t>
        </is>
      </c>
      <c r="E42" s="7" t="inlineStr">
        <is>
          <t>Otimista</t>
        </is>
      </c>
      <c r="F42" s="7" t="inlineStr">
        <is>
          <t>Usado</t>
        </is>
      </c>
      <c r="G42" s="7" t="inlineStr">
        <is>
          <t>Fonte ou justificativa</t>
        </is>
      </c>
    </row>
    <row r="43">
      <c r="A43" s="3" t="inlineStr">
        <is>
          <t>Custo de mídia por clínica fechada via inbound</t>
        </is>
      </c>
      <c r="B43" s="3" t="inlineStr">
        <is>
          <t>R$</t>
        </is>
      </c>
      <c r="C43" s="30" t="n">
        <v>30000</v>
      </c>
      <c r="D43" s="30" t="n">
        <v>22000</v>
      </c>
      <c r="E43" s="30" t="n">
        <v>15000</v>
      </c>
      <c r="F43" s="27">
        <f>CHOOSE($C$3,C43,D43,E43)</f>
        <v/>
      </c>
      <c r="G43" s="3" t="inlineStr">
        <is>
          <t>Calibrado para o CAC total do base ficar em cerca de 9,5 meses de contribuição (mesmo método da regra pré-registrada do v2.1); a confirmar no teste de aquisição</t>
        </is>
      </c>
    </row>
    <row r="44">
      <c r="A44" s="3" t="inlineStr">
        <is>
          <t>Clínicas fechadas por dupla de venda ativa por mês (em ritmo pleno)</t>
        </is>
      </c>
      <c r="B44" s="3" t="inlineStr">
        <is>
          <t>clínicas</t>
        </is>
      </c>
      <c r="C44" s="20" t="n">
        <v>0.7</v>
      </c>
      <c r="D44" s="20" t="n">
        <v>1</v>
      </c>
      <c r="E44" s="20" t="n">
        <v>1.5</v>
      </c>
      <c r="F44" s="12">
        <f>CHOOSE($C$3,C44,D44,E44)</f>
        <v/>
      </c>
      <c r="G44" s="3" t="inlineStr">
        <is>
          <t>Calibrado como o CAC de mídia: R$ 22 mil por fechamento no base. Equivale a cerca de R$ 640 mil de receita anual nova por executivo</t>
        </is>
      </c>
    </row>
    <row r="45">
      <c r="A45" s="3" t="inlineStr">
        <is>
          <t>Custo por clínica vinda de parceria (comissão)</t>
        </is>
      </c>
      <c r="B45" s="3" t="inlineStr">
        <is>
          <t>R$</t>
        </is>
      </c>
      <c r="C45" s="30" t="n">
        <v>11000</v>
      </c>
      <c r="D45" s="30" t="n">
        <v>9000</v>
      </c>
      <c r="E45" s="30" t="n">
        <v>7000</v>
      </c>
      <c r="F45" s="27">
        <f>CHOOSE($C$3,C45,D45,E45)</f>
        <v/>
      </c>
      <c r="G45" s="3" t="inlineStr">
        <is>
          <t>Cerca de 20% da receita do primeiro ano, como em programas de revenda de software</t>
        </is>
      </c>
    </row>
    <row r="46">
      <c r="A46" s="3" t="inlineStr">
        <is>
          <t>Custo por clínica indicada (mês grátis)</t>
        </is>
      </c>
      <c r="B46" s="3" t="inlineStr">
        <is>
          <t>R$</t>
        </is>
      </c>
      <c r="C46" s="30" t="n">
        <v>4300</v>
      </c>
      <c r="D46" s="30" t="n">
        <v>4300</v>
      </c>
      <c r="E46" s="30" t="n">
        <v>4300</v>
      </c>
      <c r="F46" s="27">
        <f>CHOOSE($C$3,C46,D46,E46)</f>
        <v/>
      </c>
      <c r="G46" s="3" t="inlineStr">
        <is>
          <t>Um mês grátis na mensalidade média ponderada</t>
        </is>
      </c>
    </row>
    <row r="48">
      <c r="A48" s="4" t="inlineStr">
        <is>
          <t>5. Planos</t>
        </is>
      </c>
      <c r="B48" s="5" t="n"/>
      <c r="C48" s="5" t="n"/>
      <c r="D48" s="5" t="n"/>
      <c r="E48" s="5" t="n"/>
      <c r="F48" s="5" t="n"/>
      <c r="G48" s="5" t="n"/>
    </row>
    <row r="49">
      <c r="A49" s="6" t="inlineStr">
        <is>
          <t>Premissa</t>
        </is>
      </c>
      <c r="B49" s="7" t="inlineStr">
        <is>
          <t>Unidade</t>
        </is>
      </c>
      <c r="C49" s="7" t="inlineStr">
        <is>
          <t>Conservador</t>
        </is>
      </c>
      <c r="D49" s="7" t="inlineStr">
        <is>
          <t>Base</t>
        </is>
      </c>
      <c r="E49" s="7" t="inlineStr">
        <is>
          <t>Otimista</t>
        </is>
      </c>
      <c r="F49" s="7" t="inlineStr">
        <is>
          <t>Usado</t>
        </is>
      </c>
      <c r="G49" s="7" t="inlineStr">
        <is>
          <t>Fonte ou justificativa</t>
        </is>
      </c>
    </row>
    <row r="50">
      <c r="A50" s="3" t="inlineStr">
        <is>
          <t>Custo mensal do especialista que cuida das contas (gerente de conta sênior)</t>
        </is>
      </c>
      <c r="B50" s="3" t="inlineStr">
        <is>
          <t>R$</t>
        </is>
      </c>
      <c r="C50" s="30" t="n">
        <v>13000</v>
      </c>
      <c r="D50" s="30" t="n">
        <v>12000</v>
      </c>
      <c r="E50" s="30" t="n">
        <v>11000</v>
      </c>
      <c r="F50" s="27">
        <f>CHOOSE($C$3,C50,D50,E50)</f>
        <v/>
      </c>
      <c r="G50" s="3" t="inlineStr">
        <is>
          <t>Mais sênior que no Modelo B (R$ 10 mil): o interlocutor é o gestor da clínica</t>
        </is>
      </c>
    </row>
    <row r="51">
      <c r="A51" s="3" t="inlineStr">
        <is>
          <t>Custo de implantação por clínica nova</t>
        </is>
      </c>
      <c r="B51" s="3" t="inlineStr">
        <is>
          <t>R$</t>
        </is>
      </c>
      <c r="C51" s="30" t="n">
        <v>2500</v>
      </c>
      <c r="D51" s="30" t="n">
        <v>1800</v>
      </c>
      <c r="E51" s="30" t="n">
        <v>1200</v>
      </c>
      <c r="F51" s="27">
        <f>CHOOSE($C$3,C51,D51,E51)</f>
        <v/>
      </c>
      <c r="G51" s="3" t="inlineStr">
        <is>
          <t>Marca, site, perfis no Google de cada médico, integração do WhatsApp e da agenda: 12 a 20 horas de especialista mais ferramentas</t>
        </is>
      </c>
    </row>
    <row r="52">
      <c r="A52" s="3" t="inlineStr">
        <is>
          <t>Receita de expansão: aumento da mensalidade da base por mês (médicos e unidades novas)</t>
        </is>
      </c>
      <c r="B52" s="3" t="inlineStr">
        <is>
          <t>% da mensalidade</t>
        </is>
      </c>
      <c r="C52" s="29" t="n">
        <v>0.003</v>
      </c>
      <c r="D52" s="29" t="n">
        <v>0.006</v>
      </c>
      <c r="E52" s="29" t="n">
        <v>0.01</v>
      </c>
      <c r="F52" s="28">
        <f>CHOOSE($C$3,C52,D52,E52)</f>
        <v/>
      </c>
      <c r="G52" s="3" t="inlineStr">
        <is>
          <t>Suposição; clínica que contrata médico novo paga o perfil adicional</t>
        </is>
      </c>
    </row>
    <row r="53">
      <c r="A53" s="3" t="inlineStr">
        <is>
          <t>Custo do serviço da receita de expansão</t>
        </is>
      </c>
      <c r="B53" s="3" t="inlineStr">
        <is>
          <t>% dessa receita</t>
        </is>
      </c>
      <c r="C53" s="29" t="n">
        <v>0.45</v>
      </c>
      <c r="D53" s="29" t="n">
        <v>0.35</v>
      </c>
      <c r="E53" s="29" t="n">
        <v>0.25</v>
      </c>
      <c r="F53" s="28">
        <f>CHOOSE($C$3,C53,D53,E53)</f>
        <v/>
      </c>
      <c r="G53" s="3" t="inlineStr">
        <is>
          <t>Médico adicional exige perfil, conteúdo e tempo de especialista</t>
        </is>
      </c>
    </row>
    <row r="54">
      <c r="A54" s="3" t="inlineStr">
        <is>
          <t>Clínica Essencial (2 a 4 médicos, 1 unidade): preço mensal</t>
        </is>
      </c>
      <c r="B54" s="3" t="inlineStr">
        <is>
          <t>R$</t>
        </is>
      </c>
      <c r="C54" s="30" t="n">
        <v>2900</v>
      </c>
      <c r="D54" s="30" t="n">
        <v>2900</v>
      </c>
      <c r="E54" s="30" t="n">
        <v>2900</v>
      </c>
      <c r="F54" s="27">
        <f>CHOOSE($C$3,C54,D54,E54)</f>
        <v/>
      </c>
      <c r="G54" s="3" t="inlineStr">
        <is>
          <t>Abaixo de agências para clínicas (R$ 5 mil a R$ 15 mil sem mídia) e acima da Medleads (R$ 3.997)</t>
        </is>
      </c>
    </row>
    <row r="55">
      <c r="A55" s="3" t="inlineStr">
        <is>
          <t>Clínica Essencial: taxa de implantação</t>
        </is>
      </c>
      <c r="B55" s="3" t="inlineStr">
        <is>
          <t>R$</t>
        </is>
      </c>
      <c r="C55" s="30" t="n">
        <v>2900</v>
      </c>
      <c r="D55" s="30" t="n">
        <v>2900</v>
      </c>
      <c r="E55" s="30" t="n">
        <v>2900</v>
      </c>
      <c r="F55" s="27">
        <f>CHOOSE($C$3,C55,D55,E55)</f>
        <v/>
      </c>
      <c r="G55" s="3" t="inlineStr">
        <is>
          <t>Uma mensalidade, como agências</t>
        </is>
      </c>
    </row>
    <row r="56">
      <c r="A56" s="3" t="inlineStr">
        <is>
          <t>Clínica Essencial: participação nas clínicas novas</t>
        </is>
      </c>
      <c r="B56" s="3" t="inlineStr">
        <is>
          <t>%</t>
        </is>
      </c>
      <c r="C56" s="29" t="n">
        <v>0.55</v>
      </c>
      <c r="D56" s="29" t="n">
        <v>0.5</v>
      </c>
      <c r="E56" s="29" t="n">
        <v>0.45</v>
      </c>
      <c r="F56" s="28">
        <f>CHOOSE($C$3,C56,D56,E56)</f>
        <v/>
      </c>
      <c r="G56" s="3" t="inlineStr">
        <is>
          <t>Suposição</t>
        </is>
      </c>
    </row>
    <row r="57">
      <c r="A57" s="3" t="inlineStr">
        <is>
          <t>Clínica Essencial: churn mensal</t>
        </is>
      </c>
      <c r="B57" s="3" t="inlineStr">
        <is>
          <t>%</t>
        </is>
      </c>
      <c r="C57" s="29" t="n">
        <v>0.045</v>
      </c>
      <c r="D57" s="29" t="n">
        <v>0.03</v>
      </c>
      <c r="E57" s="29" t="n">
        <v>0.02</v>
      </c>
      <c r="F57" s="28">
        <f>CHOOSE($C$3,C57,D57,E57)</f>
        <v/>
      </c>
      <c r="G57" s="3" t="inlineStr">
        <is>
          <t>Pesquisa de clínicas, seção 4: software vertical e agências para clínicas; contrato mensal</t>
        </is>
      </c>
    </row>
    <row r="58">
      <c r="A58" s="3" t="inlineStr">
        <is>
          <t>Clínica Essencial: custo direto por clínica por mês (agentes, WhatsApp, ferramentas)</t>
        </is>
      </c>
      <c r="B58" s="3" t="inlineStr">
        <is>
          <t>R$</t>
        </is>
      </c>
      <c r="C58" s="30" t="n">
        <v>450</v>
      </c>
      <c r="D58" s="30" t="n">
        <v>350</v>
      </c>
      <c r="E58" s="30" t="n">
        <v>280</v>
      </c>
      <c r="F58" s="27">
        <f>CHOOSE($C$3,C58,D58,E58)</f>
        <v/>
      </c>
      <c r="G58" s="3" t="inlineStr">
        <is>
          <t>IA de cerca de R$ 20 por médico (v2.1) mais API do WhatsApp, site, design e agenda</t>
        </is>
      </c>
    </row>
    <row r="59">
      <c r="A59" s="3" t="inlineStr">
        <is>
          <t>Clínica Essencial: clínicas por especialista humano</t>
        </is>
      </c>
      <c r="B59" s="3" t="inlineStr">
        <is>
          <t>clínicas</t>
        </is>
      </c>
      <c r="C59" s="16" t="n">
        <v>16</v>
      </c>
      <c r="D59" s="16" t="n">
        <v>25</v>
      </c>
      <c r="E59" s="16" t="n">
        <v>35</v>
      </c>
      <c r="F59" s="8">
        <f>CHOOSE($C$3,C59,D59,E59)</f>
        <v/>
      </c>
      <c r="G59" s="3" t="inlineStr">
        <is>
          <t>Com 120 horas produtivas por mês: base de cerca de 5, 7,5 e 13 horas por clínica</t>
        </is>
      </c>
    </row>
    <row r="60">
      <c r="A60" s="3" t="inlineStr">
        <is>
          <t>Clínica Pro (5 a 10 médicos): preço mensal</t>
        </is>
      </c>
      <c r="B60" s="3" t="inlineStr">
        <is>
          <t>R$</t>
        </is>
      </c>
      <c r="C60" s="30" t="n">
        <v>4900</v>
      </c>
      <c r="D60" s="30" t="n">
        <v>4900</v>
      </c>
      <c r="E60" s="30" t="n">
        <v>4900</v>
      </c>
      <c r="F60" s="27">
        <f>CHOOSE($C$3,C60,D60,E60)</f>
        <v/>
      </c>
      <c r="G60" s="3" t="inlineStr">
        <is>
          <t>Abaixo de agências para clínicas (R$ 5 mil a R$ 15 mil sem mídia) e acima da Medleads (R$ 3.997)</t>
        </is>
      </c>
    </row>
    <row r="61">
      <c r="A61" s="3" t="inlineStr">
        <is>
          <t>Clínica Pro: taxa de implantação</t>
        </is>
      </c>
      <c r="B61" s="3" t="inlineStr">
        <is>
          <t>R$</t>
        </is>
      </c>
      <c r="C61" s="30" t="n">
        <v>4900</v>
      </c>
      <c r="D61" s="30" t="n">
        <v>4900</v>
      </c>
      <c r="E61" s="30" t="n">
        <v>4900</v>
      </c>
      <c r="F61" s="27">
        <f>CHOOSE($C$3,C61,D61,E61)</f>
        <v/>
      </c>
      <c r="G61" s="3" t="inlineStr">
        <is>
          <t>Uma mensalidade, como agências</t>
        </is>
      </c>
    </row>
    <row r="62">
      <c r="A62" s="3" t="inlineStr">
        <is>
          <t>Clínica Pro: participação nas clínicas novas</t>
        </is>
      </c>
      <c r="B62" s="3" t="inlineStr">
        <is>
          <t>%</t>
        </is>
      </c>
      <c r="C62" s="29" t="n">
        <v>0.38</v>
      </c>
      <c r="D62" s="29" t="n">
        <v>0.4</v>
      </c>
      <c r="E62" s="29" t="n">
        <v>0.42</v>
      </c>
      <c r="F62" s="28">
        <f>CHOOSE($C$3,C62,D62,E62)</f>
        <v/>
      </c>
      <c r="G62" s="3" t="inlineStr">
        <is>
          <t>Suposição</t>
        </is>
      </c>
    </row>
    <row r="63">
      <c r="A63" s="3" t="inlineStr">
        <is>
          <t>Clínica Pro: churn mensal</t>
        </is>
      </c>
      <c r="B63" s="3" t="inlineStr">
        <is>
          <t>%</t>
        </is>
      </c>
      <c r="C63" s="29" t="n">
        <v>0.035</v>
      </c>
      <c r="D63" s="29" t="n">
        <v>0.025</v>
      </c>
      <c r="E63" s="29" t="n">
        <v>0.016</v>
      </c>
      <c r="F63" s="28">
        <f>CHOOSE($C$3,C63,D63,E63)</f>
        <v/>
      </c>
      <c r="G63" s="3" t="inlineStr">
        <is>
          <t>Pesquisa de clínicas, seção 4: software vertical e agências para clínicas; contrato mensal</t>
        </is>
      </c>
    </row>
    <row r="64">
      <c r="A64" s="3" t="inlineStr">
        <is>
          <t>Clínica Pro: custo direto por clínica por mês (agentes, WhatsApp, ferramentas)</t>
        </is>
      </c>
      <c r="B64" s="3" t="inlineStr">
        <is>
          <t>R$</t>
        </is>
      </c>
      <c r="C64" s="30" t="n">
        <v>700</v>
      </c>
      <c r="D64" s="30" t="n">
        <v>550</v>
      </c>
      <c r="E64" s="30" t="n">
        <v>450</v>
      </c>
      <c r="F64" s="27">
        <f>CHOOSE($C$3,C64,D64,E64)</f>
        <v/>
      </c>
      <c r="G64" s="3" t="inlineStr">
        <is>
          <t>IA de cerca de R$ 20 por médico (v2.1) mais API do WhatsApp, site, design e agenda</t>
        </is>
      </c>
    </row>
    <row r="65">
      <c r="A65" s="3" t="inlineStr">
        <is>
          <t>Clínica Pro: clínicas por especialista humano</t>
        </is>
      </c>
      <c r="B65" s="3" t="inlineStr">
        <is>
          <t>clínicas</t>
        </is>
      </c>
      <c r="C65" s="16" t="n">
        <v>10</v>
      </c>
      <c r="D65" s="16" t="n">
        <v>16</v>
      </c>
      <c r="E65" s="16" t="n">
        <v>24</v>
      </c>
      <c r="F65" s="8">
        <f>CHOOSE($C$3,C65,D65,E65)</f>
        <v/>
      </c>
      <c r="G65" s="3" t="inlineStr">
        <is>
          <t>Com 120 horas produtivas por mês: base de cerca de 5, 7,5 e 13 horas por clínica</t>
        </is>
      </c>
    </row>
    <row r="66">
      <c r="A66" s="3" t="inlineStr">
        <is>
          <t>Rede (11 ou mais médicos ou 2 ou mais unidades): preço mensal</t>
        </is>
      </c>
      <c r="B66" s="3" t="inlineStr">
        <is>
          <t>R$</t>
        </is>
      </c>
      <c r="C66" s="30" t="n">
        <v>8900</v>
      </c>
      <c r="D66" s="30" t="n">
        <v>8900</v>
      </c>
      <c r="E66" s="30" t="n">
        <v>8900</v>
      </c>
      <c r="F66" s="27">
        <f>CHOOSE($C$3,C66,D66,E66)</f>
        <v/>
      </c>
      <c r="G66" s="3" t="inlineStr">
        <is>
          <t>Abaixo de agências para clínicas (R$ 5 mil a R$ 15 mil sem mídia) e acima da Medleads (R$ 3.997)</t>
        </is>
      </c>
    </row>
    <row r="67">
      <c r="A67" s="3" t="inlineStr">
        <is>
          <t>Rede: taxa de implantação</t>
        </is>
      </c>
      <c r="B67" s="3" t="inlineStr">
        <is>
          <t>R$</t>
        </is>
      </c>
      <c r="C67" s="30" t="n">
        <v>7900</v>
      </c>
      <c r="D67" s="30" t="n">
        <v>7900</v>
      </c>
      <c r="E67" s="30" t="n">
        <v>7900</v>
      </c>
      <c r="F67" s="27">
        <f>CHOOSE($C$3,C67,D67,E67)</f>
        <v/>
      </c>
      <c r="G67" s="3" t="inlineStr">
        <is>
          <t>Uma mensalidade, como agências</t>
        </is>
      </c>
    </row>
    <row r="68">
      <c r="A68" s="3" t="inlineStr">
        <is>
          <t>Rede: participação nas clínicas novas</t>
        </is>
      </c>
      <c r="B68" s="3" t="inlineStr">
        <is>
          <t>%</t>
        </is>
      </c>
      <c r="C68" s="29" t="n">
        <v>0.07000000000000001</v>
      </c>
      <c r="D68" s="29" t="n">
        <v>0.1</v>
      </c>
      <c r="E68" s="29" t="n">
        <v>0.13</v>
      </c>
      <c r="F68" s="28">
        <f>CHOOSE($C$3,C68,D68,E68)</f>
        <v/>
      </c>
      <c r="G68" s="3" t="inlineStr">
        <is>
          <t>Suposição (a partir do mês 13; antes vai para a Clínica Pro)</t>
        </is>
      </c>
    </row>
    <row r="69">
      <c r="A69" s="3" t="inlineStr">
        <is>
          <t>Rede: churn mensal</t>
        </is>
      </c>
      <c r="B69" s="3" t="inlineStr">
        <is>
          <t>%</t>
        </is>
      </c>
      <c r="C69" s="29" t="n">
        <v>0.03</v>
      </c>
      <c r="D69" s="29" t="n">
        <v>0.02</v>
      </c>
      <c r="E69" s="29" t="n">
        <v>0.012</v>
      </c>
      <c r="F69" s="28">
        <f>CHOOSE($C$3,C69,D69,E69)</f>
        <v/>
      </c>
      <c r="G69" s="3" t="inlineStr">
        <is>
          <t>Pesquisa de clínicas, seção 4: software vertical e agências para clínicas; contrato mensal</t>
        </is>
      </c>
    </row>
    <row r="70">
      <c r="A70" s="3" t="inlineStr">
        <is>
          <t>Rede: custo direto por clínica por mês (agentes, WhatsApp, ferramentas)</t>
        </is>
      </c>
      <c r="B70" s="3" t="inlineStr">
        <is>
          <t>R$</t>
        </is>
      </c>
      <c r="C70" s="30" t="n">
        <v>1200</v>
      </c>
      <c r="D70" s="30" t="n">
        <v>950</v>
      </c>
      <c r="E70" s="30" t="n">
        <v>800</v>
      </c>
      <c r="F70" s="27">
        <f>CHOOSE($C$3,C70,D70,E70)</f>
        <v/>
      </c>
      <c r="G70" s="3" t="inlineStr">
        <is>
          <t>IA de cerca de R$ 20 por médico (v2.1) mais API do WhatsApp, site, design e agenda</t>
        </is>
      </c>
    </row>
    <row r="71">
      <c r="A71" s="3" t="inlineStr">
        <is>
          <t>Rede: clínicas por especialista humano</t>
        </is>
      </c>
      <c r="B71" s="3" t="inlineStr">
        <is>
          <t>clínicas</t>
        </is>
      </c>
      <c r="C71" s="16" t="n">
        <v>6</v>
      </c>
      <c r="D71" s="16" t="n">
        <v>9</v>
      </c>
      <c r="E71" s="16" t="n">
        <v>14</v>
      </c>
      <c r="F71" s="8">
        <f>CHOOSE($C$3,C71,D71,E71)</f>
        <v/>
      </c>
      <c r="G71" s="3" t="inlineStr">
        <is>
          <t>Com 120 horas produtivas por mês: base de cerca de 5, 7,5 e 13 horas por clínica</t>
        </is>
      </c>
    </row>
    <row r="73">
      <c r="A73" s="4" t="inlineStr">
        <is>
          <t>6. Critérios de corte do plano v1 (fixados em 19/10/2026; os mesmos para o pivô)</t>
        </is>
      </c>
      <c r="B73" s="5" t="n"/>
      <c r="C73" s="5" t="n"/>
      <c r="D73" s="5" t="n"/>
      <c r="E73" s="5" t="n"/>
      <c r="F73" s="5" t="n"/>
      <c r="G73" s="5" t="n"/>
    </row>
    <row r="74">
      <c r="A74" s="6" t="inlineStr">
        <is>
          <t>Premissa</t>
        </is>
      </c>
      <c r="B74" s="7" t="inlineStr">
        <is>
          <t>Unidade</t>
        </is>
      </c>
      <c r="C74" s="7" t="inlineStr">
        <is>
          <t>Conservador</t>
        </is>
      </c>
      <c r="D74" s="7" t="inlineStr">
        <is>
          <t>Base</t>
        </is>
      </c>
      <c r="E74" s="7" t="inlineStr">
        <is>
          <t>Otimista</t>
        </is>
      </c>
      <c r="F74" s="7" t="inlineStr">
        <is>
          <t>Usado</t>
        </is>
      </c>
      <c r="G74" s="7" t="inlineStr">
        <is>
          <t>Fonte ou justificativa</t>
        </is>
      </c>
    </row>
    <row r="75">
      <c r="A75" s="3" t="inlineStr">
        <is>
          <t>H6: margem bruta mínima</t>
        </is>
      </c>
      <c r="B75" s="3" t="inlineStr">
        <is>
          <t>%</t>
        </is>
      </c>
      <c r="C75" s="29" t="n">
        <v>0.7</v>
      </c>
      <c r="D75" s="29" t="n">
        <v>0.7</v>
      </c>
      <c r="E75" s="29" t="n">
        <v>0.7</v>
      </c>
      <c r="F75" s="28">
        <f>CHOOSE($C$3,C75,D75,E75)</f>
        <v/>
      </c>
      <c r="G75" s="3" t="inlineStr">
        <is>
          <t>Plano v1, seção 2</t>
        </is>
      </c>
    </row>
    <row r="76">
      <c r="A76" s="3" t="inlineStr">
        <is>
          <t>H6: LTV/CAC mínimo</t>
        </is>
      </c>
      <c r="B76" s="3" t="inlineStr">
        <is>
          <t>x</t>
        </is>
      </c>
      <c r="C76" s="19" t="n">
        <v>3</v>
      </c>
      <c r="D76" s="19" t="n">
        <v>3</v>
      </c>
      <c r="E76" s="19" t="n">
        <v>3</v>
      </c>
      <c r="F76" s="11">
        <f>CHOOSE($C$3,C76,D76,E76)</f>
        <v/>
      </c>
      <c r="G76" s="3" t="inlineStr">
        <is>
          <t>Plano v1, seção 2. Aqui medido com o CAC total de vendas e marketing (mais exigente que o CAC de mídia do v2.1)</t>
        </is>
      </c>
    </row>
    <row r="77">
      <c r="A77" s="3" t="inlineStr">
        <is>
          <t>H6: recuperação máxima do CAC</t>
        </is>
      </c>
      <c r="B77" s="3" t="inlineStr">
        <is>
          <t>meses</t>
        </is>
      </c>
      <c r="C77" s="16" t="n">
        <v>12</v>
      </c>
      <c r="D77" s="16" t="n">
        <v>12</v>
      </c>
      <c r="E77" s="16" t="n">
        <v>12</v>
      </c>
      <c r="F77" s="8">
        <f>CHOOSE($C$3,C77,D77,E77)</f>
        <v/>
      </c>
      <c r="G77" s="3" t="inlineStr">
        <is>
          <t>Plano v1, seção 2</t>
        </is>
      </c>
    </row>
    <row r="78">
      <c r="A78" s="3" t="inlineStr">
        <is>
          <t>H7: receita recorrente anual mínima em até 7 anos</t>
        </is>
      </c>
      <c r="B78" s="3" t="inlineStr">
        <is>
          <t>R$</t>
        </is>
      </c>
      <c r="C78" s="30" t="n">
        <v>50000000</v>
      </c>
      <c r="D78" s="30" t="n">
        <v>50000000</v>
      </c>
      <c r="E78" s="30" t="n">
        <v>50000000</v>
      </c>
      <c r="F78" s="27">
        <f>CHOOSE($C$3,C78,D78,E78)</f>
        <v/>
      </c>
      <c r="G78" s="3" t="inlineStr">
        <is>
          <t>Plano v1, seção 2</t>
        </is>
      </c>
    </row>
    <row r="79">
      <c r="A79" s="3" t="inlineStr">
        <is>
          <t>H7: participação máxima do mercado endereçável quando atingir esse valor</t>
        </is>
      </c>
      <c r="B79" s="3" t="inlineStr">
        <is>
          <t>%</t>
        </is>
      </c>
      <c r="C79" s="29" t="n">
        <v>0.03</v>
      </c>
      <c r="D79" s="29" t="n">
        <v>0.03</v>
      </c>
      <c r="E79" s="29" t="n">
        <v>0.03</v>
      </c>
      <c r="F79" s="28">
        <f>CHOOSE($C$3,C79,D79,E79)</f>
        <v/>
      </c>
      <c r="G79" s="3" t="inlineStr">
        <is>
          <t>Plano v1, seção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Economia por clínica, por plano (cenário selecionado)</t>
        </is>
      </c>
    </row>
    <row r="2">
      <c r="A2" s="3" t="inlineStr">
        <is>
          <t>Contribuição = mensalidade menos impostos (alíquota cheia), meios de pagamento, custo direto e parte do especialista. LTV = contribuição / churn + taxa de implantação - custo de implantação (sem receita de expansão).</t>
        </is>
      </c>
    </row>
    <row r="4">
      <c r="A4" s="6" t="inlineStr">
        <is>
          <t>Plano</t>
        </is>
      </c>
      <c r="B4" s="7" t="inlineStr">
        <is>
          <t>Mensalidade</t>
        </is>
      </c>
      <c r="C4" s="7" t="inlineStr">
        <is>
          <t>Contribuição mensal</t>
        </is>
      </c>
      <c r="D4" s="7" t="inlineStr">
        <is>
          <t>Margem de contribuição</t>
        </is>
      </c>
      <c r="E4" s="7" t="inlineStr">
        <is>
          <t>Churn mensal</t>
        </is>
      </c>
      <c r="F4" s="7" t="inlineStr">
        <is>
          <t>Vida média (meses)</t>
        </is>
      </c>
      <c r="G4" s="7" t="inlineStr">
        <is>
          <t>LTV</t>
        </is>
      </c>
      <c r="H4" s="7" t="inlineStr">
        <is>
          <t>LTV/CAC (CAC total do ano 5)</t>
        </is>
      </c>
      <c r="I4" s="7" t="inlineStr">
        <is>
          <t>Recuperação do CAC (meses)</t>
        </is>
      </c>
      <c r="J4" s="7" t="inlineStr">
        <is>
          <t>Margem bruta do plano</t>
        </is>
      </c>
    </row>
    <row r="5">
      <c r="A5" s="3" t="inlineStr">
        <is>
          <t>Clínica Essencial</t>
        </is>
      </c>
      <c r="B5" s="27">
        <f>Premissas!$F$54</f>
        <v/>
      </c>
      <c r="C5" s="27">
        <f>B5*(1-Premissas!$F$10-Premissas!$F$11)-Premissas!$F$58-Premissas!$F$50/Premissas!$F$59</f>
        <v/>
      </c>
      <c r="D5" s="28">
        <f>C5/B5</f>
        <v/>
      </c>
      <c r="E5" s="28">
        <f>Premissas!$F$57</f>
        <v/>
      </c>
      <c r="F5" s="12">
        <f>1/E5</f>
        <v/>
      </c>
      <c r="G5" s="27">
        <f>C5/E5+Premissas!$F$55-Premissas!$F$51</f>
        <v/>
      </c>
      <c r="H5" s="11">
        <f>G5/$B$11</f>
        <v/>
      </c>
      <c r="I5" s="12">
        <f>$B$11/C5</f>
        <v/>
      </c>
      <c r="J5" s="28">
        <f>C5/(B5*(1-Premissas!$F$10-Premissas!$F$11))</f>
        <v/>
      </c>
    </row>
    <row r="6">
      <c r="A6" s="3" t="inlineStr">
        <is>
          <t>Clínica Pro</t>
        </is>
      </c>
      <c r="B6" s="27">
        <f>Premissas!$F$60</f>
        <v/>
      </c>
      <c r="C6" s="27">
        <f>B6*(1-Premissas!$F$10-Premissas!$F$11)-Premissas!$F$64-Premissas!$F$50/Premissas!$F$65</f>
        <v/>
      </c>
      <c r="D6" s="28">
        <f>C6/B6</f>
        <v/>
      </c>
      <c r="E6" s="28">
        <f>Premissas!$F$63</f>
        <v/>
      </c>
      <c r="F6" s="12">
        <f>1/E6</f>
        <v/>
      </c>
      <c r="G6" s="27">
        <f>C6/E6+Premissas!$F$61-Premissas!$F$51</f>
        <v/>
      </c>
      <c r="H6" s="11">
        <f>G6/$B$11</f>
        <v/>
      </c>
      <c r="I6" s="12">
        <f>$B$11/C6</f>
        <v/>
      </c>
      <c r="J6" s="28">
        <f>C6/(B6*(1-Premissas!$F$10-Premissas!$F$11))</f>
        <v/>
      </c>
    </row>
    <row r="7">
      <c r="A7" s="3" t="inlineStr">
        <is>
          <t>Rede</t>
        </is>
      </c>
      <c r="B7" s="27">
        <f>Premissas!$F$66</f>
        <v/>
      </c>
      <c r="C7" s="27">
        <f>B7*(1-Premissas!$F$10-Premissas!$F$11)-Premissas!$F$70-Premissas!$F$50/Premissas!$F$71</f>
        <v/>
      </c>
      <c r="D7" s="28">
        <f>C7/B7</f>
        <v/>
      </c>
      <c r="E7" s="28">
        <f>Premissas!$F$69</f>
        <v/>
      </c>
      <c r="F7" s="12">
        <f>1/E7</f>
        <v/>
      </c>
      <c r="G7" s="27">
        <f>C7/E7+Premissas!$F$67-Premissas!$F$51</f>
        <v/>
      </c>
      <c r="H7" s="11">
        <f>G7/$B$11</f>
        <v/>
      </c>
      <c r="I7" s="12">
        <f>$B$11/C7</f>
        <v/>
      </c>
      <c r="J7" s="28">
        <f>C7/(B7*(1-Premissas!$F$10-Premissas!$F$11))</f>
        <v/>
      </c>
    </row>
    <row r="8">
      <c r="A8" s="2" t="inlineStr">
        <is>
          <t>Ponderado pelo mix de clínicas novas</t>
        </is>
      </c>
      <c r="B8" s="31">
        <f>Premissas!$F$56*B5+Premissas!$F$62*B6+Premissas!$F$68*B7</f>
        <v/>
      </c>
      <c r="C8" s="31">
        <f>Premissas!$F$56*C5+Premissas!$F$62*C6+Premissas!$F$68*C7</f>
        <v/>
      </c>
      <c r="G8" s="31">
        <f>Premissas!$F$56*G5+Premissas!$F$62*G6+Premissas!$F$68*G7</f>
        <v/>
      </c>
      <c r="H8" s="22">
        <f>G8/$B$11</f>
        <v/>
      </c>
      <c r="I8" s="23">
        <f>$B$11/C8</f>
        <v/>
      </c>
    </row>
    <row r="11">
      <c r="A11" s="2" t="inlineStr">
        <is>
          <t>CAC total no ano 5 (gasto de aquisição / clínicas novas)</t>
        </is>
      </c>
      <c r="B11" s="31">
        <f>SUMIF('Modelo C'!$C$3:$CH$3,5,'Modelo C'!$C$72:$CH$72)/SUMIF('Modelo C'!$C$3:$CH$3,5,'Modelo C'!$C$15:$CH$15)</f>
        <v/>
      </c>
    </row>
    <row r="12">
      <c r="A12" s="3" t="inlineStr">
        <is>
          <t>CAC só de mídia (comparável ao v2.1)</t>
        </is>
      </c>
      <c r="B12" s="27">
        <f>Premissas!$F$43</f>
        <v/>
      </c>
    </row>
    <row r="13">
      <c r="A13" s="3" t="inlineStr">
        <is>
          <t>CAC total no ano 2</t>
        </is>
      </c>
      <c r="B13" s="27">
        <f>SUMIF('Modelo C'!$C$3:$CH$3,2,'Modelo C'!$C$72:$CH$72)/SUMIF('Modelo C'!$C$3:$CH$3,2,'Modelo C'!$C$15:$CH$15)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H7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</cols>
  <sheetData>
    <row r="1">
      <c r="A1" s="1" t="inlineStr">
        <is>
          <t>Modelo C: agência operada por agentes para clínicas · mês a mês</t>
        </is>
      </c>
    </row>
    <row r="2">
      <c r="A2" s="2" t="inlineStr">
        <is>
          <t>Mês</t>
        </is>
      </c>
      <c r="C2" s="24" t="n">
        <v>1</v>
      </c>
      <c r="D2" s="24" t="n">
        <v>2</v>
      </c>
      <c r="E2" s="24" t="n">
        <v>3</v>
      </c>
      <c r="F2" s="24" t="n">
        <v>4</v>
      </c>
      <c r="G2" s="24" t="n">
        <v>5</v>
      </c>
      <c r="H2" s="24" t="n">
        <v>6</v>
      </c>
      <c r="I2" s="24" t="n">
        <v>7</v>
      </c>
      <c r="J2" s="24" t="n">
        <v>8</v>
      </c>
      <c r="K2" s="24" t="n">
        <v>9</v>
      </c>
      <c r="L2" s="24" t="n">
        <v>10</v>
      </c>
      <c r="M2" s="24" t="n">
        <v>11</v>
      </c>
      <c r="N2" s="24" t="n">
        <v>12</v>
      </c>
      <c r="O2" s="24" t="n">
        <v>13</v>
      </c>
      <c r="P2" s="24" t="n">
        <v>14</v>
      </c>
      <c r="Q2" s="24" t="n">
        <v>15</v>
      </c>
      <c r="R2" s="24" t="n">
        <v>16</v>
      </c>
      <c r="S2" s="24" t="n">
        <v>17</v>
      </c>
      <c r="T2" s="24" t="n">
        <v>18</v>
      </c>
      <c r="U2" s="24" t="n">
        <v>19</v>
      </c>
      <c r="V2" s="24" t="n">
        <v>20</v>
      </c>
      <c r="W2" s="24" t="n">
        <v>21</v>
      </c>
      <c r="X2" s="24" t="n">
        <v>22</v>
      </c>
      <c r="Y2" s="24" t="n">
        <v>23</v>
      </c>
      <c r="Z2" s="24" t="n">
        <v>24</v>
      </c>
      <c r="AA2" s="24" t="n">
        <v>25</v>
      </c>
      <c r="AB2" s="24" t="n">
        <v>26</v>
      </c>
      <c r="AC2" s="24" t="n">
        <v>27</v>
      </c>
      <c r="AD2" s="24" t="n">
        <v>28</v>
      </c>
      <c r="AE2" s="24" t="n">
        <v>29</v>
      </c>
      <c r="AF2" s="24" t="n">
        <v>30</v>
      </c>
      <c r="AG2" s="24" t="n">
        <v>31</v>
      </c>
      <c r="AH2" s="24" t="n">
        <v>32</v>
      </c>
      <c r="AI2" s="24" t="n">
        <v>33</v>
      </c>
      <c r="AJ2" s="24" t="n">
        <v>34</v>
      </c>
      <c r="AK2" s="24" t="n">
        <v>35</v>
      </c>
      <c r="AL2" s="24" t="n">
        <v>36</v>
      </c>
      <c r="AM2" s="24" t="n">
        <v>37</v>
      </c>
      <c r="AN2" s="24" t="n">
        <v>38</v>
      </c>
      <c r="AO2" s="24" t="n">
        <v>39</v>
      </c>
      <c r="AP2" s="24" t="n">
        <v>40</v>
      </c>
      <c r="AQ2" s="24" t="n">
        <v>41</v>
      </c>
      <c r="AR2" s="24" t="n">
        <v>42</v>
      </c>
      <c r="AS2" s="24" t="n">
        <v>43</v>
      </c>
      <c r="AT2" s="24" t="n">
        <v>44</v>
      </c>
      <c r="AU2" s="24" t="n">
        <v>45</v>
      </c>
      <c r="AV2" s="24" t="n">
        <v>46</v>
      </c>
      <c r="AW2" s="24" t="n">
        <v>47</v>
      </c>
      <c r="AX2" s="24" t="n">
        <v>48</v>
      </c>
      <c r="AY2" s="24" t="n">
        <v>49</v>
      </c>
      <c r="AZ2" s="24" t="n">
        <v>50</v>
      </c>
      <c r="BA2" s="24" t="n">
        <v>51</v>
      </c>
      <c r="BB2" s="24" t="n">
        <v>52</v>
      </c>
      <c r="BC2" s="24" t="n">
        <v>53</v>
      </c>
      <c r="BD2" s="24" t="n">
        <v>54</v>
      </c>
      <c r="BE2" s="24" t="n">
        <v>55</v>
      </c>
      <c r="BF2" s="24" t="n">
        <v>56</v>
      </c>
      <c r="BG2" s="24" t="n">
        <v>57</v>
      </c>
      <c r="BH2" s="24" t="n">
        <v>58</v>
      </c>
      <c r="BI2" s="24" t="n">
        <v>59</v>
      </c>
      <c r="BJ2" s="24" t="n">
        <v>60</v>
      </c>
      <c r="BK2" s="24" t="n">
        <v>61</v>
      </c>
      <c r="BL2" s="24" t="n">
        <v>62</v>
      </c>
      <c r="BM2" s="24" t="n">
        <v>63</v>
      </c>
      <c r="BN2" s="24" t="n">
        <v>64</v>
      </c>
      <c r="BO2" s="24" t="n">
        <v>65</v>
      </c>
      <c r="BP2" s="24" t="n">
        <v>66</v>
      </c>
      <c r="BQ2" s="24" t="n">
        <v>67</v>
      </c>
      <c r="BR2" s="24" t="n">
        <v>68</v>
      </c>
      <c r="BS2" s="24" t="n">
        <v>69</v>
      </c>
      <c r="BT2" s="24" t="n">
        <v>70</v>
      </c>
      <c r="BU2" s="24" t="n">
        <v>71</v>
      </c>
      <c r="BV2" s="24" t="n">
        <v>72</v>
      </c>
      <c r="BW2" s="24" t="n">
        <v>73</v>
      </c>
      <c r="BX2" s="24" t="n">
        <v>74</v>
      </c>
      <c r="BY2" s="24" t="n">
        <v>75</v>
      </c>
      <c r="BZ2" s="24" t="n">
        <v>76</v>
      </c>
      <c r="CA2" s="24" t="n">
        <v>77</v>
      </c>
      <c r="CB2" s="24" t="n">
        <v>78</v>
      </c>
      <c r="CC2" s="24" t="n">
        <v>79</v>
      </c>
      <c r="CD2" s="24" t="n">
        <v>80</v>
      </c>
      <c r="CE2" s="24" t="n">
        <v>81</v>
      </c>
      <c r="CF2" s="24" t="n">
        <v>82</v>
      </c>
      <c r="CG2" s="24" t="n">
        <v>83</v>
      </c>
      <c r="CH2" s="24" t="n">
        <v>84</v>
      </c>
    </row>
    <row r="3">
      <c r="A3" s="3" t="inlineStr">
        <is>
          <t>Ano</t>
        </is>
      </c>
      <c r="C3" s="8">
        <f>ROUNDUP(C2/12,0)</f>
        <v/>
      </c>
      <c r="D3" s="8">
        <f>ROUNDUP(D2/12,0)</f>
        <v/>
      </c>
      <c r="E3" s="8">
        <f>ROUNDUP(E2/12,0)</f>
        <v/>
      </c>
      <c r="F3" s="8">
        <f>ROUNDUP(F2/12,0)</f>
        <v/>
      </c>
      <c r="G3" s="8">
        <f>ROUNDUP(G2/12,0)</f>
        <v/>
      </c>
      <c r="H3" s="8">
        <f>ROUNDUP(H2/12,0)</f>
        <v/>
      </c>
      <c r="I3" s="8">
        <f>ROUNDUP(I2/12,0)</f>
        <v/>
      </c>
      <c r="J3" s="8">
        <f>ROUNDUP(J2/12,0)</f>
        <v/>
      </c>
      <c r="K3" s="8">
        <f>ROUNDUP(K2/12,0)</f>
        <v/>
      </c>
      <c r="L3" s="8">
        <f>ROUNDUP(L2/12,0)</f>
        <v/>
      </c>
      <c r="M3" s="8">
        <f>ROUNDUP(M2/12,0)</f>
        <v/>
      </c>
      <c r="N3" s="8">
        <f>ROUNDUP(N2/12,0)</f>
        <v/>
      </c>
      <c r="O3" s="8">
        <f>ROUNDUP(O2/12,0)</f>
        <v/>
      </c>
      <c r="P3" s="8">
        <f>ROUNDUP(P2/12,0)</f>
        <v/>
      </c>
      <c r="Q3" s="8">
        <f>ROUNDUP(Q2/12,0)</f>
        <v/>
      </c>
      <c r="R3" s="8">
        <f>ROUNDUP(R2/12,0)</f>
        <v/>
      </c>
      <c r="S3" s="8">
        <f>ROUNDUP(S2/12,0)</f>
        <v/>
      </c>
      <c r="T3" s="8">
        <f>ROUNDUP(T2/12,0)</f>
        <v/>
      </c>
      <c r="U3" s="8">
        <f>ROUNDUP(U2/12,0)</f>
        <v/>
      </c>
      <c r="V3" s="8">
        <f>ROUNDUP(V2/12,0)</f>
        <v/>
      </c>
      <c r="W3" s="8">
        <f>ROUNDUP(W2/12,0)</f>
        <v/>
      </c>
      <c r="X3" s="8">
        <f>ROUNDUP(X2/12,0)</f>
        <v/>
      </c>
      <c r="Y3" s="8">
        <f>ROUNDUP(Y2/12,0)</f>
        <v/>
      </c>
      <c r="Z3" s="8">
        <f>ROUNDUP(Z2/12,0)</f>
        <v/>
      </c>
      <c r="AA3" s="8">
        <f>ROUNDUP(AA2/12,0)</f>
        <v/>
      </c>
      <c r="AB3" s="8">
        <f>ROUNDUP(AB2/12,0)</f>
        <v/>
      </c>
      <c r="AC3" s="8">
        <f>ROUNDUP(AC2/12,0)</f>
        <v/>
      </c>
      <c r="AD3" s="8">
        <f>ROUNDUP(AD2/12,0)</f>
        <v/>
      </c>
      <c r="AE3" s="8">
        <f>ROUNDUP(AE2/12,0)</f>
        <v/>
      </c>
      <c r="AF3" s="8">
        <f>ROUNDUP(AF2/12,0)</f>
        <v/>
      </c>
      <c r="AG3" s="8">
        <f>ROUNDUP(AG2/12,0)</f>
        <v/>
      </c>
      <c r="AH3" s="8">
        <f>ROUNDUP(AH2/12,0)</f>
        <v/>
      </c>
      <c r="AI3" s="8">
        <f>ROUNDUP(AI2/12,0)</f>
        <v/>
      </c>
      <c r="AJ3" s="8">
        <f>ROUNDUP(AJ2/12,0)</f>
        <v/>
      </c>
      <c r="AK3" s="8">
        <f>ROUNDUP(AK2/12,0)</f>
        <v/>
      </c>
      <c r="AL3" s="8">
        <f>ROUNDUP(AL2/12,0)</f>
        <v/>
      </c>
      <c r="AM3" s="8">
        <f>ROUNDUP(AM2/12,0)</f>
        <v/>
      </c>
      <c r="AN3" s="8">
        <f>ROUNDUP(AN2/12,0)</f>
        <v/>
      </c>
      <c r="AO3" s="8">
        <f>ROUNDUP(AO2/12,0)</f>
        <v/>
      </c>
      <c r="AP3" s="8">
        <f>ROUNDUP(AP2/12,0)</f>
        <v/>
      </c>
      <c r="AQ3" s="8">
        <f>ROUNDUP(AQ2/12,0)</f>
        <v/>
      </c>
      <c r="AR3" s="8">
        <f>ROUNDUP(AR2/12,0)</f>
        <v/>
      </c>
      <c r="AS3" s="8">
        <f>ROUNDUP(AS2/12,0)</f>
        <v/>
      </c>
      <c r="AT3" s="8">
        <f>ROUNDUP(AT2/12,0)</f>
        <v/>
      </c>
      <c r="AU3" s="8">
        <f>ROUNDUP(AU2/12,0)</f>
        <v/>
      </c>
      <c r="AV3" s="8">
        <f>ROUNDUP(AV2/12,0)</f>
        <v/>
      </c>
      <c r="AW3" s="8">
        <f>ROUNDUP(AW2/12,0)</f>
        <v/>
      </c>
      <c r="AX3" s="8">
        <f>ROUNDUP(AX2/12,0)</f>
        <v/>
      </c>
      <c r="AY3" s="8">
        <f>ROUNDUP(AY2/12,0)</f>
        <v/>
      </c>
      <c r="AZ3" s="8">
        <f>ROUNDUP(AZ2/12,0)</f>
        <v/>
      </c>
      <c r="BA3" s="8">
        <f>ROUNDUP(BA2/12,0)</f>
        <v/>
      </c>
      <c r="BB3" s="8">
        <f>ROUNDUP(BB2/12,0)</f>
        <v/>
      </c>
      <c r="BC3" s="8">
        <f>ROUNDUP(BC2/12,0)</f>
        <v/>
      </c>
      <c r="BD3" s="8">
        <f>ROUNDUP(BD2/12,0)</f>
        <v/>
      </c>
      <c r="BE3" s="8">
        <f>ROUNDUP(BE2/12,0)</f>
        <v/>
      </c>
      <c r="BF3" s="8">
        <f>ROUNDUP(BF2/12,0)</f>
        <v/>
      </c>
      <c r="BG3" s="8">
        <f>ROUNDUP(BG2/12,0)</f>
        <v/>
      </c>
      <c r="BH3" s="8">
        <f>ROUNDUP(BH2/12,0)</f>
        <v/>
      </c>
      <c r="BI3" s="8">
        <f>ROUNDUP(BI2/12,0)</f>
        <v/>
      </c>
      <c r="BJ3" s="8">
        <f>ROUNDUP(BJ2/12,0)</f>
        <v/>
      </c>
      <c r="BK3" s="8">
        <f>ROUNDUP(BK2/12,0)</f>
        <v/>
      </c>
      <c r="BL3" s="8">
        <f>ROUNDUP(BL2/12,0)</f>
        <v/>
      </c>
      <c r="BM3" s="8">
        <f>ROUNDUP(BM2/12,0)</f>
        <v/>
      </c>
      <c r="BN3" s="8">
        <f>ROUNDUP(BN2/12,0)</f>
        <v/>
      </c>
      <c r="BO3" s="8">
        <f>ROUNDUP(BO2/12,0)</f>
        <v/>
      </c>
      <c r="BP3" s="8">
        <f>ROUNDUP(BP2/12,0)</f>
        <v/>
      </c>
      <c r="BQ3" s="8">
        <f>ROUNDUP(BQ2/12,0)</f>
        <v/>
      </c>
      <c r="BR3" s="8">
        <f>ROUNDUP(BR2/12,0)</f>
        <v/>
      </c>
      <c r="BS3" s="8">
        <f>ROUNDUP(BS2/12,0)</f>
        <v/>
      </c>
      <c r="BT3" s="8">
        <f>ROUNDUP(BT2/12,0)</f>
        <v/>
      </c>
      <c r="BU3" s="8">
        <f>ROUNDUP(BU2/12,0)</f>
        <v/>
      </c>
      <c r="BV3" s="8">
        <f>ROUNDUP(BV2/12,0)</f>
        <v/>
      </c>
      <c r="BW3" s="8">
        <f>ROUNDUP(BW2/12,0)</f>
        <v/>
      </c>
      <c r="BX3" s="8">
        <f>ROUNDUP(BX2/12,0)</f>
        <v/>
      </c>
      <c r="BY3" s="8">
        <f>ROUNDUP(BY2/12,0)</f>
        <v/>
      </c>
      <c r="BZ3" s="8">
        <f>ROUNDUP(BZ2/12,0)</f>
        <v/>
      </c>
      <c r="CA3" s="8">
        <f>ROUNDUP(CA2/12,0)</f>
        <v/>
      </c>
      <c r="CB3" s="8">
        <f>ROUNDUP(CB2/12,0)</f>
        <v/>
      </c>
      <c r="CC3" s="8">
        <f>ROUNDUP(CC2/12,0)</f>
        <v/>
      </c>
      <c r="CD3" s="8">
        <f>ROUNDUP(CD2/12,0)</f>
        <v/>
      </c>
      <c r="CE3" s="8">
        <f>ROUNDUP(CE2/12,0)</f>
        <v/>
      </c>
      <c r="CF3" s="8">
        <f>ROUNDUP(CF2/12,0)</f>
        <v/>
      </c>
      <c r="CG3" s="8">
        <f>ROUNDUP(CG2/12,0)</f>
        <v/>
      </c>
      <c r="CH3" s="8">
        <f>ROUNDUP(CH2/12,0)</f>
        <v/>
      </c>
    </row>
    <row r="4">
      <c r="A4" s="3" t="inlineStr">
        <is>
          <t>Venda ativa (1 a partir do lançamento)</t>
        </is>
      </c>
      <c r="C4" s="8">
        <f>IF(C2&gt;=Premissas!$F$8,1,0)</f>
        <v/>
      </c>
      <c r="D4" s="8">
        <f>IF(D2&gt;=Premissas!$F$8,1,0)</f>
        <v/>
      </c>
      <c r="E4" s="8">
        <f>IF(E2&gt;=Premissas!$F$8,1,0)</f>
        <v/>
      </c>
      <c r="F4" s="8">
        <f>IF(F2&gt;=Premissas!$F$8,1,0)</f>
        <v/>
      </c>
      <c r="G4" s="8">
        <f>IF(G2&gt;=Premissas!$F$8,1,0)</f>
        <v/>
      </c>
      <c r="H4" s="8">
        <f>IF(H2&gt;=Premissas!$F$8,1,0)</f>
        <v/>
      </c>
      <c r="I4" s="8">
        <f>IF(I2&gt;=Premissas!$F$8,1,0)</f>
        <v/>
      </c>
      <c r="J4" s="8">
        <f>IF(J2&gt;=Premissas!$F$8,1,0)</f>
        <v/>
      </c>
      <c r="K4" s="8">
        <f>IF(K2&gt;=Premissas!$F$8,1,0)</f>
        <v/>
      </c>
      <c r="L4" s="8">
        <f>IF(L2&gt;=Premissas!$F$8,1,0)</f>
        <v/>
      </c>
      <c r="M4" s="8">
        <f>IF(M2&gt;=Premissas!$F$8,1,0)</f>
        <v/>
      </c>
      <c r="N4" s="8">
        <f>IF(N2&gt;=Premissas!$F$8,1,0)</f>
        <v/>
      </c>
      <c r="O4" s="8">
        <f>IF(O2&gt;=Premissas!$F$8,1,0)</f>
        <v/>
      </c>
      <c r="P4" s="8">
        <f>IF(P2&gt;=Premissas!$F$8,1,0)</f>
        <v/>
      </c>
      <c r="Q4" s="8">
        <f>IF(Q2&gt;=Premissas!$F$8,1,0)</f>
        <v/>
      </c>
      <c r="R4" s="8">
        <f>IF(R2&gt;=Premissas!$F$8,1,0)</f>
        <v/>
      </c>
      <c r="S4" s="8">
        <f>IF(S2&gt;=Premissas!$F$8,1,0)</f>
        <v/>
      </c>
      <c r="T4" s="8">
        <f>IF(T2&gt;=Premissas!$F$8,1,0)</f>
        <v/>
      </c>
      <c r="U4" s="8">
        <f>IF(U2&gt;=Premissas!$F$8,1,0)</f>
        <v/>
      </c>
      <c r="V4" s="8">
        <f>IF(V2&gt;=Premissas!$F$8,1,0)</f>
        <v/>
      </c>
      <c r="W4" s="8">
        <f>IF(W2&gt;=Premissas!$F$8,1,0)</f>
        <v/>
      </c>
      <c r="X4" s="8">
        <f>IF(X2&gt;=Premissas!$F$8,1,0)</f>
        <v/>
      </c>
      <c r="Y4" s="8">
        <f>IF(Y2&gt;=Premissas!$F$8,1,0)</f>
        <v/>
      </c>
      <c r="Z4" s="8">
        <f>IF(Z2&gt;=Premissas!$F$8,1,0)</f>
        <v/>
      </c>
      <c r="AA4" s="8">
        <f>IF(AA2&gt;=Premissas!$F$8,1,0)</f>
        <v/>
      </c>
      <c r="AB4" s="8">
        <f>IF(AB2&gt;=Premissas!$F$8,1,0)</f>
        <v/>
      </c>
      <c r="AC4" s="8">
        <f>IF(AC2&gt;=Premissas!$F$8,1,0)</f>
        <v/>
      </c>
      <c r="AD4" s="8">
        <f>IF(AD2&gt;=Premissas!$F$8,1,0)</f>
        <v/>
      </c>
      <c r="AE4" s="8">
        <f>IF(AE2&gt;=Premissas!$F$8,1,0)</f>
        <v/>
      </c>
      <c r="AF4" s="8">
        <f>IF(AF2&gt;=Premissas!$F$8,1,0)</f>
        <v/>
      </c>
      <c r="AG4" s="8">
        <f>IF(AG2&gt;=Premissas!$F$8,1,0)</f>
        <v/>
      </c>
      <c r="AH4" s="8">
        <f>IF(AH2&gt;=Premissas!$F$8,1,0)</f>
        <v/>
      </c>
      <c r="AI4" s="8">
        <f>IF(AI2&gt;=Premissas!$F$8,1,0)</f>
        <v/>
      </c>
      <c r="AJ4" s="8">
        <f>IF(AJ2&gt;=Premissas!$F$8,1,0)</f>
        <v/>
      </c>
      <c r="AK4" s="8">
        <f>IF(AK2&gt;=Premissas!$F$8,1,0)</f>
        <v/>
      </c>
      <c r="AL4" s="8">
        <f>IF(AL2&gt;=Premissas!$F$8,1,0)</f>
        <v/>
      </c>
      <c r="AM4" s="8">
        <f>IF(AM2&gt;=Premissas!$F$8,1,0)</f>
        <v/>
      </c>
      <c r="AN4" s="8">
        <f>IF(AN2&gt;=Premissas!$F$8,1,0)</f>
        <v/>
      </c>
      <c r="AO4" s="8">
        <f>IF(AO2&gt;=Premissas!$F$8,1,0)</f>
        <v/>
      </c>
      <c r="AP4" s="8">
        <f>IF(AP2&gt;=Premissas!$F$8,1,0)</f>
        <v/>
      </c>
      <c r="AQ4" s="8">
        <f>IF(AQ2&gt;=Premissas!$F$8,1,0)</f>
        <v/>
      </c>
      <c r="AR4" s="8">
        <f>IF(AR2&gt;=Premissas!$F$8,1,0)</f>
        <v/>
      </c>
      <c r="AS4" s="8">
        <f>IF(AS2&gt;=Premissas!$F$8,1,0)</f>
        <v/>
      </c>
      <c r="AT4" s="8">
        <f>IF(AT2&gt;=Premissas!$F$8,1,0)</f>
        <v/>
      </c>
      <c r="AU4" s="8">
        <f>IF(AU2&gt;=Premissas!$F$8,1,0)</f>
        <v/>
      </c>
      <c r="AV4" s="8">
        <f>IF(AV2&gt;=Premissas!$F$8,1,0)</f>
        <v/>
      </c>
      <c r="AW4" s="8">
        <f>IF(AW2&gt;=Premissas!$F$8,1,0)</f>
        <v/>
      </c>
      <c r="AX4" s="8">
        <f>IF(AX2&gt;=Premissas!$F$8,1,0)</f>
        <v/>
      </c>
      <c r="AY4" s="8">
        <f>IF(AY2&gt;=Premissas!$F$8,1,0)</f>
        <v/>
      </c>
      <c r="AZ4" s="8">
        <f>IF(AZ2&gt;=Premissas!$F$8,1,0)</f>
        <v/>
      </c>
      <c r="BA4" s="8">
        <f>IF(BA2&gt;=Premissas!$F$8,1,0)</f>
        <v/>
      </c>
      <c r="BB4" s="8">
        <f>IF(BB2&gt;=Premissas!$F$8,1,0)</f>
        <v/>
      </c>
      <c r="BC4" s="8">
        <f>IF(BC2&gt;=Premissas!$F$8,1,0)</f>
        <v/>
      </c>
      <c r="BD4" s="8">
        <f>IF(BD2&gt;=Premissas!$F$8,1,0)</f>
        <v/>
      </c>
      <c r="BE4" s="8">
        <f>IF(BE2&gt;=Premissas!$F$8,1,0)</f>
        <v/>
      </c>
      <c r="BF4" s="8">
        <f>IF(BF2&gt;=Premissas!$F$8,1,0)</f>
        <v/>
      </c>
      <c r="BG4" s="8">
        <f>IF(BG2&gt;=Premissas!$F$8,1,0)</f>
        <v/>
      </c>
      <c r="BH4" s="8">
        <f>IF(BH2&gt;=Premissas!$F$8,1,0)</f>
        <v/>
      </c>
      <c r="BI4" s="8">
        <f>IF(BI2&gt;=Premissas!$F$8,1,0)</f>
        <v/>
      </c>
      <c r="BJ4" s="8">
        <f>IF(BJ2&gt;=Premissas!$F$8,1,0)</f>
        <v/>
      </c>
      <c r="BK4" s="8">
        <f>IF(BK2&gt;=Premissas!$F$8,1,0)</f>
        <v/>
      </c>
      <c r="BL4" s="8">
        <f>IF(BL2&gt;=Premissas!$F$8,1,0)</f>
        <v/>
      </c>
      <c r="BM4" s="8">
        <f>IF(BM2&gt;=Premissas!$F$8,1,0)</f>
        <v/>
      </c>
      <c r="BN4" s="8">
        <f>IF(BN2&gt;=Premissas!$F$8,1,0)</f>
        <v/>
      </c>
      <c r="BO4" s="8">
        <f>IF(BO2&gt;=Premissas!$F$8,1,0)</f>
        <v/>
      </c>
      <c r="BP4" s="8">
        <f>IF(BP2&gt;=Premissas!$F$8,1,0)</f>
        <v/>
      </c>
      <c r="BQ4" s="8">
        <f>IF(BQ2&gt;=Premissas!$F$8,1,0)</f>
        <v/>
      </c>
      <c r="BR4" s="8">
        <f>IF(BR2&gt;=Premissas!$F$8,1,0)</f>
        <v/>
      </c>
      <c r="BS4" s="8">
        <f>IF(BS2&gt;=Premissas!$F$8,1,0)</f>
        <v/>
      </c>
      <c r="BT4" s="8">
        <f>IF(BT2&gt;=Premissas!$F$8,1,0)</f>
        <v/>
      </c>
      <c r="BU4" s="8">
        <f>IF(BU2&gt;=Premissas!$F$8,1,0)</f>
        <v/>
      </c>
      <c r="BV4" s="8">
        <f>IF(BV2&gt;=Premissas!$F$8,1,0)</f>
        <v/>
      </c>
      <c r="BW4" s="8">
        <f>IF(BW2&gt;=Premissas!$F$8,1,0)</f>
        <v/>
      </c>
      <c r="BX4" s="8">
        <f>IF(BX2&gt;=Premissas!$F$8,1,0)</f>
        <v/>
      </c>
      <c r="BY4" s="8">
        <f>IF(BY2&gt;=Premissas!$F$8,1,0)</f>
        <v/>
      </c>
      <c r="BZ4" s="8">
        <f>IF(BZ2&gt;=Premissas!$F$8,1,0)</f>
        <v/>
      </c>
      <c r="CA4" s="8">
        <f>IF(CA2&gt;=Premissas!$F$8,1,0)</f>
        <v/>
      </c>
      <c r="CB4" s="8">
        <f>IF(CB2&gt;=Premissas!$F$8,1,0)</f>
        <v/>
      </c>
      <c r="CC4" s="8">
        <f>IF(CC2&gt;=Premissas!$F$8,1,0)</f>
        <v/>
      </c>
      <c r="CD4" s="8">
        <f>IF(CD2&gt;=Premissas!$F$8,1,0)</f>
        <v/>
      </c>
      <c r="CE4" s="8">
        <f>IF(CE2&gt;=Premissas!$F$8,1,0)</f>
        <v/>
      </c>
      <c r="CF4" s="8">
        <f>IF(CF2&gt;=Premissas!$F$8,1,0)</f>
        <v/>
      </c>
      <c r="CG4" s="8">
        <f>IF(CG2&gt;=Premissas!$F$8,1,0)</f>
        <v/>
      </c>
      <c r="CH4" s="8">
        <f>IF(CH2&gt;=Premissas!$F$8,1,0)</f>
        <v/>
      </c>
    </row>
    <row r="5">
      <c r="A5" s="3" t="inlineStr">
        <is>
          <t>Fator de expansão para clínicas odontológicas</t>
        </is>
      </c>
      <c r="C5" s="11">
        <f>IF(C2&gt;=Premissas!$F$13,1+Premissas!$F$14,1)</f>
        <v/>
      </c>
      <c r="D5" s="11">
        <f>IF(D2&gt;=Premissas!$F$13,1+Premissas!$F$14,1)</f>
        <v/>
      </c>
      <c r="E5" s="11">
        <f>IF(E2&gt;=Premissas!$F$13,1+Premissas!$F$14,1)</f>
        <v/>
      </c>
      <c r="F5" s="11">
        <f>IF(F2&gt;=Premissas!$F$13,1+Premissas!$F$14,1)</f>
        <v/>
      </c>
      <c r="G5" s="11">
        <f>IF(G2&gt;=Premissas!$F$13,1+Premissas!$F$14,1)</f>
        <v/>
      </c>
      <c r="H5" s="11">
        <f>IF(H2&gt;=Premissas!$F$13,1+Premissas!$F$14,1)</f>
        <v/>
      </c>
      <c r="I5" s="11">
        <f>IF(I2&gt;=Premissas!$F$13,1+Premissas!$F$14,1)</f>
        <v/>
      </c>
      <c r="J5" s="11">
        <f>IF(J2&gt;=Premissas!$F$13,1+Premissas!$F$14,1)</f>
        <v/>
      </c>
      <c r="K5" s="11">
        <f>IF(K2&gt;=Premissas!$F$13,1+Premissas!$F$14,1)</f>
        <v/>
      </c>
      <c r="L5" s="11">
        <f>IF(L2&gt;=Premissas!$F$13,1+Premissas!$F$14,1)</f>
        <v/>
      </c>
      <c r="M5" s="11">
        <f>IF(M2&gt;=Premissas!$F$13,1+Premissas!$F$14,1)</f>
        <v/>
      </c>
      <c r="N5" s="11">
        <f>IF(N2&gt;=Premissas!$F$13,1+Premissas!$F$14,1)</f>
        <v/>
      </c>
      <c r="O5" s="11">
        <f>IF(O2&gt;=Premissas!$F$13,1+Premissas!$F$14,1)</f>
        <v/>
      </c>
      <c r="P5" s="11">
        <f>IF(P2&gt;=Premissas!$F$13,1+Premissas!$F$14,1)</f>
        <v/>
      </c>
      <c r="Q5" s="11">
        <f>IF(Q2&gt;=Premissas!$F$13,1+Premissas!$F$14,1)</f>
        <v/>
      </c>
      <c r="R5" s="11">
        <f>IF(R2&gt;=Premissas!$F$13,1+Premissas!$F$14,1)</f>
        <v/>
      </c>
      <c r="S5" s="11">
        <f>IF(S2&gt;=Premissas!$F$13,1+Premissas!$F$14,1)</f>
        <v/>
      </c>
      <c r="T5" s="11">
        <f>IF(T2&gt;=Premissas!$F$13,1+Premissas!$F$14,1)</f>
        <v/>
      </c>
      <c r="U5" s="11">
        <f>IF(U2&gt;=Premissas!$F$13,1+Premissas!$F$14,1)</f>
        <v/>
      </c>
      <c r="V5" s="11">
        <f>IF(V2&gt;=Premissas!$F$13,1+Premissas!$F$14,1)</f>
        <v/>
      </c>
      <c r="W5" s="11">
        <f>IF(W2&gt;=Premissas!$F$13,1+Premissas!$F$14,1)</f>
        <v/>
      </c>
      <c r="X5" s="11">
        <f>IF(X2&gt;=Premissas!$F$13,1+Premissas!$F$14,1)</f>
        <v/>
      </c>
      <c r="Y5" s="11">
        <f>IF(Y2&gt;=Premissas!$F$13,1+Premissas!$F$14,1)</f>
        <v/>
      </c>
      <c r="Z5" s="11">
        <f>IF(Z2&gt;=Premissas!$F$13,1+Premissas!$F$14,1)</f>
        <v/>
      </c>
      <c r="AA5" s="11">
        <f>IF(AA2&gt;=Premissas!$F$13,1+Premissas!$F$14,1)</f>
        <v/>
      </c>
      <c r="AB5" s="11">
        <f>IF(AB2&gt;=Premissas!$F$13,1+Premissas!$F$14,1)</f>
        <v/>
      </c>
      <c r="AC5" s="11">
        <f>IF(AC2&gt;=Premissas!$F$13,1+Premissas!$F$14,1)</f>
        <v/>
      </c>
      <c r="AD5" s="11">
        <f>IF(AD2&gt;=Premissas!$F$13,1+Premissas!$F$14,1)</f>
        <v/>
      </c>
      <c r="AE5" s="11">
        <f>IF(AE2&gt;=Premissas!$F$13,1+Premissas!$F$14,1)</f>
        <v/>
      </c>
      <c r="AF5" s="11">
        <f>IF(AF2&gt;=Premissas!$F$13,1+Premissas!$F$14,1)</f>
        <v/>
      </c>
      <c r="AG5" s="11">
        <f>IF(AG2&gt;=Premissas!$F$13,1+Premissas!$F$14,1)</f>
        <v/>
      </c>
      <c r="AH5" s="11">
        <f>IF(AH2&gt;=Premissas!$F$13,1+Premissas!$F$14,1)</f>
        <v/>
      </c>
      <c r="AI5" s="11">
        <f>IF(AI2&gt;=Premissas!$F$13,1+Premissas!$F$14,1)</f>
        <v/>
      </c>
      <c r="AJ5" s="11">
        <f>IF(AJ2&gt;=Premissas!$F$13,1+Premissas!$F$14,1)</f>
        <v/>
      </c>
      <c r="AK5" s="11">
        <f>IF(AK2&gt;=Premissas!$F$13,1+Premissas!$F$14,1)</f>
        <v/>
      </c>
      <c r="AL5" s="11">
        <f>IF(AL2&gt;=Premissas!$F$13,1+Premissas!$F$14,1)</f>
        <v/>
      </c>
      <c r="AM5" s="11">
        <f>IF(AM2&gt;=Premissas!$F$13,1+Premissas!$F$14,1)</f>
        <v/>
      </c>
      <c r="AN5" s="11">
        <f>IF(AN2&gt;=Premissas!$F$13,1+Premissas!$F$14,1)</f>
        <v/>
      </c>
      <c r="AO5" s="11">
        <f>IF(AO2&gt;=Premissas!$F$13,1+Premissas!$F$14,1)</f>
        <v/>
      </c>
      <c r="AP5" s="11">
        <f>IF(AP2&gt;=Premissas!$F$13,1+Premissas!$F$14,1)</f>
        <v/>
      </c>
      <c r="AQ5" s="11">
        <f>IF(AQ2&gt;=Premissas!$F$13,1+Premissas!$F$14,1)</f>
        <v/>
      </c>
      <c r="AR5" s="11">
        <f>IF(AR2&gt;=Premissas!$F$13,1+Premissas!$F$14,1)</f>
        <v/>
      </c>
      <c r="AS5" s="11">
        <f>IF(AS2&gt;=Premissas!$F$13,1+Premissas!$F$14,1)</f>
        <v/>
      </c>
      <c r="AT5" s="11">
        <f>IF(AT2&gt;=Premissas!$F$13,1+Premissas!$F$14,1)</f>
        <v/>
      </c>
      <c r="AU5" s="11">
        <f>IF(AU2&gt;=Premissas!$F$13,1+Premissas!$F$14,1)</f>
        <v/>
      </c>
      <c r="AV5" s="11">
        <f>IF(AV2&gt;=Premissas!$F$13,1+Premissas!$F$14,1)</f>
        <v/>
      </c>
      <c r="AW5" s="11">
        <f>IF(AW2&gt;=Premissas!$F$13,1+Premissas!$F$14,1)</f>
        <v/>
      </c>
      <c r="AX5" s="11">
        <f>IF(AX2&gt;=Premissas!$F$13,1+Premissas!$F$14,1)</f>
        <v/>
      </c>
      <c r="AY5" s="11">
        <f>IF(AY2&gt;=Premissas!$F$13,1+Premissas!$F$14,1)</f>
        <v/>
      </c>
      <c r="AZ5" s="11">
        <f>IF(AZ2&gt;=Premissas!$F$13,1+Premissas!$F$14,1)</f>
        <v/>
      </c>
      <c r="BA5" s="11">
        <f>IF(BA2&gt;=Premissas!$F$13,1+Premissas!$F$14,1)</f>
        <v/>
      </c>
      <c r="BB5" s="11">
        <f>IF(BB2&gt;=Premissas!$F$13,1+Premissas!$F$14,1)</f>
        <v/>
      </c>
      <c r="BC5" s="11">
        <f>IF(BC2&gt;=Premissas!$F$13,1+Premissas!$F$14,1)</f>
        <v/>
      </c>
      <c r="BD5" s="11">
        <f>IF(BD2&gt;=Premissas!$F$13,1+Premissas!$F$14,1)</f>
        <v/>
      </c>
      <c r="BE5" s="11">
        <f>IF(BE2&gt;=Premissas!$F$13,1+Premissas!$F$14,1)</f>
        <v/>
      </c>
      <c r="BF5" s="11">
        <f>IF(BF2&gt;=Premissas!$F$13,1+Premissas!$F$14,1)</f>
        <v/>
      </c>
      <c r="BG5" s="11">
        <f>IF(BG2&gt;=Premissas!$F$13,1+Premissas!$F$14,1)</f>
        <v/>
      </c>
      <c r="BH5" s="11">
        <f>IF(BH2&gt;=Premissas!$F$13,1+Premissas!$F$14,1)</f>
        <v/>
      </c>
      <c r="BI5" s="11">
        <f>IF(BI2&gt;=Premissas!$F$13,1+Premissas!$F$14,1)</f>
        <v/>
      </c>
      <c r="BJ5" s="11">
        <f>IF(BJ2&gt;=Premissas!$F$13,1+Premissas!$F$14,1)</f>
        <v/>
      </c>
      <c r="BK5" s="11">
        <f>IF(BK2&gt;=Premissas!$F$13,1+Premissas!$F$14,1)</f>
        <v/>
      </c>
      <c r="BL5" s="11">
        <f>IF(BL2&gt;=Premissas!$F$13,1+Premissas!$F$14,1)</f>
        <v/>
      </c>
      <c r="BM5" s="11">
        <f>IF(BM2&gt;=Premissas!$F$13,1+Premissas!$F$14,1)</f>
        <v/>
      </c>
      <c r="BN5" s="11">
        <f>IF(BN2&gt;=Premissas!$F$13,1+Premissas!$F$14,1)</f>
        <v/>
      </c>
      <c r="BO5" s="11">
        <f>IF(BO2&gt;=Premissas!$F$13,1+Premissas!$F$14,1)</f>
        <v/>
      </c>
      <c r="BP5" s="11">
        <f>IF(BP2&gt;=Premissas!$F$13,1+Premissas!$F$14,1)</f>
        <v/>
      </c>
      <c r="BQ5" s="11">
        <f>IF(BQ2&gt;=Premissas!$F$13,1+Premissas!$F$14,1)</f>
        <v/>
      </c>
      <c r="BR5" s="11">
        <f>IF(BR2&gt;=Premissas!$F$13,1+Premissas!$F$14,1)</f>
        <v/>
      </c>
      <c r="BS5" s="11">
        <f>IF(BS2&gt;=Premissas!$F$13,1+Premissas!$F$14,1)</f>
        <v/>
      </c>
      <c r="BT5" s="11">
        <f>IF(BT2&gt;=Premissas!$F$13,1+Premissas!$F$14,1)</f>
        <v/>
      </c>
      <c r="BU5" s="11">
        <f>IF(BU2&gt;=Premissas!$F$13,1+Premissas!$F$14,1)</f>
        <v/>
      </c>
      <c r="BV5" s="11">
        <f>IF(BV2&gt;=Premissas!$F$13,1+Premissas!$F$14,1)</f>
        <v/>
      </c>
      <c r="BW5" s="11">
        <f>IF(BW2&gt;=Premissas!$F$13,1+Premissas!$F$14,1)</f>
        <v/>
      </c>
      <c r="BX5" s="11">
        <f>IF(BX2&gt;=Premissas!$F$13,1+Premissas!$F$14,1)</f>
        <v/>
      </c>
      <c r="BY5" s="11">
        <f>IF(BY2&gt;=Premissas!$F$13,1+Premissas!$F$14,1)</f>
        <v/>
      </c>
      <c r="BZ5" s="11">
        <f>IF(BZ2&gt;=Premissas!$F$13,1+Premissas!$F$14,1)</f>
        <v/>
      </c>
      <c r="CA5" s="11">
        <f>IF(CA2&gt;=Premissas!$F$13,1+Premissas!$F$14,1)</f>
        <v/>
      </c>
      <c r="CB5" s="11">
        <f>IF(CB2&gt;=Premissas!$F$13,1+Premissas!$F$14,1)</f>
        <v/>
      </c>
      <c r="CC5" s="11">
        <f>IF(CC2&gt;=Premissas!$F$13,1+Premissas!$F$14,1)</f>
        <v/>
      </c>
      <c r="CD5" s="11">
        <f>IF(CD2&gt;=Premissas!$F$13,1+Premissas!$F$14,1)</f>
        <v/>
      </c>
      <c r="CE5" s="11">
        <f>IF(CE2&gt;=Premissas!$F$13,1+Premissas!$F$14,1)</f>
        <v/>
      </c>
      <c r="CF5" s="11">
        <f>IF(CF2&gt;=Premissas!$F$13,1+Premissas!$F$14,1)</f>
        <v/>
      </c>
      <c r="CG5" s="11">
        <f>IF(CG2&gt;=Premissas!$F$13,1+Premissas!$F$14,1)</f>
        <v/>
      </c>
      <c r="CH5" s="11">
        <f>IF(CH2&gt;=Premissas!$F$13,1+Premissas!$F$14,1)</f>
        <v/>
      </c>
    </row>
    <row r="7">
      <c r="A7" s="4" t="inlineStr">
        <is>
          <t>Aquisição</t>
        </is>
      </c>
      <c r="B7" s="5" t="n"/>
    </row>
    <row r="8">
      <c r="A8" s="3" t="inlineStr">
        <is>
          <t>Mídia paga no mês</t>
        </is>
      </c>
      <c r="C8" s="27">
        <f>INDEX(Premissas!$C$22:$I$22,1,C3)*C4*C5</f>
        <v/>
      </c>
      <c r="D8" s="27">
        <f>INDEX(Premissas!$C$22:$I$22,1,D3)*D4*D5</f>
        <v/>
      </c>
      <c r="E8" s="27">
        <f>INDEX(Premissas!$C$22:$I$22,1,E3)*E4*E5</f>
        <v/>
      </c>
      <c r="F8" s="27">
        <f>INDEX(Premissas!$C$22:$I$22,1,F3)*F4*F5</f>
        <v/>
      </c>
      <c r="G8" s="27">
        <f>INDEX(Premissas!$C$22:$I$22,1,G3)*G4*G5</f>
        <v/>
      </c>
      <c r="H8" s="27">
        <f>INDEX(Premissas!$C$22:$I$22,1,H3)*H4*H5</f>
        <v/>
      </c>
      <c r="I8" s="27">
        <f>INDEX(Premissas!$C$22:$I$22,1,I3)*I4*I5</f>
        <v/>
      </c>
      <c r="J8" s="27">
        <f>INDEX(Premissas!$C$22:$I$22,1,J3)*J4*J5</f>
        <v/>
      </c>
      <c r="K8" s="27">
        <f>INDEX(Premissas!$C$22:$I$22,1,K3)*K4*K5</f>
        <v/>
      </c>
      <c r="L8" s="27">
        <f>INDEX(Premissas!$C$22:$I$22,1,L3)*L4*L5</f>
        <v/>
      </c>
      <c r="M8" s="27">
        <f>INDEX(Premissas!$C$22:$I$22,1,M3)*M4*M5</f>
        <v/>
      </c>
      <c r="N8" s="27">
        <f>INDEX(Premissas!$C$22:$I$22,1,N3)*N4*N5</f>
        <v/>
      </c>
      <c r="O8" s="27">
        <f>INDEX(Premissas!$C$22:$I$22,1,O3)*O4*O5</f>
        <v/>
      </c>
      <c r="P8" s="27">
        <f>INDEX(Premissas!$C$22:$I$22,1,P3)*P4*P5</f>
        <v/>
      </c>
      <c r="Q8" s="27">
        <f>INDEX(Premissas!$C$22:$I$22,1,Q3)*Q4*Q5</f>
        <v/>
      </c>
      <c r="R8" s="27">
        <f>INDEX(Premissas!$C$22:$I$22,1,R3)*R4*R5</f>
        <v/>
      </c>
      <c r="S8" s="27">
        <f>INDEX(Premissas!$C$22:$I$22,1,S3)*S4*S5</f>
        <v/>
      </c>
      <c r="T8" s="27">
        <f>INDEX(Premissas!$C$22:$I$22,1,T3)*T4*T5</f>
        <v/>
      </c>
      <c r="U8" s="27">
        <f>INDEX(Premissas!$C$22:$I$22,1,U3)*U4*U5</f>
        <v/>
      </c>
      <c r="V8" s="27">
        <f>INDEX(Premissas!$C$22:$I$22,1,V3)*V4*V5</f>
        <v/>
      </c>
      <c r="W8" s="27">
        <f>INDEX(Premissas!$C$22:$I$22,1,W3)*W4*W5</f>
        <v/>
      </c>
      <c r="X8" s="27">
        <f>INDEX(Premissas!$C$22:$I$22,1,X3)*X4*X5</f>
        <v/>
      </c>
      <c r="Y8" s="27">
        <f>INDEX(Premissas!$C$22:$I$22,1,Y3)*Y4*Y5</f>
        <v/>
      </c>
      <c r="Z8" s="27">
        <f>INDEX(Premissas!$C$22:$I$22,1,Z3)*Z4*Z5</f>
        <v/>
      </c>
      <c r="AA8" s="27">
        <f>INDEX(Premissas!$C$22:$I$22,1,AA3)*AA4*AA5</f>
        <v/>
      </c>
      <c r="AB8" s="27">
        <f>INDEX(Premissas!$C$22:$I$22,1,AB3)*AB4*AB5</f>
        <v/>
      </c>
      <c r="AC8" s="27">
        <f>INDEX(Premissas!$C$22:$I$22,1,AC3)*AC4*AC5</f>
        <v/>
      </c>
      <c r="AD8" s="27">
        <f>INDEX(Premissas!$C$22:$I$22,1,AD3)*AD4*AD5</f>
        <v/>
      </c>
      <c r="AE8" s="27">
        <f>INDEX(Premissas!$C$22:$I$22,1,AE3)*AE4*AE5</f>
        <v/>
      </c>
      <c r="AF8" s="27">
        <f>INDEX(Premissas!$C$22:$I$22,1,AF3)*AF4*AF5</f>
        <v/>
      </c>
      <c r="AG8" s="27">
        <f>INDEX(Premissas!$C$22:$I$22,1,AG3)*AG4*AG5</f>
        <v/>
      </c>
      <c r="AH8" s="27">
        <f>INDEX(Premissas!$C$22:$I$22,1,AH3)*AH4*AH5</f>
        <v/>
      </c>
      <c r="AI8" s="27">
        <f>INDEX(Premissas!$C$22:$I$22,1,AI3)*AI4*AI5</f>
        <v/>
      </c>
      <c r="AJ8" s="27">
        <f>INDEX(Premissas!$C$22:$I$22,1,AJ3)*AJ4*AJ5</f>
        <v/>
      </c>
      <c r="AK8" s="27">
        <f>INDEX(Premissas!$C$22:$I$22,1,AK3)*AK4*AK5</f>
        <v/>
      </c>
      <c r="AL8" s="27">
        <f>INDEX(Premissas!$C$22:$I$22,1,AL3)*AL4*AL5</f>
        <v/>
      </c>
      <c r="AM8" s="27">
        <f>INDEX(Premissas!$C$22:$I$22,1,AM3)*AM4*AM5</f>
        <v/>
      </c>
      <c r="AN8" s="27">
        <f>INDEX(Premissas!$C$22:$I$22,1,AN3)*AN4*AN5</f>
        <v/>
      </c>
      <c r="AO8" s="27">
        <f>INDEX(Premissas!$C$22:$I$22,1,AO3)*AO4*AO5</f>
        <v/>
      </c>
      <c r="AP8" s="27">
        <f>INDEX(Premissas!$C$22:$I$22,1,AP3)*AP4*AP5</f>
        <v/>
      </c>
      <c r="AQ8" s="27">
        <f>INDEX(Premissas!$C$22:$I$22,1,AQ3)*AQ4*AQ5</f>
        <v/>
      </c>
      <c r="AR8" s="27">
        <f>INDEX(Premissas!$C$22:$I$22,1,AR3)*AR4*AR5</f>
        <v/>
      </c>
      <c r="AS8" s="27">
        <f>INDEX(Premissas!$C$22:$I$22,1,AS3)*AS4*AS5</f>
        <v/>
      </c>
      <c r="AT8" s="27">
        <f>INDEX(Premissas!$C$22:$I$22,1,AT3)*AT4*AT5</f>
        <v/>
      </c>
      <c r="AU8" s="27">
        <f>INDEX(Premissas!$C$22:$I$22,1,AU3)*AU4*AU5</f>
        <v/>
      </c>
      <c r="AV8" s="27">
        <f>INDEX(Premissas!$C$22:$I$22,1,AV3)*AV4*AV5</f>
        <v/>
      </c>
      <c r="AW8" s="27">
        <f>INDEX(Premissas!$C$22:$I$22,1,AW3)*AW4*AW5</f>
        <v/>
      </c>
      <c r="AX8" s="27">
        <f>INDEX(Premissas!$C$22:$I$22,1,AX3)*AX4*AX5</f>
        <v/>
      </c>
      <c r="AY8" s="27">
        <f>INDEX(Premissas!$C$22:$I$22,1,AY3)*AY4*AY5</f>
        <v/>
      </c>
      <c r="AZ8" s="27">
        <f>INDEX(Premissas!$C$22:$I$22,1,AZ3)*AZ4*AZ5</f>
        <v/>
      </c>
      <c r="BA8" s="27">
        <f>INDEX(Premissas!$C$22:$I$22,1,BA3)*BA4*BA5</f>
        <v/>
      </c>
      <c r="BB8" s="27">
        <f>INDEX(Premissas!$C$22:$I$22,1,BB3)*BB4*BB5</f>
        <v/>
      </c>
      <c r="BC8" s="27">
        <f>INDEX(Premissas!$C$22:$I$22,1,BC3)*BC4*BC5</f>
        <v/>
      </c>
      <c r="BD8" s="27">
        <f>INDEX(Premissas!$C$22:$I$22,1,BD3)*BD4*BD5</f>
        <v/>
      </c>
      <c r="BE8" s="27">
        <f>INDEX(Premissas!$C$22:$I$22,1,BE3)*BE4*BE5</f>
        <v/>
      </c>
      <c r="BF8" s="27">
        <f>INDEX(Premissas!$C$22:$I$22,1,BF3)*BF4*BF5</f>
        <v/>
      </c>
      <c r="BG8" s="27">
        <f>INDEX(Premissas!$C$22:$I$22,1,BG3)*BG4*BG5</f>
        <v/>
      </c>
      <c r="BH8" s="27">
        <f>INDEX(Premissas!$C$22:$I$22,1,BH3)*BH4*BH5</f>
        <v/>
      </c>
      <c r="BI8" s="27">
        <f>INDEX(Premissas!$C$22:$I$22,1,BI3)*BI4*BI5</f>
        <v/>
      </c>
      <c r="BJ8" s="27">
        <f>INDEX(Premissas!$C$22:$I$22,1,BJ3)*BJ4*BJ5</f>
        <v/>
      </c>
      <c r="BK8" s="27">
        <f>INDEX(Premissas!$C$22:$I$22,1,BK3)*BK4*BK5</f>
        <v/>
      </c>
      <c r="BL8" s="27">
        <f>INDEX(Premissas!$C$22:$I$22,1,BL3)*BL4*BL5</f>
        <v/>
      </c>
      <c r="BM8" s="27">
        <f>INDEX(Premissas!$C$22:$I$22,1,BM3)*BM4*BM5</f>
        <v/>
      </c>
      <c r="BN8" s="27">
        <f>INDEX(Premissas!$C$22:$I$22,1,BN3)*BN4*BN5</f>
        <v/>
      </c>
      <c r="BO8" s="27">
        <f>INDEX(Premissas!$C$22:$I$22,1,BO3)*BO4*BO5</f>
        <v/>
      </c>
      <c r="BP8" s="27">
        <f>INDEX(Premissas!$C$22:$I$22,1,BP3)*BP4*BP5</f>
        <v/>
      </c>
      <c r="BQ8" s="27">
        <f>INDEX(Premissas!$C$22:$I$22,1,BQ3)*BQ4*BQ5</f>
        <v/>
      </c>
      <c r="BR8" s="27">
        <f>INDEX(Premissas!$C$22:$I$22,1,BR3)*BR4*BR5</f>
        <v/>
      </c>
      <c r="BS8" s="27">
        <f>INDEX(Premissas!$C$22:$I$22,1,BS3)*BS4*BS5</f>
        <v/>
      </c>
      <c r="BT8" s="27">
        <f>INDEX(Premissas!$C$22:$I$22,1,BT3)*BT4*BT5</f>
        <v/>
      </c>
      <c r="BU8" s="27">
        <f>INDEX(Premissas!$C$22:$I$22,1,BU3)*BU4*BU5</f>
        <v/>
      </c>
      <c r="BV8" s="27">
        <f>INDEX(Premissas!$C$22:$I$22,1,BV3)*BV4*BV5</f>
        <v/>
      </c>
      <c r="BW8" s="27">
        <f>INDEX(Premissas!$C$22:$I$22,1,BW3)*BW4*BW5</f>
        <v/>
      </c>
      <c r="BX8" s="27">
        <f>INDEX(Premissas!$C$22:$I$22,1,BX3)*BX4*BX5</f>
        <v/>
      </c>
      <c r="BY8" s="27">
        <f>INDEX(Premissas!$C$22:$I$22,1,BY3)*BY4*BY5</f>
        <v/>
      </c>
      <c r="BZ8" s="27">
        <f>INDEX(Premissas!$C$22:$I$22,1,BZ3)*BZ4*BZ5</f>
        <v/>
      </c>
      <c r="CA8" s="27">
        <f>INDEX(Premissas!$C$22:$I$22,1,CA3)*CA4*CA5</f>
        <v/>
      </c>
      <c r="CB8" s="27">
        <f>INDEX(Premissas!$C$22:$I$22,1,CB3)*CB4*CB5</f>
        <v/>
      </c>
      <c r="CC8" s="27">
        <f>INDEX(Premissas!$C$22:$I$22,1,CC3)*CC4*CC5</f>
        <v/>
      </c>
      <c r="CD8" s="27">
        <f>INDEX(Premissas!$C$22:$I$22,1,CD3)*CD4*CD5</f>
        <v/>
      </c>
      <c r="CE8" s="27">
        <f>INDEX(Premissas!$C$22:$I$22,1,CE3)*CE4*CE5</f>
        <v/>
      </c>
      <c r="CF8" s="27">
        <f>INDEX(Premissas!$C$22:$I$22,1,CF3)*CF4*CF5</f>
        <v/>
      </c>
      <c r="CG8" s="27">
        <f>INDEX(Premissas!$C$22:$I$22,1,CG3)*CG4*CG5</f>
        <v/>
      </c>
      <c r="CH8" s="27">
        <f>INDEX(Premissas!$C$22:$I$22,1,CH3)*CH4*CH5</f>
        <v/>
      </c>
    </row>
    <row r="9">
      <c r="A9" s="3" t="inlineStr">
        <is>
          <t>Clínicas novas por mídia (inbound)</t>
        </is>
      </c>
      <c r="C9" s="12">
        <f>C8/Premissas!$F$43</f>
        <v/>
      </c>
      <c r="D9" s="12">
        <f>D8/Premissas!$F$43</f>
        <v/>
      </c>
      <c r="E9" s="12">
        <f>E8/Premissas!$F$43</f>
        <v/>
      </c>
      <c r="F9" s="12">
        <f>F8/Premissas!$F$43</f>
        <v/>
      </c>
      <c r="G9" s="12">
        <f>G8/Premissas!$F$43</f>
        <v/>
      </c>
      <c r="H9" s="12">
        <f>H8/Premissas!$F$43</f>
        <v/>
      </c>
      <c r="I9" s="12">
        <f>I8/Premissas!$F$43</f>
        <v/>
      </c>
      <c r="J9" s="12">
        <f>J8/Premissas!$F$43</f>
        <v/>
      </c>
      <c r="K9" s="12">
        <f>K8/Premissas!$F$43</f>
        <v/>
      </c>
      <c r="L9" s="12">
        <f>L8/Premissas!$F$43</f>
        <v/>
      </c>
      <c r="M9" s="12">
        <f>M8/Premissas!$F$43</f>
        <v/>
      </c>
      <c r="N9" s="12">
        <f>N8/Premissas!$F$43</f>
        <v/>
      </c>
      <c r="O9" s="12">
        <f>O8/Premissas!$F$43</f>
        <v/>
      </c>
      <c r="P9" s="12">
        <f>P8/Premissas!$F$43</f>
        <v/>
      </c>
      <c r="Q9" s="12">
        <f>Q8/Premissas!$F$43</f>
        <v/>
      </c>
      <c r="R9" s="12">
        <f>R8/Premissas!$F$43</f>
        <v/>
      </c>
      <c r="S9" s="12">
        <f>S8/Premissas!$F$43</f>
        <v/>
      </c>
      <c r="T9" s="12">
        <f>T8/Premissas!$F$43</f>
        <v/>
      </c>
      <c r="U9" s="12">
        <f>U8/Premissas!$F$43</f>
        <v/>
      </c>
      <c r="V9" s="12">
        <f>V8/Premissas!$F$43</f>
        <v/>
      </c>
      <c r="W9" s="12">
        <f>W8/Premissas!$F$43</f>
        <v/>
      </c>
      <c r="X9" s="12">
        <f>X8/Premissas!$F$43</f>
        <v/>
      </c>
      <c r="Y9" s="12">
        <f>Y8/Premissas!$F$43</f>
        <v/>
      </c>
      <c r="Z9" s="12">
        <f>Z8/Premissas!$F$43</f>
        <v/>
      </c>
      <c r="AA9" s="12">
        <f>AA8/Premissas!$F$43</f>
        <v/>
      </c>
      <c r="AB9" s="12">
        <f>AB8/Premissas!$F$43</f>
        <v/>
      </c>
      <c r="AC9" s="12">
        <f>AC8/Premissas!$F$43</f>
        <v/>
      </c>
      <c r="AD9" s="12">
        <f>AD8/Premissas!$F$43</f>
        <v/>
      </c>
      <c r="AE9" s="12">
        <f>AE8/Premissas!$F$43</f>
        <v/>
      </c>
      <c r="AF9" s="12">
        <f>AF8/Premissas!$F$43</f>
        <v/>
      </c>
      <c r="AG9" s="12">
        <f>AG8/Premissas!$F$43</f>
        <v/>
      </c>
      <c r="AH9" s="12">
        <f>AH8/Premissas!$F$43</f>
        <v/>
      </c>
      <c r="AI9" s="12">
        <f>AI8/Premissas!$F$43</f>
        <v/>
      </c>
      <c r="AJ9" s="12">
        <f>AJ8/Premissas!$F$43</f>
        <v/>
      </c>
      <c r="AK9" s="12">
        <f>AK8/Premissas!$F$43</f>
        <v/>
      </c>
      <c r="AL9" s="12">
        <f>AL8/Premissas!$F$43</f>
        <v/>
      </c>
      <c r="AM9" s="12">
        <f>AM8/Premissas!$F$43</f>
        <v/>
      </c>
      <c r="AN9" s="12">
        <f>AN8/Premissas!$F$43</f>
        <v/>
      </c>
      <c r="AO9" s="12">
        <f>AO8/Premissas!$F$43</f>
        <v/>
      </c>
      <c r="AP9" s="12">
        <f>AP8/Premissas!$F$43</f>
        <v/>
      </c>
      <c r="AQ9" s="12">
        <f>AQ8/Premissas!$F$43</f>
        <v/>
      </c>
      <c r="AR9" s="12">
        <f>AR8/Premissas!$F$43</f>
        <v/>
      </c>
      <c r="AS9" s="12">
        <f>AS8/Premissas!$F$43</f>
        <v/>
      </c>
      <c r="AT9" s="12">
        <f>AT8/Premissas!$F$43</f>
        <v/>
      </c>
      <c r="AU9" s="12">
        <f>AU8/Premissas!$F$43</f>
        <v/>
      </c>
      <c r="AV9" s="12">
        <f>AV8/Premissas!$F$43</f>
        <v/>
      </c>
      <c r="AW9" s="12">
        <f>AW8/Premissas!$F$43</f>
        <v/>
      </c>
      <c r="AX9" s="12">
        <f>AX8/Premissas!$F$43</f>
        <v/>
      </c>
      <c r="AY9" s="12">
        <f>AY8/Premissas!$F$43</f>
        <v/>
      </c>
      <c r="AZ9" s="12">
        <f>AZ8/Premissas!$F$43</f>
        <v/>
      </c>
      <c r="BA9" s="12">
        <f>BA8/Premissas!$F$43</f>
        <v/>
      </c>
      <c r="BB9" s="12">
        <f>BB8/Premissas!$F$43</f>
        <v/>
      </c>
      <c r="BC9" s="12">
        <f>BC8/Premissas!$F$43</f>
        <v/>
      </c>
      <c r="BD9" s="12">
        <f>BD8/Premissas!$F$43</f>
        <v/>
      </c>
      <c r="BE9" s="12">
        <f>BE8/Premissas!$F$43</f>
        <v/>
      </c>
      <c r="BF9" s="12">
        <f>BF8/Premissas!$F$43</f>
        <v/>
      </c>
      <c r="BG9" s="12">
        <f>BG8/Premissas!$F$43</f>
        <v/>
      </c>
      <c r="BH9" s="12">
        <f>BH8/Premissas!$F$43</f>
        <v/>
      </c>
      <c r="BI9" s="12">
        <f>BI8/Premissas!$F$43</f>
        <v/>
      </c>
      <c r="BJ9" s="12">
        <f>BJ8/Premissas!$F$43</f>
        <v/>
      </c>
      <c r="BK9" s="12">
        <f>BK8/Premissas!$F$43</f>
        <v/>
      </c>
      <c r="BL9" s="12">
        <f>BL8/Premissas!$F$43</f>
        <v/>
      </c>
      <c r="BM9" s="12">
        <f>BM8/Premissas!$F$43</f>
        <v/>
      </c>
      <c r="BN9" s="12">
        <f>BN8/Premissas!$F$43</f>
        <v/>
      </c>
      <c r="BO9" s="12">
        <f>BO8/Premissas!$F$43</f>
        <v/>
      </c>
      <c r="BP9" s="12">
        <f>BP8/Premissas!$F$43</f>
        <v/>
      </c>
      <c r="BQ9" s="12">
        <f>BQ8/Premissas!$F$43</f>
        <v/>
      </c>
      <c r="BR9" s="12">
        <f>BR8/Premissas!$F$43</f>
        <v/>
      </c>
      <c r="BS9" s="12">
        <f>BS8/Premissas!$F$43</f>
        <v/>
      </c>
      <c r="BT9" s="12">
        <f>BT8/Premissas!$F$43</f>
        <v/>
      </c>
      <c r="BU9" s="12">
        <f>BU8/Premissas!$F$43</f>
        <v/>
      </c>
      <c r="BV9" s="12">
        <f>BV8/Premissas!$F$43</f>
        <v/>
      </c>
      <c r="BW9" s="12">
        <f>BW8/Premissas!$F$43</f>
        <v/>
      </c>
      <c r="BX9" s="12">
        <f>BX8/Premissas!$F$43</f>
        <v/>
      </c>
      <c r="BY9" s="12">
        <f>BY8/Premissas!$F$43</f>
        <v/>
      </c>
      <c r="BZ9" s="12">
        <f>BZ8/Premissas!$F$43</f>
        <v/>
      </c>
      <c r="CA9" s="12">
        <f>CA8/Premissas!$F$43</f>
        <v/>
      </c>
      <c r="CB9" s="12">
        <f>CB8/Premissas!$F$43</f>
        <v/>
      </c>
      <c r="CC9" s="12">
        <f>CC8/Premissas!$F$43</f>
        <v/>
      </c>
      <c r="CD9" s="12">
        <f>CD8/Premissas!$F$43</f>
        <v/>
      </c>
      <c r="CE9" s="12">
        <f>CE8/Premissas!$F$43</f>
        <v/>
      </c>
      <c r="CF9" s="12">
        <f>CF8/Premissas!$F$43</f>
        <v/>
      </c>
      <c r="CG9" s="12">
        <f>CG8/Premissas!$F$43</f>
        <v/>
      </c>
      <c r="CH9" s="12">
        <f>CH8/Premissas!$F$43</f>
        <v/>
      </c>
    </row>
    <row r="10">
      <c r="A10" s="3" t="inlineStr">
        <is>
          <t>Duplas de venda contratadas</t>
        </is>
      </c>
      <c r="C10" s="12">
        <f>INDEX(Premissas!$C$23:$I$23,1,C3)*C5</f>
        <v/>
      </c>
      <c r="D10" s="12">
        <f>INDEX(Premissas!$C$23:$I$23,1,D3)*D5</f>
        <v/>
      </c>
      <c r="E10" s="12">
        <f>INDEX(Premissas!$C$23:$I$23,1,E3)*E5</f>
        <v/>
      </c>
      <c r="F10" s="12">
        <f>INDEX(Premissas!$C$23:$I$23,1,F3)*F5</f>
        <v/>
      </c>
      <c r="G10" s="12">
        <f>INDEX(Premissas!$C$23:$I$23,1,G3)*G5</f>
        <v/>
      </c>
      <c r="H10" s="12">
        <f>INDEX(Premissas!$C$23:$I$23,1,H3)*H5</f>
        <v/>
      </c>
      <c r="I10" s="12">
        <f>INDEX(Premissas!$C$23:$I$23,1,I3)*I5</f>
        <v/>
      </c>
      <c r="J10" s="12">
        <f>INDEX(Premissas!$C$23:$I$23,1,J3)*J5</f>
        <v/>
      </c>
      <c r="K10" s="12">
        <f>INDEX(Premissas!$C$23:$I$23,1,K3)*K5</f>
        <v/>
      </c>
      <c r="L10" s="12">
        <f>INDEX(Premissas!$C$23:$I$23,1,L3)*L5</f>
        <v/>
      </c>
      <c r="M10" s="12">
        <f>INDEX(Premissas!$C$23:$I$23,1,M3)*M5</f>
        <v/>
      </c>
      <c r="N10" s="12">
        <f>INDEX(Premissas!$C$23:$I$23,1,N3)*N5</f>
        <v/>
      </c>
      <c r="O10" s="12">
        <f>INDEX(Premissas!$C$23:$I$23,1,O3)*O5</f>
        <v/>
      </c>
      <c r="P10" s="12">
        <f>INDEX(Premissas!$C$23:$I$23,1,P3)*P5</f>
        <v/>
      </c>
      <c r="Q10" s="12">
        <f>INDEX(Premissas!$C$23:$I$23,1,Q3)*Q5</f>
        <v/>
      </c>
      <c r="R10" s="12">
        <f>INDEX(Premissas!$C$23:$I$23,1,R3)*R5</f>
        <v/>
      </c>
      <c r="S10" s="12">
        <f>INDEX(Premissas!$C$23:$I$23,1,S3)*S5</f>
        <v/>
      </c>
      <c r="T10" s="12">
        <f>INDEX(Premissas!$C$23:$I$23,1,T3)*T5</f>
        <v/>
      </c>
      <c r="U10" s="12">
        <f>INDEX(Premissas!$C$23:$I$23,1,U3)*U5</f>
        <v/>
      </c>
      <c r="V10" s="12">
        <f>INDEX(Premissas!$C$23:$I$23,1,V3)*V5</f>
        <v/>
      </c>
      <c r="W10" s="12">
        <f>INDEX(Premissas!$C$23:$I$23,1,W3)*W5</f>
        <v/>
      </c>
      <c r="X10" s="12">
        <f>INDEX(Premissas!$C$23:$I$23,1,X3)*X5</f>
        <v/>
      </c>
      <c r="Y10" s="12">
        <f>INDEX(Premissas!$C$23:$I$23,1,Y3)*Y5</f>
        <v/>
      </c>
      <c r="Z10" s="12">
        <f>INDEX(Premissas!$C$23:$I$23,1,Z3)*Z5</f>
        <v/>
      </c>
      <c r="AA10" s="12">
        <f>INDEX(Premissas!$C$23:$I$23,1,AA3)*AA5</f>
        <v/>
      </c>
      <c r="AB10" s="12">
        <f>INDEX(Premissas!$C$23:$I$23,1,AB3)*AB5</f>
        <v/>
      </c>
      <c r="AC10" s="12">
        <f>INDEX(Premissas!$C$23:$I$23,1,AC3)*AC5</f>
        <v/>
      </c>
      <c r="AD10" s="12">
        <f>INDEX(Premissas!$C$23:$I$23,1,AD3)*AD5</f>
        <v/>
      </c>
      <c r="AE10" s="12">
        <f>INDEX(Premissas!$C$23:$I$23,1,AE3)*AE5</f>
        <v/>
      </c>
      <c r="AF10" s="12">
        <f>INDEX(Premissas!$C$23:$I$23,1,AF3)*AF5</f>
        <v/>
      </c>
      <c r="AG10" s="12">
        <f>INDEX(Premissas!$C$23:$I$23,1,AG3)*AG5</f>
        <v/>
      </c>
      <c r="AH10" s="12">
        <f>INDEX(Premissas!$C$23:$I$23,1,AH3)*AH5</f>
        <v/>
      </c>
      <c r="AI10" s="12">
        <f>INDEX(Premissas!$C$23:$I$23,1,AI3)*AI5</f>
        <v/>
      </c>
      <c r="AJ10" s="12">
        <f>INDEX(Premissas!$C$23:$I$23,1,AJ3)*AJ5</f>
        <v/>
      </c>
      <c r="AK10" s="12">
        <f>INDEX(Premissas!$C$23:$I$23,1,AK3)*AK5</f>
        <v/>
      </c>
      <c r="AL10" s="12">
        <f>INDEX(Premissas!$C$23:$I$23,1,AL3)*AL5</f>
        <v/>
      </c>
      <c r="AM10" s="12">
        <f>INDEX(Premissas!$C$23:$I$23,1,AM3)*AM5</f>
        <v/>
      </c>
      <c r="AN10" s="12">
        <f>INDEX(Premissas!$C$23:$I$23,1,AN3)*AN5</f>
        <v/>
      </c>
      <c r="AO10" s="12">
        <f>INDEX(Premissas!$C$23:$I$23,1,AO3)*AO5</f>
        <v/>
      </c>
      <c r="AP10" s="12">
        <f>INDEX(Premissas!$C$23:$I$23,1,AP3)*AP5</f>
        <v/>
      </c>
      <c r="AQ10" s="12">
        <f>INDEX(Premissas!$C$23:$I$23,1,AQ3)*AQ5</f>
        <v/>
      </c>
      <c r="AR10" s="12">
        <f>INDEX(Premissas!$C$23:$I$23,1,AR3)*AR5</f>
        <v/>
      </c>
      <c r="AS10" s="12">
        <f>INDEX(Premissas!$C$23:$I$23,1,AS3)*AS5</f>
        <v/>
      </c>
      <c r="AT10" s="12">
        <f>INDEX(Premissas!$C$23:$I$23,1,AT3)*AT5</f>
        <v/>
      </c>
      <c r="AU10" s="12">
        <f>INDEX(Premissas!$C$23:$I$23,1,AU3)*AU5</f>
        <v/>
      </c>
      <c r="AV10" s="12">
        <f>INDEX(Premissas!$C$23:$I$23,1,AV3)*AV5</f>
        <v/>
      </c>
      <c r="AW10" s="12">
        <f>INDEX(Premissas!$C$23:$I$23,1,AW3)*AW5</f>
        <v/>
      </c>
      <c r="AX10" s="12">
        <f>INDEX(Premissas!$C$23:$I$23,1,AX3)*AX5</f>
        <v/>
      </c>
      <c r="AY10" s="12">
        <f>INDEX(Premissas!$C$23:$I$23,1,AY3)*AY5</f>
        <v/>
      </c>
      <c r="AZ10" s="12">
        <f>INDEX(Premissas!$C$23:$I$23,1,AZ3)*AZ5</f>
        <v/>
      </c>
      <c r="BA10" s="12">
        <f>INDEX(Premissas!$C$23:$I$23,1,BA3)*BA5</f>
        <v/>
      </c>
      <c r="BB10" s="12">
        <f>INDEX(Premissas!$C$23:$I$23,1,BB3)*BB5</f>
        <v/>
      </c>
      <c r="BC10" s="12">
        <f>INDEX(Premissas!$C$23:$I$23,1,BC3)*BC5</f>
        <v/>
      </c>
      <c r="BD10" s="12">
        <f>INDEX(Premissas!$C$23:$I$23,1,BD3)*BD5</f>
        <v/>
      </c>
      <c r="BE10" s="12">
        <f>INDEX(Premissas!$C$23:$I$23,1,BE3)*BE5</f>
        <v/>
      </c>
      <c r="BF10" s="12">
        <f>INDEX(Premissas!$C$23:$I$23,1,BF3)*BF5</f>
        <v/>
      </c>
      <c r="BG10" s="12">
        <f>INDEX(Premissas!$C$23:$I$23,1,BG3)*BG5</f>
        <v/>
      </c>
      <c r="BH10" s="12">
        <f>INDEX(Premissas!$C$23:$I$23,1,BH3)*BH5</f>
        <v/>
      </c>
      <c r="BI10" s="12">
        <f>INDEX(Premissas!$C$23:$I$23,1,BI3)*BI5</f>
        <v/>
      </c>
      <c r="BJ10" s="12">
        <f>INDEX(Premissas!$C$23:$I$23,1,BJ3)*BJ5</f>
        <v/>
      </c>
      <c r="BK10" s="12">
        <f>INDEX(Premissas!$C$23:$I$23,1,BK3)*BK5</f>
        <v/>
      </c>
      <c r="BL10" s="12">
        <f>INDEX(Premissas!$C$23:$I$23,1,BL3)*BL5</f>
        <v/>
      </c>
      <c r="BM10" s="12">
        <f>INDEX(Premissas!$C$23:$I$23,1,BM3)*BM5</f>
        <v/>
      </c>
      <c r="BN10" s="12">
        <f>INDEX(Premissas!$C$23:$I$23,1,BN3)*BN5</f>
        <v/>
      </c>
      <c r="BO10" s="12">
        <f>INDEX(Premissas!$C$23:$I$23,1,BO3)*BO5</f>
        <v/>
      </c>
      <c r="BP10" s="12">
        <f>INDEX(Premissas!$C$23:$I$23,1,BP3)*BP5</f>
        <v/>
      </c>
      <c r="BQ10" s="12">
        <f>INDEX(Premissas!$C$23:$I$23,1,BQ3)*BQ5</f>
        <v/>
      </c>
      <c r="BR10" s="12">
        <f>INDEX(Premissas!$C$23:$I$23,1,BR3)*BR5</f>
        <v/>
      </c>
      <c r="BS10" s="12">
        <f>INDEX(Premissas!$C$23:$I$23,1,BS3)*BS5</f>
        <v/>
      </c>
      <c r="BT10" s="12">
        <f>INDEX(Premissas!$C$23:$I$23,1,BT3)*BT5</f>
        <v/>
      </c>
      <c r="BU10" s="12">
        <f>INDEX(Premissas!$C$23:$I$23,1,BU3)*BU5</f>
        <v/>
      </c>
      <c r="BV10" s="12">
        <f>INDEX(Premissas!$C$23:$I$23,1,BV3)*BV5</f>
        <v/>
      </c>
      <c r="BW10" s="12">
        <f>INDEX(Premissas!$C$23:$I$23,1,BW3)*BW5</f>
        <v/>
      </c>
      <c r="BX10" s="12">
        <f>INDEX(Premissas!$C$23:$I$23,1,BX3)*BX5</f>
        <v/>
      </c>
      <c r="BY10" s="12">
        <f>INDEX(Premissas!$C$23:$I$23,1,BY3)*BY5</f>
        <v/>
      </c>
      <c r="BZ10" s="12">
        <f>INDEX(Premissas!$C$23:$I$23,1,BZ3)*BZ5</f>
        <v/>
      </c>
      <c r="CA10" s="12">
        <f>INDEX(Premissas!$C$23:$I$23,1,CA3)*CA5</f>
        <v/>
      </c>
      <c r="CB10" s="12">
        <f>INDEX(Premissas!$C$23:$I$23,1,CB3)*CB5</f>
        <v/>
      </c>
      <c r="CC10" s="12">
        <f>INDEX(Premissas!$C$23:$I$23,1,CC3)*CC5</f>
        <v/>
      </c>
      <c r="CD10" s="12">
        <f>INDEX(Premissas!$C$23:$I$23,1,CD3)*CD5</f>
        <v/>
      </c>
      <c r="CE10" s="12">
        <f>INDEX(Premissas!$C$23:$I$23,1,CE3)*CE5</f>
        <v/>
      </c>
      <c r="CF10" s="12">
        <f>INDEX(Premissas!$C$23:$I$23,1,CF3)*CF5</f>
        <v/>
      </c>
      <c r="CG10" s="12">
        <f>INDEX(Premissas!$C$23:$I$23,1,CG3)*CG5</f>
        <v/>
      </c>
      <c r="CH10" s="12">
        <f>INDEX(Premissas!$C$23:$I$23,1,CH3)*CH5</f>
        <v/>
      </c>
    </row>
    <row r="11">
      <c r="A11" s="3" t="inlineStr">
        <is>
          <t>Duplas em ritmo pleno (as novas do ano produzem 50%)</t>
        </is>
      </c>
      <c r="C11" s="12">
        <f>(INDEX(Premissas!$C$23:$I$23,1,C3)+IF(C3&gt;1,INDEX(Premissas!$C$23:$I$23,1,C3-1),0))/2*C5</f>
        <v/>
      </c>
      <c r="D11" s="12">
        <f>(INDEX(Premissas!$C$23:$I$23,1,D3)+IF(D3&gt;1,INDEX(Premissas!$C$23:$I$23,1,D3-1),0))/2*D5</f>
        <v/>
      </c>
      <c r="E11" s="12">
        <f>(INDEX(Premissas!$C$23:$I$23,1,E3)+IF(E3&gt;1,INDEX(Premissas!$C$23:$I$23,1,E3-1),0))/2*E5</f>
        <v/>
      </c>
      <c r="F11" s="12">
        <f>(INDEX(Premissas!$C$23:$I$23,1,F3)+IF(F3&gt;1,INDEX(Premissas!$C$23:$I$23,1,F3-1),0))/2*F5</f>
        <v/>
      </c>
      <c r="G11" s="12">
        <f>(INDEX(Premissas!$C$23:$I$23,1,G3)+IF(G3&gt;1,INDEX(Premissas!$C$23:$I$23,1,G3-1),0))/2*G5</f>
        <v/>
      </c>
      <c r="H11" s="12">
        <f>(INDEX(Premissas!$C$23:$I$23,1,H3)+IF(H3&gt;1,INDEX(Premissas!$C$23:$I$23,1,H3-1),0))/2*H5</f>
        <v/>
      </c>
      <c r="I11" s="12">
        <f>(INDEX(Premissas!$C$23:$I$23,1,I3)+IF(I3&gt;1,INDEX(Premissas!$C$23:$I$23,1,I3-1),0))/2*I5</f>
        <v/>
      </c>
      <c r="J11" s="12">
        <f>(INDEX(Premissas!$C$23:$I$23,1,J3)+IF(J3&gt;1,INDEX(Premissas!$C$23:$I$23,1,J3-1),0))/2*J5</f>
        <v/>
      </c>
      <c r="K11" s="12">
        <f>(INDEX(Premissas!$C$23:$I$23,1,K3)+IF(K3&gt;1,INDEX(Premissas!$C$23:$I$23,1,K3-1),0))/2*K5</f>
        <v/>
      </c>
      <c r="L11" s="12">
        <f>(INDEX(Premissas!$C$23:$I$23,1,L3)+IF(L3&gt;1,INDEX(Premissas!$C$23:$I$23,1,L3-1),0))/2*L5</f>
        <v/>
      </c>
      <c r="M11" s="12">
        <f>(INDEX(Premissas!$C$23:$I$23,1,M3)+IF(M3&gt;1,INDEX(Premissas!$C$23:$I$23,1,M3-1),0))/2*M5</f>
        <v/>
      </c>
      <c r="N11" s="12">
        <f>(INDEX(Premissas!$C$23:$I$23,1,N3)+IF(N3&gt;1,INDEX(Premissas!$C$23:$I$23,1,N3-1),0))/2*N5</f>
        <v/>
      </c>
      <c r="O11" s="12">
        <f>(INDEX(Premissas!$C$23:$I$23,1,O3)+IF(O3&gt;1,INDEX(Premissas!$C$23:$I$23,1,O3-1),0))/2*O5</f>
        <v/>
      </c>
      <c r="P11" s="12">
        <f>(INDEX(Premissas!$C$23:$I$23,1,P3)+IF(P3&gt;1,INDEX(Premissas!$C$23:$I$23,1,P3-1),0))/2*P5</f>
        <v/>
      </c>
      <c r="Q11" s="12">
        <f>(INDEX(Premissas!$C$23:$I$23,1,Q3)+IF(Q3&gt;1,INDEX(Premissas!$C$23:$I$23,1,Q3-1),0))/2*Q5</f>
        <v/>
      </c>
      <c r="R11" s="12">
        <f>(INDEX(Premissas!$C$23:$I$23,1,R3)+IF(R3&gt;1,INDEX(Premissas!$C$23:$I$23,1,R3-1),0))/2*R5</f>
        <v/>
      </c>
      <c r="S11" s="12">
        <f>(INDEX(Premissas!$C$23:$I$23,1,S3)+IF(S3&gt;1,INDEX(Premissas!$C$23:$I$23,1,S3-1),0))/2*S5</f>
        <v/>
      </c>
      <c r="T11" s="12">
        <f>(INDEX(Premissas!$C$23:$I$23,1,T3)+IF(T3&gt;1,INDEX(Premissas!$C$23:$I$23,1,T3-1),0))/2*T5</f>
        <v/>
      </c>
      <c r="U11" s="12">
        <f>(INDEX(Premissas!$C$23:$I$23,1,U3)+IF(U3&gt;1,INDEX(Premissas!$C$23:$I$23,1,U3-1),0))/2*U5</f>
        <v/>
      </c>
      <c r="V11" s="12">
        <f>(INDEX(Premissas!$C$23:$I$23,1,V3)+IF(V3&gt;1,INDEX(Premissas!$C$23:$I$23,1,V3-1),0))/2*V5</f>
        <v/>
      </c>
      <c r="W11" s="12">
        <f>(INDEX(Premissas!$C$23:$I$23,1,W3)+IF(W3&gt;1,INDEX(Premissas!$C$23:$I$23,1,W3-1),0))/2*W5</f>
        <v/>
      </c>
      <c r="X11" s="12">
        <f>(INDEX(Premissas!$C$23:$I$23,1,X3)+IF(X3&gt;1,INDEX(Premissas!$C$23:$I$23,1,X3-1),0))/2*X5</f>
        <v/>
      </c>
      <c r="Y11" s="12">
        <f>(INDEX(Premissas!$C$23:$I$23,1,Y3)+IF(Y3&gt;1,INDEX(Premissas!$C$23:$I$23,1,Y3-1),0))/2*Y5</f>
        <v/>
      </c>
      <c r="Z11" s="12">
        <f>(INDEX(Premissas!$C$23:$I$23,1,Z3)+IF(Z3&gt;1,INDEX(Premissas!$C$23:$I$23,1,Z3-1),0))/2*Z5</f>
        <v/>
      </c>
      <c r="AA11" s="12">
        <f>(INDEX(Premissas!$C$23:$I$23,1,AA3)+IF(AA3&gt;1,INDEX(Premissas!$C$23:$I$23,1,AA3-1),0))/2*AA5</f>
        <v/>
      </c>
      <c r="AB11" s="12">
        <f>(INDEX(Premissas!$C$23:$I$23,1,AB3)+IF(AB3&gt;1,INDEX(Premissas!$C$23:$I$23,1,AB3-1),0))/2*AB5</f>
        <v/>
      </c>
      <c r="AC11" s="12">
        <f>(INDEX(Premissas!$C$23:$I$23,1,AC3)+IF(AC3&gt;1,INDEX(Premissas!$C$23:$I$23,1,AC3-1),0))/2*AC5</f>
        <v/>
      </c>
      <c r="AD11" s="12">
        <f>(INDEX(Premissas!$C$23:$I$23,1,AD3)+IF(AD3&gt;1,INDEX(Premissas!$C$23:$I$23,1,AD3-1),0))/2*AD5</f>
        <v/>
      </c>
      <c r="AE11" s="12">
        <f>(INDEX(Premissas!$C$23:$I$23,1,AE3)+IF(AE3&gt;1,INDEX(Premissas!$C$23:$I$23,1,AE3-1),0))/2*AE5</f>
        <v/>
      </c>
      <c r="AF11" s="12">
        <f>(INDEX(Premissas!$C$23:$I$23,1,AF3)+IF(AF3&gt;1,INDEX(Premissas!$C$23:$I$23,1,AF3-1),0))/2*AF5</f>
        <v/>
      </c>
      <c r="AG11" s="12">
        <f>(INDEX(Premissas!$C$23:$I$23,1,AG3)+IF(AG3&gt;1,INDEX(Premissas!$C$23:$I$23,1,AG3-1),0))/2*AG5</f>
        <v/>
      </c>
      <c r="AH11" s="12">
        <f>(INDEX(Premissas!$C$23:$I$23,1,AH3)+IF(AH3&gt;1,INDEX(Premissas!$C$23:$I$23,1,AH3-1),0))/2*AH5</f>
        <v/>
      </c>
      <c r="AI11" s="12">
        <f>(INDEX(Premissas!$C$23:$I$23,1,AI3)+IF(AI3&gt;1,INDEX(Premissas!$C$23:$I$23,1,AI3-1),0))/2*AI5</f>
        <v/>
      </c>
      <c r="AJ11" s="12">
        <f>(INDEX(Premissas!$C$23:$I$23,1,AJ3)+IF(AJ3&gt;1,INDEX(Premissas!$C$23:$I$23,1,AJ3-1),0))/2*AJ5</f>
        <v/>
      </c>
      <c r="AK11" s="12">
        <f>(INDEX(Premissas!$C$23:$I$23,1,AK3)+IF(AK3&gt;1,INDEX(Premissas!$C$23:$I$23,1,AK3-1),0))/2*AK5</f>
        <v/>
      </c>
      <c r="AL11" s="12">
        <f>(INDEX(Premissas!$C$23:$I$23,1,AL3)+IF(AL3&gt;1,INDEX(Premissas!$C$23:$I$23,1,AL3-1),0))/2*AL5</f>
        <v/>
      </c>
      <c r="AM11" s="12">
        <f>(INDEX(Premissas!$C$23:$I$23,1,AM3)+IF(AM3&gt;1,INDEX(Premissas!$C$23:$I$23,1,AM3-1),0))/2*AM5</f>
        <v/>
      </c>
      <c r="AN11" s="12">
        <f>(INDEX(Premissas!$C$23:$I$23,1,AN3)+IF(AN3&gt;1,INDEX(Premissas!$C$23:$I$23,1,AN3-1),0))/2*AN5</f>
        <v/>
      </c>
      <c r="AO11" s="12">
        <f>(INDEX(Premissas!$C$23:$I$23,1,AO3)+IF(AO3&gt;1,INDEX(Premissas!$C$23:$I$23,1,AO3-1),0))/2*AO5</f>
        <v/>
      </c>
      <c r="AP11" s="12">
        <f>(INDEX(Premissas!$C$23:$I$23,1,AP3)+IF(AP3&gt;1,INDEX(Premissas!$C$23:$I$23,1,AP3-1),0))/2*AP5</f>
        <v/>
      </c>
      <c r="AQ11" s="12">
        <f>(INDEX(Premissas!$C$23:$I$23,1,AQ3)+IF(AQ3&gt;1,INDEX(Premissas!$C$23:$I$23,1,AQ3-1),0))/2*AQ5</f>
        <v/>
      </c>
      <c r="AR11" s="12">
        <f>(INDEX(Premissas!$C$23:$I$23,1,AR3)+IF(AR3&gt;1,INDEX(Premissas!$C$23:$I$23,1,AR3-1),0))/2*AR5</f>
        <v/>
      </c>
      <c r="AS11" s="12">
        <f>(INDEX(Premissas!$C$23:$I$23,1,AS3)+IF(AS3&gt;1,INDEX(Premissas!$C$23:$I$23,1,AS3-1),0))/2*AS5</f>
        <v/>
      </c>
      <c r="AT11" s="12">
        <f>(INDEX(Premissas!$C$23:$I$23,1,AT3)+IF(AT3&gt;1,INDEX(Premissas!$C$23:$I$23,1,AT3-1),0))/2*AT5</f>
        <v/>
      </c>
      <c r="AU11" s="12">
        <f>(INDEX(Premissas!$C$23:$I$23,1,AU3)+IF(AU3&gt;1,INDEX(Premissas!$C$23:$I$23,1,AU3-1),0))/2*AU5</f>
        <v/>
      </c>
      <c r="AV11" s="12">
        <f>(INDEX(Premissas!$C$23:$I$23,1,AV3)+IF(AV3&gt;1,INDEX(Premissas!$C$23:$I$23,1,AV3-1),0))/2*AV5</f>
        <v/>
      </c>
      <c r="AW11" s="12">
        <f>(INDEX(Premissas!$C$23:$I$23,1,AW3)+IF(AW3&gt;1,INDEX(Premissas!$C$23:$I$23,1,AW3-1),0))/2*AW5</f>
        <v/>
      </c>
      <c r="AX11" s="12">
        <f>(INDEX(Premissas!$C$23:$I$23,1,AX3)+IF(AX3&gt;1,INDEX(Premissas!$C$23:$I$23,1,AX3-1),0))/2*AX5</f>
        <v/>
      </c>
      <c r="AY11" s="12">
        <f>(INDEX(Premissas!$C$23:$I$23,1,AY3)+IF(AY3&gt;1,INDEX(Premissas!$C$23:$I$23,1,AY3-1),0))/2*AY5</f>
        <v/>
      </c>
      <c r="AZ11" s="12">
        <f>(INDEX(Premissas!$C$23:$I$23,1,AZ3)+IF(AZ3&gt;1,INDEX(Premissas!$C$23:$I$23,1,AZ3-1),0))/2*AZ5</f>
        <v/>
      </c>
      <c r="BA11" s="12">
        <f>(INDEX(Premissas!$C$23:$I$23,1,BA3)+IF(BA3&gt;1,INDEX(Premissas!$C$23:$I$23,1,BA3-1),0))/2*BA5</f>
        <v/>
      </c>
      <c r="BB11" s="12">
        <f>(INDEX(Premissas!$C$23:$I$23,1,BB3)+IF(BB3&gt;1,INDEX(Premissas!$C$23:$I$23,1,BB3-1),0))/2*BB5</f>
        <v/>
      </c>
      <c r="BC11" s="12">
        <f>(INDEX(Premissas!$C$23:$I$23,1,BC3)+IF(BC3&gt;1,INDEX(Premissas!$C$23:$I$23,1,BC3-1),0))/2*BC5</f>
        <v/>
      </c>
      <c r="BD11" s="12">
        <f>(INDEX(Premissas!$C$23:$I$23,1,BD3)+IF(BD3&gt;1,INDEX(Premissas!$C$23:$I$23,1,BD3-1),0))/2*BD5</f>
        <v/>
      </c>
      <c r="BE11" s="12">
        <f>(INDEX(Premissas!$C$23:$I$23,1,BE3)+IF(BE3&gt;1,INDEX(Premissas!$C$23:$I$23,1,BE3-1),0))/2*BE5</f>
        <v/>
      </c>
      <c r="BF11" s="12">
        <f>(INDEX(Premissas!$C$23:$I$23,1,BF3)+IF(BF3&gt;1,INDEX(Premissas!$C$23:$I$23,1,BF3-1),0))/2*BF5</f>
        <v/>
      </c>
      <c r="BG11" s="12">
        <f>(INDEX(Premissas!$C$23:$I$23,1,BG3)+IF(BG3&gt;1,INDEX(Premissas!$C$23:$I$23,1,BG3-1),0))/2*BG5</f>
        <v/>
      </c>
      <c r="BH11" s="12">
        <f>(INDEX(Premissas!$C$23:$I$23,1,BH3)+IF(BH3&gt;1,INDEX(Premissas!$C$23:$I$23,1,BH3-1),0))/2*BH5</f>
        <v/>
      </c>
      <c r="BI11" s="12">
        <f>(INDEX(Premissas!$C$23:$I$23,1,BI3)+IF(BI3&gt;1,INDEX(Premissas!$C$23:$I$23,1,BI3-1),0))/2*BI5</f>
        <v/>
      </c>
      <c r="BJ11" s="12">
        <f>(INDEX(Premissas!$C$23:$I$23,1,BJ3)+IF(BJ3&gt;1,INDEX(Premissas!$C$23:$I$23,1,BJ3-1),0))/2*BJ5</f>
        <v/>
      </c>
      <c r="BK11" s="12">
        <f>(INDEX(Premissas!$C$23:$I$23,1,BK3)+IF(BK3&gt;1,INDEX(Premissas!$C$23:$I$23,1,BK3-1),0))/2*BK5</f>
        <v/>
      </c>
      <c r="BL11" s="12">
        <f>(INDEX(Premissas!$C$23:$I$23,1,BL3)+IF(BL3&gt;1,INDEX(Premissas!$C$23:$I$23,1,BL3-1),0))/2*BL5</f>
        <v/>
      </c>
      <c r="BM11" s="12">
        <f>(INDEX(Premissas!$C$23:$I$23,1,BM3)+IF(BM3&gt;1,INDEX(Premissas!$C$23:$I$23,1,BM3-1),0))/2*BM5</f>
        <v/>
      </c>
      <c r="BN11" s="12">
        <f>(INDEX(Premissas!$C$23:$I$23,1,BN3)+IF(BN3&gt;1,INDEX(Premissas!$C$23:$I$23,1,BN3-1),0))/2*BN5</f>
        <v/>
      </c>
      <c r="BO11" s="12">
        <f>(INDEX(Premissas!$C$23:$I$23,1,BO3)+IF(BO3&gt;1,INDEX(Premissas!$C$23:$I$23,1,BO3-1),0))/2*BO5</f>
        <v/>
      </c>
      <c r="BP11" s="12">
        <f>(INDEX(Premissas!$C$23:$I$23,1,BP3)+IF(BP3&gt;1,INDEX(Premissas!$C$23:$I$23,1,BP3-1),0))/2*BP5</f>
        <v/>
      </c>
      <c r="BQ11" s="12">
        <f>(INDEX(Premissas!$C$23:$I$23,1,BQ3)+IF(BQ3&gt;1,INDEX(Premissas!$C$23:$I$23,1,BQ3-1),0))/2*BQ5</f>
        <v/>
      </c>
      <c r="BR11" s="12">
        <f>(INDEX(Premissas!$C$23:$I$23,1,BR3)+IF(BR3&gt;1,INDEX(Premissas!$C$23:$I$23,1,BR3-1),0))/2*BR5</f>
        <v/>
      </c>
      <c r="BS11" s="12">
        <f>(INDEX(Premissas!$C$23:$I$23,1,BS3)+IF(BS3&gt;1,INDEX(Premissas!$C$23:$I$23,1,BS3-1),0))/2*BS5</f>
        <v/>
      </c>
      <c r="BT11" s="12">
        <f>(INDEX(Premissas!$C$23:$I$23,1,BT3)+IF(BT3&gt;1,INDEX(Premissas!$C$23:$I$23,1,BT3-1),0))/2*BT5</f>
        <v/>
      </c>
      <c r="BU11" s="12">
        <f>(INDEX(Premissas!$C$23:$I$23,1,BU3)+IF(BU3&gt;1,INDEX(Premissas!$C$23:$I$23,1,BU3-1),0))/2*BU5</f>
        <v/>
      </c>
      <c r="BV11" s="12">
        <f>(INDEX(Premissas!$C$23:$I$23,1,BV3)+IF(BV3&gt;1,INDEX(Premissas!$C$23:$I$23,1,BV3-1),0))/2*BV5</f>
        <v/>
      </c>
      <c r="BW11" s="12">
        <f>(INDEX(Premissas!$C$23:$I$23,1,BW3)+IF(BW3&gt;1,INDEX(Premissas!$C$23:$I$23,1,BW3-1),0))/2*BW5</f>
        <v/>
      </c>
      <c r="BX11" s="12">
        <f>(INDEX(Premissas!$C$23:$I$23,1,BX3)+IF(BX3&gt;1,INDEX(Premissas!$C$23:$I$23,1,BX3-1),0))/2*BX5</f>
        <v/>
      </c>
      <c r="BY11" s="12">
        <f>(INDEX(Premissas!$C$23:$I$23,1,BY3)+IF(BY3&gt;1,INDEX(Premissas!$C$23:$I$23,1,BY3-1),0))/2*BY5</f>
        <v/>
      </c>
      <c r="BZ11" s="12">
        <f>(INDEX(Premissas!$C$23:$I$23,1,BZ3)+IF(BZ3&gt;1,INDEX(Premissas!$C$23:$I$23,1,BZ3-1),0))/2*BZ5</f>
        <v/>
      </c>
      <c r="CA11" s="12">
        <f>(INDEX(Premissas!$C$23:$I$23,1,CA3)+IF(CA3&gt;1,INDEX(Premissas!$C$23:$I$23,1,CA3-1),0))/2*CA5</f>
        <v/>
      </c>
      <c r="CB11" s="12">
        <f>(INDEX(Premissas!$C$23:$I$23,1,CB3)+IF(CB3&gt;1,INDEX(Premissas!$C$23:$I$23,1,CB3-1),0))/2*CB5</f>
        <v/>
      </c>
      <c r="CC11" s="12">
        <f>(INDEX(Premissas!$C$23:$I$23,1,CC3)+IF(CC3&gt;1,INDEX(Premissas!$C$23:$I$23,1,CC3-1),0))/2*CC5</f>
        <v/>
      </c>
      <c r="CD11" s="12">
        <f>(INDEX(Premissas!$C$23:$I$23,1,CD3)+IF(CD3&gt;1,INDEX(Premissas!$C$23:$I$23,1,CD3-1),0))/2*CD5</f>
        <v/>
      </c>
      <c r="CE11" s="12">
        <f>(INDEX(Premissas!$C$23:$I$23,1,CE3)+IF(CE3&gt;1,INDEX(Premissas!$C$23:$I$23,1,CE3-1),0))/2*CE5</f>
        <v/>
      </c>
      <c r="CF11" s="12">
        <f>(INDEX(Premissas!$C$23:$I$23,1,CF3)+IF(CF3&gt;1,INDEX(Premissas!$C$23:$I$23,1,CF3-1),0))/2*CF5</f>
        <v/>
      </c>
      <c r="CG11" s="12">
        <f>(INDEX(Premissas!$C$23:$I$23,1,CG3)+IF(CG3&gt;1,INDEX(Premissas!$C$23:$I$23,1,CG3-1),0))/2*CG5</f>
        <v/>
      </c>
      <c r="CH11" s="12">
        <f>(INDEX(Premissas!$C$23:$I$23,1,CH3)+IF(CH3&gt;1,INDEX(Premissas!$C$23:$I$23,1,CH3-1),0))/2*CH5</f>
        <v/>
      </c>
    </row>
    <row r="12">
      <c r="A12" s="3" t="inlineStr">
        <is>
          <t>Clínicas novas por venda ativa</t>
        </is>
      </c>
      <c r="C12" s="12">
        <f>C11*Premissas!$F$44*C4</f>
        <v/>
      </c>
      <c r="D12" s="12">
        <f>D11*Premissas!$F$44*D4</f>
        <v/>
      </c>
      <c r="E12" s="12">
        <f>E11*Premissas!$F$44*E4</f>
        <v/>
      </c>
      <c r="F12" s="12">
        <f>F11*Premissas!$F$44*F4</f>
        <v/>
      </c>
      <c r="G12" s="12">
        <f>G11*Premissas!$F$44*G4</f>
        <v/>
      </c>
      <c r="H12" s="12">
        <f>H11*Premissas!$F$44*H4</f>
        <v/>
      </c>
      <c r="I12" s="12">
        <f>I11*Premissas!$F$44*I4</f>
        <v/>
      </c>
      <c r="J12" s="12">
        <f>J11*Premissas!$F$44*J4</f>
        <v/>
      </c>
      <c r="K12" s="12">
        <f>K11*Premissas!$F$44*K4</f>
        <v/>
      </c>
      <c r="L12" s="12">
        <f>L11*Premissas!$F$44*L4</f>
        <v/>
      </c>
      <c r="M12" s="12">
        <f>M11*Premissas!$F$44*M4</f>
        <v/>
      </c>
      <c r="N12" s="12">
        <f>N11*Premissas!$F$44*N4</f>
        <v/>
      </c>
      <c r="O12" s="12">
        <f>O11*Premissas!$F$44*O4</f>
        <v/>
      </c>
      <c r="P12" s="12">
        <f>P11*Premissas!$F$44*P4</f>
        <v/>
      </c>
      <c r="Q12" s="12">
        <f>Q11*Premissas!$F$44*Q4</f>
        <v/>
      </c>
      <c r="R12" s="12">
        <f>R11*Premissas!$F$44*R4</f>
        <v/>
      </c>
      <c r="S12" s="12">
        <f>S11*Premissas!$F$44*S4</f>
        <v/>
      </c>
      <c r="T12" s="12">
        <f>T11*Premissas!$F$44*T4</f>
        <v/>
      </c>
      <c r="U12" s="12">
        <f>U11*Premissas!$F$44*U4</f>
        <v/>
      </c>
      <c r="V12" s="12">
        <f>V11*Premissas!$F$44*V4</f>
        <v/>
      </c>
      <c r="W12" s="12">
        <f>W11*Premissas!$F$44*W4</f>
        <v/>
      </c>
      <c r="X12" s="12">
        <f>X11*Premissas!$F$44*X4</f>
        <v/>
      </c>
      <c r="Y12" s="12">
        <f>Y11*Premissas!$F$44*Y4</f>
        <v/>
      </c>
      <c r="Z12" s="12">
        <f>Z11*Premissas!$F$44*Z4</f>
        <v/>
      </c>
      <c r="AA12" s="12">
        <f>AA11*Premissas!$F$44*AA4</f>
        <v/>
      </c>
      <c r="AB12" s="12">
        <f>AB11*Premissas!$F$44*AB4</f>
        <v/>
      </c>
      <c r="AC12" s="12">
        <f>AC11*Premissas!$F$44*AC4</f>
        <v/>
      </c>
      <c r="AD12" s="12">
        <f>AD11*Premissas!$F$44*AD4</f>
        <v/>
      </c>
      <c r="AE12" s="12">
        <f>AE11*Premissas!$F$44*AE4</f>
        <v/>
      </c>
      <c r="AF12" s="12">
        <f>AF11*Premissas!$F$44*AF4</f>
        <v/>
      </c>
      <c r="AG12" s="12">
        <f>AG11*Premissas!$F$44*AG4</f>
        <v/>
      </c>
      <c r="AH12" s="12">
        <f>AH11*Premissas!$F$44*AH4</f>
        <v/>
      </c>
      <c r="AI12" s="12">
        <f>AI11*Premissas!$F$44*AI4</f>
        <v/>
      </c>
      <c r="AJ12" s="12">
        <f>AJ11*Premissas!$F$44*AJ4</f>
        <v/>
      </c>
      <c r="AK12" s="12">
        <f>AK11*Premissas!$F$44*AK4</f>
        <v/>
      </c>
      <c r="AL12" s="12">
        <f>AL11*Premissas!$F$44*AL4</f>
        <v/>
      </c>
      <c r="AM12" s="12">
        <f>AM11*Premissas!$F$44*AM4</f>
        <v/>
      </c>
      <c r="AN12" s="12">
        <f>AN11*Premissas!$F$44*AN4</f>
        <v/>
      </c>
      <c r="AO12" s="12">
        <f>AO11*Premissas!$F$44*AO4</f>
        <v/>
      </c>
      <c r="AP12" s="12">
        <f>AP11*Premissas!$F$44*AP4</f>
        <v/>
      </c>
      <c r="AQ12" s="12">
        <f>AQ11*Premissas!$F$44*AQ4</f>
        <v/>
      </c>
      <c r="AR12" s="12">
        <f>AR11*Premissas!$F$44*AR4</f>
        <v/>
      </c>
      <c r="AS12" s="12">
        <f>AS11*Premissas!$F$44*AS4</f>
        <v/>
      </c>
      <c r="AT12" s="12">
        <f>AT11*Premissas!$F$44*AT4</f>
        <v/>
      </c>
      <c r="AU12" s="12">
        <f>AU11*Premissas!$F$44*AU4</f>
        <v/>
      </c>
      <c r="AV12" s="12">
        <f>AV11*Premissas!$F$44*AV4</f>
        <v/>
      </c>
      <c r="AW12" s="12">
        <f>AW11*Premissas!$F$44*AW4</f>
        <v/>
      </c>
      <c r="AX12" s="12">
        <f>AX11*Premissas!$F$44*AX4</f>
        <v/>
      </c>
      <c r="AY12" s="12">
        <f>AY11*Premissas!$F$44*AY4</f>
        <v/>
      </c>
      <c r="AZ12" s="12">
        <f>AZ11*Premissas!$F$44*AZ4</f>
        <v/>
      </c>
      <c r="BA12" s="12">
        <f>BA11*Premissas!$F$44*BA4</f>
        <v/>
      </c>
      <c r="BB12" s="12">
        <f>BB11*Premissas!$F$44*BB4</f>
        <v/>
      </c>
      <c r="BC12" s="12">
        <f>BC11*Premissas!$F$44*BC4</f>
        <v/>
      </c>
      <c r="BD12" s="12">
        <f>BD11*Premissas!$F$44*BD4</f>
        <v/>
      </c>
      <c r="BE12" s="12">
        <f>BE11*Premissas!$F$44*BE4</f>
        <v/>
      </c>
      <c r="BF12" s="12">
        <f>BF11*Premissas!$F$44*BF4</f>
        <v/>
      </c>
      <c r="BG12" s="12">
        <f>BG11*Premissas!$F$44*BG4</f>
        <v/>
      </c>
      <c r="BH12" s="12">
        <f>BH11*Premissas!$F$44*BH4</f>
        <v/>
      </c>
      <c r="BI12" s="12">
        <f>BI11*Premissas!$F$44*BI4</f>
        <v/>
      </c>
      <c r="BJ12" s="12">
        <f>BJ11*Premissas!$F$44*BJ4</f>
        <v/>
      </c>
      <c r="BK12" s="12">
        <f>BK11*Premissas!$F$44*BK4</f>
        <v/>
      </c>
      <c r="BL12" s="12">
        <f>BL11*Premissas!$F$44*BL4</f>
        <v/>
      </c>
      <c r="BM12" s="12">
        <f>BM11*Premissas!$F$44*BM4</f>
        <v/>
      </c>
      <c r="BN12" s="12">
        <f>BN11*Premissas!$F$44*BN4</f>
        <v/>
      </c>
      <c r="BO12" s="12">
        <f>BO11*Premissas!$F$44*BO4</f>
        <v/>
      </c>
      <c r="BP12" s="12">
        <f>BP11*Premissas!$F$44*BP4</f>
        <v/>
      </c>
      <c r="BQ12" s="12">
        <f>BQ11*Premissas!$F$44*BQ4</f>
        <v/>
      </c>
      <c r="BR12" s="12">
        <f>BR11*Premissas!$F$44*BR4</f>
        <v/>
      </c>
      <c r="BS12" s="12">
        <f>BS11*Premissas!$F$44*BS4</f>
        <v/>
      </c>
      <c r="BT12" s="12">
        <f>BT11*Premissas!$F$44*BT4</f>
        <v/>
      </c>
      <c r="BU12" s="12">
        <f>BU11*Premissas!$F$44*BU4</f>
        <v/>
      </c>
      <c r="BV12" s="12">
        <f>BV11*Premissas!$F$44*BV4</f>
        <v/>
      </c>
      <c r="BW12" s="12">
        <f>BW11*Premissas!$F$44*BW4</f>
        <v/>
      </c>
      <c r="BX12" s="12">
        <f>BX11*Premissas!$F$44*BX4</f>
        <v/>
      </c>
      <c r="BY12" s="12">
        <f>BY11*Premissas!$F$44*BY4</f>
        <v/>
      </c>
      <c r="BZ12" s="12">
        <f>BZ11*Premissas!$F$44*BZ4</f>
        <v/>
      </c>
      <c r="CA12" s="12">
        <f>CA11*Premissas!$F$44*CA4</f>
        <v/>
      </c>
      <c r="CB12" s="12">
        <f>CB11*Premissas!$F$44*CB4</f>
        <v/>
      </c>
      <c r="CC12" s="12">
        <f>CC11*Premissas!$F$44*CC4</f>
        <v/>
      </c>
      <c r="CD12" s="12">
        <f>CD11*Premissas!$F$44*CD4</f>
        <v/>
      </c>
      <c r="CE12" s="12">
        <f>CE11*Premissas!$F$44*CE4</f>
        <v/>
      </c>
      <c r="CF12" s="12">
        <f>CF11*Premissas!$F$44*CF4</f>
        <v/>
      </c>
      <c r="CG12" s="12">
        <f>CG11*Premissas!$F$44*CG4</f>
        <v/>
      </c>
      <c r="CH12" s="12">
        <f>CH11*Premissas!$F$44*CH4</f>
        <v/>
      </c>
    </row>
    <row r="13">
      <c r="A13" s="3" t="inlineStr">
        <is>
          <t>Clínicas novas por parcerias</t>
        </is>
      </c>
      <c r="C13" s="12">
        <f>INDEX(Premissas!$C$24:$I$24,1,C3)*Premissas!$F$18*C4*C5</f>
        <v/>
      </c>
      <c r="D13" s="12">
        <f>INDEX(Premissas!$C$24:$I$24,1,D3)*Premissas!$F$18*D4*D5</f>
        <v/>
      </c>
      <c r="E13" s="12">
        <f>INDEX(Premissas!$C$24:$I$24,1,E3)*Premissas!$F$18*E4*E5</f>
        <v/>
      </c>
      <c r="F13" s="12">
        <f>INDEX(Premissas!$C$24:$I$24,1,F3)*Premissas!$F$18*F4*F5</f>
        <v/>
      </c>
      <c r="G13" s="12">
        <f>INDEX(Premissas!$C$24:$I$24,1,G3)*Premissas!$F$18*G4*G5</f>
        <v/>
      </c>
      <c r="H13" s="12">
        <f>INDEX(Premissas!$C$24:$I$24,1,H3)*Premissas!$F$18*H4*H5</f>
        <v/>
      </c>
      <c r="I13" s="12">
        <f>INDEX(Premissas!$C$24:$I$24,1,I3)*Premissas!$F$18*I4*I5</f>
        <v/>
      </c>
      <c r="J13" s="12">
        <f>INDEX(Premissas!$C$24:$I$24,1,J3)*Premissas!$F$18*J4*J5</f>
        <v/>
      </c>
      <c r="K13" s="12">
        <f>INDEX(Premissas!$C$24:$I$24,1,K3)*Premissas!$F$18*K4*K5</f>
        <v/>
      </c>
      <c r="L13" s="12">
        <f>INDEX(Premissas!$C$24:$I$24,1,L3)*Premissas!$F$18*L4*L5</f>
        <v/>
      </c>
      <c r="M13" s="12">
        <f>INDEX(Premissas!$C$24:$I$24,1,M3)*Premissas!$F$18*M4*M5</f>
        <v/>
      </c>
      <c r="N13" s="12">
        <f>INDEX(Premissas!$C$24:$I$24,1,N3)*Premissas!$F$18*N4*N5</f>
        <v/>
      </c>
      <c r="O13" s="12">
        <f>INDEX(Premissas!$C$24:$I$24,1,O3)*Premissas!$F$18*O4*O5</f>
        <v/>
      </c>
      <c r="P13" s="12">
        <f>INDEX(Premissas!$C$24:$I$24,1,P3)*Premissas!$F$18*P4*P5</f>
        <v/>
      </c>
      <c r="Q13" s="12">
        <f>INDEX(Premissas!$C$24:$I$24,1,Q3)*Premissas!$F$18*Q4*Q5</f>
        <v/>
      </c>
      <c r="R13" s="12">
        <f>INDEX(Premissas!$C$24:$I$24,1,R3)*Premissas!$F$18*R4*R5</f>
        <v/>
      </c>
      <c r="S13" s="12">
        <f>INDEX(Premissas!$C$24:$I$24,1,S3)*Premissas!$F$18*S4*S5</f>
        <v/>
      </c>
      <c r="T13" s="12">
        <f>INDEX(Premissas!$C$24:$I$24,1,T3)*Premissas!$F$18*T4*T5</f>
        <v/>
      </c>
      <c r="U13" s="12">
        <f>INDEX(Premissas!$C$24:$I$24,1,U3)*Premissas!$F$18*U4*U5</f>
        <v/>
      </c>
      <c r="V13" s="12">
        <f>INDEX(Premissas!$C$24:$I$24,1,V3)*Premissas!$F$18*V4*V5</f>
        <v/>
      </c>
      <c r="W13" s="12">
        <f>INDEX(Premissas!$C$24:$I$24,1,W3)*Premissas!$F$18*W4*W5</f>
        <v/>
      </c>
      <c r="X13" s="12">
        <f>INDEX(Premissas!$C$24:$I$24,1,X3)*Premissas!$F$18*X4*X5</f>
        <v/>
      </c>
      <c r="Y13" s="12">
        <f>INDEX(Premissas!$C$24:$I$24,1,Y3)*Premissas!$F$18*Y4*Y5</f>
        <v/>
      </c>
      <c r="Z13" s="12">
        <f>INDEX(Premissas!$C$24:$I$24,1,Z3)*Premissas!$F$18*Z4*Z5</f>
        <v/>
      </c>
      <c r="AA13" s="12">
        <f>INDEX(Premissas!$C$24:$I$24,1,AA3)*Premissas!$F$18*AA4*AA5</f>
        <v/>
      </c>
      <c r="AB13" s="12">
        <f>INDEX(Premissas!$C$24:$I$24,1,AB3)*Premissas!$F$18*AB4*AB5</f>
        <v/>
      </c>
      <c r="AC13" s="12">
        <f>INDEX(Premissas!$C$24:$I$24,1,AC3)*Premissas!$F$18*AC4*AC5</f>
        <v/>
      </c>
      <c r="AD13" s="12">
        <f>INDEX(Premissas!$C$24:$I$24,1,AD3)*Premissas!$F$18*AD4*AD5</f>
        <v/>
      </c>
      <c r="AE13" s="12">
        <f>INDEX(Premissas!$C$24:$I$24,1,AE3)*Premissas!$F$18*AE4*AE5</f>
        <v/>
      </c>
      <c r="AF13" s="12">
        <f>INDEX(Premissas!$C$24:$I$24,1,AF3)*Premissas!$F$18*AF4*AF5</f>
        <v/>
      </c>
      <c r="AG13" s="12">
        <f>INDEX(Premissas!$C$24:$I$24,1,AG3)*Premissas!$F$18*AG4*AG5</f>
        <v/>
      </c>
      <c r="AH13" s="12">
        <f>INDEX(Premissas!$C$24:$I$24,1,AH3)*Premissas!$F$18*AH4*AH5</f>
        <v/>
      </c>
      <c r="AI13" s="12">
        <f>INDEX(Premissas!$C$24:$I$24,1,AI3)*Premissas!$F$18*AI4*AI5</f>
        <v/>
      </c>
      <c r="AJ13" s="12">
        <f>INDEX(Premissas!$C$24:$I$24,1,AJ3)*Premissas!$F$18*AJ4*AJ5</f>
        <v/>
      </c>
      <c r="AK13" s="12">
        <f>INDEX(Premissas!$C$24:$I$24,1,AK3)*Premissas!$F$18*AK4*AK5</f>
        <v/>
      </c>
      <c r="AL13" s="12">
        <f>INDEX(Premissas!$C$24:$I$24,1,AL3)*Premissas!$F$18*AL4*AL5</f>
        <v/>
      </c>
      <c r="AM13" s="12">
        <f>INDEX(Premissas!$C$24:$I$24,1,AM3)*Premissas!$F$18*AM4*AM5</f>
        <v/>
      </c>
      <c r="AN13" s="12">
        <f>INDEX(Premissas!$C$24:$I$24,1,AN3)*Premissas!$F$18*AN4*AN5</f>
        <v/>
      </c>
      <c r="AO13" s="12">
        <f>INDEX(Premissas!$C$24:$I$24,1,AO3)*Premissas!$F$18*AO4*AO5</f>
        <v/>
      </c>
      <c r="AP13" s="12">
        <f>INDEX(Premissas!$C$24:$I$24,1,AP3)*Premissas!$F$18*AP4*AP5</f>
        <v/>
      </c>
      <c r="AQ13" s="12">
        <f>INDEX(Premissas!$C$24:$I$24,1,AQ3)*Premissas!$F$18*AQ4*AQ5</f>
        <v/>
      </c>
      <c r="AR13" s="12">
        <f>INDEX(Premissas!$C$24:$I$24,1,AR3)*Premissas!$F$18*AR4*AR5</f>
        <v/>
      </c>
      <c r="AS13" s="12">
        <f>INDEX(Premissas!$C$24:$I$24,1,AS3)*Premissas!$F$18*AS4*AS5</f>
        <v/>
      </c>
      <c r="AT13" s="12">
        <f>INDEX(Premissas!$C$24:$I$24,1,AT3)*Premissas!$F$18*AT4*AT5</f>
        <v/>
      </c>
      <c r="AU13" s="12">
        <f>INDEX(Premissas!$C$24:$I$24,1,AU3)*Premissas!$F$18*AU4*AU5</f>
        <v/>
      </c>
      <c r="AV13" s="12">
        <f>INDEX(Premissas!$C$24:$I$24,1,AV3)*Premissas!$F$18*AV4*AV5</f>
        <v/>
      </c>
      <c r="AW13" s="12">
        <f>INDEX(Premissas!$C$24:$I$24,1,AW3)*Premissas!$F$18*AW4*AW5</f>
        <v/>
      </c>
      <c r="AX13" s="12">
        <f>INDEX(Premissas!$C$24:$I$24,1,AX3)*Premissas!$F$18*AX4*AX5</f>
        <v/>
      </c>
      <c r="AY13" s="12">
        <f>INDEX(Premissas!$C$24:$I$24,1,AY3)*Premissas!$F$18*AY4*AY5</f>
        <v/>
      </c>
      <c r="AZ13" s="12">
        <f>INDEX(Premissas!$C$24:$I$24,1,AZ3)*Premissas!$F$18*AZ4*AZ5</f>
        <v/>
      </c>
      <c r="BA13" s="12">
        <f>INDEX(Premissas!$C$24:$I$24,1,BA3)*Premissas!$F$18*BA4*BA5</f>
        <v/>
      </c>
      <c r="BB13" s="12">
        <f>INDEX(Premissas!$C$24:$I$24,1,BB3)*Premissas!$F$18*BB4*BB5</f>
        <v/>
      </c>
      <c r="BC13" s="12">
        <f>INDEX(Premissas!$C$24:$I$24,1,BC3)*Premissas!$F$18*BC4*BC5</f>
        <v/>
      </c>
      <c r="BD13" s="12">
        <f>INDEX(Premissas!$C$24:$I$24,1,BD3)*Premissas!$F$18*BD4*BD5</f>
        <v/>
      </c>
      <c r="BE13" s="12">
        <f>INDEX(Premissas!$C$24:$I$24,1,BE3)*Premissas!$F$18*BE4*BE5</f>
        <v/>
      </c>
      <c r="BF13" s="12">
        <f>INDEX(Premissas!$C$24:$I$24,1,BF3)*Premissas!$F$18*BF4*BF5</f>
        <v/>
      </c>
      <c r="BG13" s="12">
        <f>INDEX(Premissas!$C$24:$I$24,1,BG3)*Premissas!$F$18*BG4*BG5</f>
        <v/>
      </c>
      <c r="BH13" s="12">
        <f>INDEX(Premissas!$C$24:$I$24,1,BH3)*Premissas!$F$18*BH4*BH5</f>
        <v/>
      </c>
      <c r="BI13" s="12">
        <f>INDEX(Premissas!$C$24:$I$24,1,BI3)*Premissas!$F$18*BI4*BI5</f>
        <v/>
      </c>
      <c r="BJ13" s="12">
        <f>INDEX(Premissas!$C$24:$I$24,1,BJ3)*Premissas!$F$18*BJ4*BJ5</f>
        <v/>
      </c>
      <c r="BK13" s="12">
        <f>INDEX(Premissas!$C$24:$I$24,1,BK3)*Premissas!$F$18*BK4*BK5</f>
        <v/>
      </c>
      <c r="BL13" s="12">
        <f>INDEX(Premissas!$C$24:$I$24,1,BL3)*Premissas!$F$18*BL4*BL5</f>
        <v/>
      </c>
      <c r="BM13" s="12">
        <f>INDEX(Premissas!$C$24:$I$24,1,BM3)*Premissas!$F$18*BM4*BM5</f>
        <v/>
      </c>
      <c r="BN13" s="12">
        <f>INDEX(Premissas!$C$24:$I$24,1,BN3)*Premissas!$F$18*BN4*BN5</f>
        <v/>
      </c>
      <c r="BO13" s="12">
        <f>INDEX(Premissas!$C$24:$I$24,1,BO3)*Premissas!$F$18*BO4*BO5</f>
        <v/>
      </c>
      <c r="BP13" s="12">
        <f>INDEX(Premissas!$C$24:$I$24,1,BP3)*Premissas!$F$18*BP4*BP5</f>
        <v/>
      </c>
      <c r="BQ13" s="12">
        <f>INDEX(Premissas!$C$24:$I$24,1,BQ3)*Premissas!$F$18*BQ4*BQ5</f>
        <v/>
      </c>
      <c r="BR13" s="12">
        <f>INDEX(Premissas!$C$24:$I$24,1,BR3)*Premissas!$F$18*BR4*BR5</f>
        <v/>
      </c>
      <c r="BS13" s="12">
        <f>INDEX(Premissas!$C$24:$I$24,1,BS3)*Premissas!$F$18*BS4*BS5</f>
        <v/>
      </c>
      <c r="BT13" s="12">
        <f>INDEX(Premissas!$C$24:$I$24,1,BT3)*Premissas!$F$18*BT4*BT5</f>
        <v/>
      </c>
      <c r="BU13" s="12">
        <f>INDEX(Premissas!$C$24:$I$24,1,BU3)*Premissas!$F$18*BU4*BU5</f>
        <v/>
      </c>
      <c r="BV13" s="12">
        <f>INDEX(Premissas!$C$24:$I$24,1,BV3)*Premissas!$F$18*BV4*BV5</f>
        <v/>
      </c>
      <c r="BW13" s="12">
        <f>INDEX(Premissas!$C$24:$I$24,1,BW3)*Premissas!$F$18*BW4*BW5</f>
        <v/>
      </c>
      <c r="BX13" s="12">
        <f>INDEX(Premissas!$C$24:$I$24,1,BX3)*Premissas!$F$18*BX4*BX5</f>
        <v/>
      </c>
      <c r="BY13" s="12">
        <f>INDEX(Premissas!$C$24:$I$24,1,BY3)*Premissas!$F$18*BY4*BY5</f>
        <v/>
      </c>
      <c r="BZ13" s="12">
        <f>INDEX(Premissas!$C$24:$I$24,1,BZ3)*Premissas!$F$18*BZ4*BZ5</f>
        <v/>
      </c>
      <c r="CA13" s="12">
        <f>INDEX(Premissas!$C$24:$I$24,1,CA3)*Premissas!$F$18*CA4*CA5</f>
        <v/>
      </c>
      <c r="CB13" s="12">
        <f>INDEX(Premissas!$C$24:$I$24,1,CB3)*Premissas!$F$18*CB4*CB5</f>
        <v/>
      </c>
      <c r="CC13" s="12">
        <f>INDEX(Premissas!$C$24:$I$24,1,CC3)*Premissas!$F$18*CC4*CC5</f>
        <v/>
      </c>
      <c r="CD13" s="12">
        <f>INDEX(Premissas!$C$24:$I$24,1,CD3)*Premissas!$F$18*CD4*CD5</f>
        <v/>
      </c>
      <c r="CE13" s="12">
        <f>INDEX(Premissas!$C$24:$I$24,1,CE3)*Premissas!$F$18*CE4*CE5</f>
        <v/>
      </c>
      <c r="CF13" s="12">
        <f>INDEX(Premissas!$C$24:$I$24,1,CF3)*Premissas!$F$18*CF4*CF5</f>
        <v/>
      </c>
      <c r="CG13" s="12">
        <f>INDEX(Premissas!$C$24:$I$24,1,CG3)*Premissas!$F$18*CG4*CG5</f>
        <v/>
      </c>
      <c r="CH13" s="12">
        <f>INDEX(Premissas!$C$24:$I$24,1,CH3)*Premissas!$F$18*CH4*CH5</f>
        <v/>
      </c>
    </row>
    <row r="14">
      <c r="A14" s="3" t="inlineStr">
        <is>
          <t>Clínicas novas por indicação</t>
        </is>
      </c>
      <c r="C14" s="12">
        <f>0</f>
        <v/>
      </c>
      <c r="D14" s="12">
        <f>C36*Premissas!$F$17*D4</f>
        <v/>
      </c>
      <c r="E14" s="12">
        <f>D36*Premissas!$F$17*E4</f>
        <v/>
      </c>
      <c r="F14" s="12">
        <f>E36*Premissas!$F$17*F4</f>
        <v/>
      </c>
      <c r="G14" s="12">
        <f>F36*Premissas!$F$17*G4</f>
        <v/>
      </c>
      <c r="H14" s="12">
        <f>G36*Premissas!$F$17*H4</f>
        <v/>
      </c>
      <c r="I14" s="12">
        <f>H36*Premissas!$F$17*I4</f>
        <v/>
      </c>
      <c r="J14" s="12">
        <f>I36*Premissas!$F$17*J4</f>
        <v/>
      </c>
      <c r="K14" s="12">
        <f>J36*Premissas!$F$17*K4</f>
        <v/>
      </c>
      <c r="L14" s="12">
        <f>K36*Premissas!$F$17*L4</f>
        <v/>
      </c>
      <c r="M14" s="12">
        <f>L36*Premissas!$F$17*M4</f>
        <v/>
      </c>
      <c r="N14" s="12">
        <f>M36*Premissas!$F$17*N4</f>
        <v/>
      </c>
      <c r="O14" s="12">
        <f>N36*Premissas!$F$17*O4</f>
        <v/>
      </c>
      <c r="P14" s="12">
        <f>O36*Premissas!$F$17*P4</f>
        <v/>
      </c>
      <c r="Q14" s="12">
        <f>P36*Premissas!$F$17*Q4</f>
        <v/>
      </c>
      <c r="R14" s="12">
        <f>Q36*Premissas!$F$17*R4</f>
        <v/>
      </c>
      <c r="S14" s="12">
        <f>R36*Premissas!$F$17*S4</f>
        <v/>
      </c>
      <c r="T14" s="12">
        <f>S36*Premissas!$F$17*T4</f>
        <v/>
      </c>
      <c r="U14" s="12">
        <f>T36*Premissas!$F$17*U4</f>
        <v/>
      </c>
      <c r="V14" s="12">
        <f>U36*Premissas!$F$17*V4</f>
        <v/>
      </c>
      <c r="W14" s="12">
        <f>V36*Premissas!$F$17*W4</f>
        <v/>
      </c>
      <c r="X14" s="12">
        <f>W36*Premissas!$F$17*X4</f>
        <v/>
      </c>
      <c r="Y14" s="12">
        <f>X36*Premissas!$F$17*Y4</f>
        <v/>
      </c>
      <c r="Z14" s="12">
        <f>Y36*Premissas!$F$17*Z4</f>
        <v/>
      </c>
      <c r="AA14" s="12">
        <f>Z36*Premissas!$F$17*AA4</f>
        <v/>
      </c>
      <c r="AB14" s="12">
        <f>AA36*Premissas!$F$17*AB4</f>
        <v/>
      </c>
      <c r="AC14" s="12">
        <f>AB36*Premissas!$F$17*AC4</f>
        <v/>
      </c>
      <c r="AD14" s="12">
        <f>AC36*Premissas!$F$17*AD4</f>
        <v/>
      </c>
      <c r="AE14" s="12">
        <f>AD36*Premissas!$F$17*AE4</f>
        <v/>
      </c>
      <c r="AF14" s="12">
        <f>AE36*Premissas!$F$17*AF4</f>
        <v/>
      </c>
      <c r="AG14" s="12">
        <f>AF36*Premissas!$F$17*AG4</f>
        <v/>
      </c>
      <c r="AH14" s="12">
        <f>AG36*Premissas!$F$17*AH4</f>
        <v/>
      </c>
      <c r="AI14" s="12">
        <f>AH36*Premissas!$F$17*AI4</f>
        <v/>
      </c>
      <c r="AJ14" s="12">
        <f>AI36*Premissas!$F$17*AJ4</f>
        <v/>
      </c>
      <c r="AK14" s="12">
        <f>AJ36*Premissas!$F$17*AK4</f>
        <v/>
      </c>
      <c r="AL14" s="12">
        <f>AK36*Premissas!$F$17*AL4</f>
        <v/>
      </c>
      <c r="AM14" s="12">
        <f>AL36*Premissas!$F$17*AM4</f>
        <v/>
      </c>
      <c r="AN14" s="12">
        <f>AM36*Premissas!$F$17*AN4</f>
        <v/>
      </c>
      <c r="AO14" s="12">
        <f>AN36*Premissas!$F$17*AO4</f>
        <v/>
      </c>
      <c r="AP14" s="12">
        <f>AO36*Premissas!$F$17*AP4</f>
        <v/>
      </c>
      <c r="AQ14" s="12">
        <f>AP36*Premissas!$F$17*AQ4</f>
        <v/>
      </c>
      <c r="AR14" s="12">
        <f>AQ36*Premissas!$F$17*AR4</f>
        <v/>
      </c>
      <c r="AS14" s="12">
        <f>AR36*Premissas!$F$17*AS4</f>
        <v/>
      </c>
      <c r="AT14" s="12">
        <f>AS36*Premissas!$F$17*AT4</f>
        <v/>
      </c>
      <c r="AU14" s="12">
        <f>AT36*Premissas!$F$17*AU4</f>
        <v/>
      </c>
      <c r="AV14" s="12">
        <f>AU36*Premissas!$F$17*AV4</f>
        <v/>
      </c>
      <c r="AW14" s="12">
        <f>AV36*Premissas!$F$17*AW4</f>
        <v/>
      </c>
      <c r="AX14" s="12">
        <f>AW36*Premissas!$F$17*AX4</f>
        <v/>
      </c>
      <c r="AY14" s="12">
        <f>AX36*Premissas!$F$17*AY4</f>
        <v/>
      </c>
      <c r="AZ14" s="12">
        <f>AY36*Premissas!$F$17*AZ4</f>
        <v/>
      </c>
      <c r="BA14" s="12">
        <f>AZ36*Premissas!$F$17*BA4</f>
        <v/>
      </c>
      <c r="BB14" s="12">
        <f>BA36*Premissas!$F$17*BB4</f>
        <v/>
      </c>
      <c r="BC14" s="12">
        <f>BB36*Premissas!$F$17*BC4</f>
        <v/>
      </c>
      <c r="BD14" s="12">
        <f>BC36*Premissas!$F$17*BD4</f>
        <v/>
      </c>
      <c r="BE14" s="12">
        <f>BD36*Premissas!$F$17*BE4</f>
        <v/>
      </c>
      <c r="BF14" s="12">
        <f>BE36*Premissas!$F$17*BF4</f>
        <v/>
      </c>
      <c r="BG14" s="12">
        <f>BF36*Premissas!$F$17*BG4</f>
        <v/>
      </c>
      <c r="BH14" s="12">
        <f>BG36*Premissas!$F$17*BH4</f>
        <v/>
      </c>
      <c r="BI14" s="12">
        <f>BH36*Premissas!$F$17*BI4</f>
        <v/>
      </c>
      <c r="BJ14" s="12">
        <f>BI36*Premissas!$F$17*BJ4</f>
        <v/>
      </c>
      <c r="BK14" s="12">
        <f>BJ36*Premissas!$F$17*BK4</f>
        <v/>
      </c>
      <c r="BL14" s="12">
        <f>BK36*Premissas!$F$17*BL4</f>
        <v/>
      </c>
      <c r="BM14" s="12">
        <f>BL36*Premissas!$F$17*BM4</f>
        <v/>
      </c>
      <c r="BN14" s="12">
        <f>BM36*Premissas!$F$17*BN4</f>
        <v/>
      </c>
      <c r="BO14" s="12">
        <f>BN36*Premissas!$F$17*BO4</f>
        <v/>
      </c>
      <c r="BP14" s="12">
        <f>BO36*Premissas!$F$17*BP4</f>
        <v/>
      </c>
      <c r="BQ14" s="12">
        <f>BP36*Premissas!$F$17*BQ4</f>
        <v/>
      </c>
      <c r="BR14" s="12">
        <f>BQ36*Premissas!$F$17*BR4</f>
        <v/>
      </c>
      <c r="BS14" s="12">
        <f>BR36*Premissas!$F$17*BS4</f>
        <v/>
      </c>
      <c r="BT14" s="12">
        <f>BS36*Premissas!$F$17*BT4</f>
        <v/>
      </c>
      <c r="BU14" s="12">
        <f>BT36*Premissas!$F$17*BU4</f>
        <v/>
      </c>
      <c r="BV14" s="12">
        <f>BU36*Premissas!$F$17*BV4</f>
        <v/>
      </c>
      <c r="BW14" s="12">
        <f>BV36*Premissas!$F$17*BW4</f>
        <v/>
      </c>
      <c r="BX14" s="12">
        <f>BW36*Premissas!$F$17*BX4</f>
        <v/>
      </c>
      <c r="BY14" s="12">
        <f>BX36*Premissas!$F$17*BY4</f>
        <v/>
      </c>
      <c r="BZ14" s="12">
        <f>BY36*Premissas!$F$17*BZ4</f>
        <v/>
      </c>
      <c r="CA14" s="12">
        <f>BZ36*Premissas!$F$17*CA4</f>
        <v/>
      </c>
      <c r="CB14" s="12">
        <f>CA36*Premissas!$F$17*CB4</f>
        <v/>
      </c>
      <c r="CC14" s="12">
        <f>CB36*Premissas!$F$17*CC4</f>
        <v/>
      </c>
      <c r="CD14" s="12">
        <f>CC36*Premissas!$F$17*CD4</f>
        <v/>
      </c>
      <c r="CE14" s="12">
        <f>CD36*Premissas!$F$17*CE4</f>
        <v/>
      </c>
      <c r="CF14" s="12">
        <f>CE36*Premissas!$F$17*CF4</f>
        <v/>
      </c>
      <c r="CG14" s="12">
        <f>CF36*Premissas!$F$17*CG4</f>
        <v/>
      </c>
      <c r="CH14" s="12">
        <f>CG36*Premissas!$F$17*CH4</f>
        <v/>
      </c>
    </row>
    <row r="15">
      <c r="A15" s="2" t="inlineStr">
        <is>
          <t>Clínicas novas no mês</t>
        </is>
      </c>
      <c r="C15" s="23">
        <f>C9+C12+C13+C14</f>
        <v/>
      </c>
      <c r="D15" s="23">
        <f>D9+D12+D13+D14</f>
        <v/>
      </c>
      <c r="E15" s="23">
        <f>E9+E12+E13+E14</f>
        <v/>
      </c>
      <c r="F15" s="23">
        <f>F9+F12+F13+F14</f>
        <v/>
      </c>
      <c r="G15" s="23">
        <f>G9+G12+G13+G14</f>
        <v/>
      </c>
      <c r="H15" s="23">
        <f>H9+H12+H13+H14</f>
        <v/>
      </c>
      <c r="I15" s="23">
        <f>I9+I12+I13+I14</f>
        <v/>
      </c>
      <c r="J15" s="23">
        <f>J9+J12+J13+J14</f>
        <v/>
      </c>
      <c r="K15" s="23">
        <f>K9+K12+K13+K14</f>
        <v/>
      </c>
      <c r="L15" s="23">
        <f>L9+L12+L13+L14</f>
        <v/>
      </c>
      <c r="M15" s="23">
        <f>M9+M12+M13+M14</f>
        <v/>
      </c>
      <c r="N15" s="23">
        <f>N9+N12+N13+N14</f>
        <v/>
      </c>
      <c r="O15" s="23">
        <f>O9+O12+O13+O14</f>
        <v/>
      </c>
      <c r="P15" s="23">
        <f>P9+P12+P13+P14</f>
        <v/>
      </c>
      <c r="Q15" s="23">
        <f>Q9+Q12+Q13+Q14</f>
        <v/>
      </c>
      <c r="R15" s="23">
        <f>R9+R12+R13+R14</f>
        <v/>
      </c>
      <c r="S15" s="23">
        <f>S9+S12+S13+S14</f>
        <v/>
      </c>
      <c r="T15" s="23">
        <f>T9+T12+T13+T14</f>
        <v/>
      </c>
      <c r="U15" s="23">
        <f>U9+U12+U13+U14</f>
        <v/>
      </c>
      <c r="V15" s="23">
        <f>V9+V12+V13+V14</f>
        <v/>
      </c>
      <c r="W15" s="23">
        <f>W9+W12+W13+W14</f>
        <v/>
      </c>
      <c r="X15" s="23">
        <f>X9+X12+X13+X14</f>
        <v/>
      </c>
      <c r="Y15" s="23">
        <f>Y9+Y12+Y13+Y14</f>
        <v/>
      </c>
      <c r="Z15" s="23">
        <f>Z9+Z12+Z13+Z14</f>
        <v/>
      </c>
      <c r="AA15" s="23">
        <f>AA9+AA12+AA13+AA14</f>
        <v/>
      </c>
      <c r="AB15" s="23">
        <f>AB9+AB12+AB13+AB14</f>
        <v/>
      </c>
      <c r="AC15" s="23">
        <f>AC9+AC12+AC13+AC14</f>
        <v/>
      </c>
      <c r="AD15" s="23">
        <f>AD9+AD12+AD13+AD14</f>
        <v/>
      </c>
      <c r="AE15" s="23">
        <f>AE9+AE12+AE13+AE14</f>
        <v/>
      </c>
      <c r="AF15" s="23">
        <f>AF9+AF12+AF13+AF14</f>
        <v/>
      </c>
      <c r="AG15" s="23">
        <f>AG9+AG12+AG13+AG14</f>
        <v/>
      </c>
      <c r="AH15" s="23">
        <f>AH9+AH12+AH13+AH14</f>
        <v/>
      </c>
      <c r="AI15" s="23">
        <f>AI9+AI12+AI13+AI14</f>
        <v/>
      </c>
      <c r="AJ15" s="23">
        <f>AJ9+AJ12+AJ13+AJ14</f>
        <v/>
      </c>
      <c r="AK15" s="23">
        <f>AK9+AK12+AK13+AK14</f>
        <v/>
      </c>
      <c r="AL15" s="23">
        <f>AL9+AL12+AL13+AL14</f>
        <v/>
      </c>
      <c r="AM15" s="23">
        <f>AM9+AM12+AM13+AM14</f>
        <v/>
      </c>
      <c r="AN15" s="23">
        <f>AN9+AN12+AN13+AN14</f>
        <v/>
      </c>
      <c r="AO15" s="23">
        <f>AO9+AO12+AO13+AO14</f>
        <v/>
      </c>
      <c r="AP15" s="23">
        <f>AP9+AP12+AP13+AP14</f>
        <v/>
      </c>
      <c r="AQ15" s="23">
        <f>AQ9+AQ12+AQ13+AQ14</f>
        <v/>
      </c>
      <c r="AR15" s="23">
        <f>AR9+AR12+AR13+AR14</f>
        <v/>
      </c>
      <c r="AS15" s="23">
        <f>AS9+AS12+AS13+AS14</f>
        <v/>
      </c>
      <c r="AT15" s="23">
        <f>AT9+AT12+AT13+AT14</f>
        <v/>
      </c>
      <c r="AU15" s="23">
        <f>AU9+AU12+AU13+AU14</f>
        <v/>
      </c>
      <c r="AV15" s="23">
        <f>AV9+AV12+AV13+AV14</f>
        <v/>
      </c>
      <c r="AW15" s="23">
        <f>AW9+AW12+AW13+AW14</f>
        <v/>
      </c>
      <c r="AX15" s="23">
        <f>AX9+AX12+AX13+AX14</f>
        <v/>
      </c>
      <c r="AY15" s="23">
        <f>AY9+AY12+AY13+AY14</f>
        <v/>
      </c>
      <c r="AZ15" s="23">
        <f>AZ9+AZ12+AZ13+AZ14</f>
        <v/>
      </c>
      <c r="BA15" s="23">
        <f>BA9+BA12+BA13+BA14</f>
        <v/>
      </c>
      <c r="BB15" s="23">
        <f>BB9+BB12+BB13+BB14</f>
        <v/>
      </c>
      <c r="BC15" s="23">
        <f>BC9+BC12+BC13+BC14</f>
        <v/>
      </c>
      <c r="BD15" s="23">
        <f>BD9+BD12+BD13+BD14</f>
        <v/>
      </c>
      <c r="BE15" s="23">
        <f>BE9+BE12+BE13+BE14</f>
        <v/>
      </c>
      <c r="BF15" s="23">
        <f>BF9+BF12+BF13+BF14</f>
        <v/>
      </c>
      <c r="BG15" s="23">
        <f>BG9+BG12+BG13+BG14</f>
        <v/>
      </c>
      <c r="BH15" s="23">
        <f>BH9+BH12+BH13+BH14</f>
        <v/>
      </c>
      <c r="BI15" s="23">
        <f>BI9+BI12+BI13+BI14</f>
        <v/>
      </c>
      <c r="BJ15" s="23">
        <f>BJ9+BJ12+BJ13+BJ14</f>
        <v/>
      </c>
      <c r="BK15" s="23">
        <f>BK9+BK12+BK13+BK14</f>
        <v/>
      </c>
      <c r="BL15" s="23">
        <f>BL9+BL12+BL13+BL14</f>
        <v/>
      </c>
      <c r="BM15" s="23">
        <f>BM9+BM12+BM13+BM14</f>
        <v/>
      </c>
      <c r="BN15" s="23">
        <f>BN9+BN12+BN13+BN14</f>
        <v/>
      </c>
      <c r="BO15" s="23">
        <f>BO9+BO12+BO13+BO14</f>
        <v/>
      </c>
      <c r="BP15" s="23">
        <f>BP9+BP12+BP13+BP14</f>
        <v/>
      </c>
      <c r="BQ15" s="23">
        <f>BQ9+BQ12+BQ13+BQ14</f>
        <v/>
      </c>
      <c r="BR15" s="23">
        <f>BR9+BR12+BR13+BR14</f>
        <v/>
      </c>
      <c r="BS15" s="23">
        <f>BS9+BS12+BS13+BS14</f>
        <v/>
      </c>
      <c r="BT15" s="23">
        <f>BT9+BT12+BT13+BT14</f>
        <v/>
      </c>
      <c r="BU15" s="23">
        <f>BU9+BU12+BU13+BU14</f>
        <v/>
      </c>
      <c r="BV15" s="23">
        <f>BV9+BV12+BV13+BV14</f>
        <v/>
      </c>
      <c r="BW15" s="23">
        <f>BW9+BW12+BW13+BW14</f>
        <v/>
      </c>
      <c r="BX15" s="23">
        <f>BX9+BX12+BX13+BX14</f>
        <v/>
      </c>
      <c r="BY15" s="23">
        <f>BY9+BY12+BY13+BY14</f>
        <v/>
      </c>
      <c r="BZ15" s="23">
        <f>BZ9+BZ12+BZ13+BZ14</f>
        <v/>
      </c>
      <c r="CA15" s="23">
        <f>CA9+CA12+CA13+CA14</f>
        <v/>
      </c>
      <c r="CB15" s="23">
        <f>CB9+CB12+CB13+CB14</f>
        <v/>
      </c>
      <c r="CC15" s="23">
        <f>CC9+CC12+CC13+CC14</f>
        <v/>
      </c>
      <c r="CD15" s="23">
        <f>CD9+CD12+CD13+CD14</f>
        <v/>
      </c>
      <c r="CE15" s="23">
        <f>CE9+CE12+CE13+CE14</f>
        <v/>
      </c>
      <c r="CF15" s="23">
        <f>CF9+CF12+CF13+CF14</f>
        <v/>
      </c>
      <c r="CG15" s="23">
        <f>CG9+CG12+CG13+CG14</f>
        <v/>
      </c>
      <c r="CH15" s="23">
        <f>CH9+CH12+CH13+CH14</f>
        <v/>
      </c>
    </row>
    <row r="17">
      <c r="A17" s="4" t="inlineStr">
        <is>
          <t>Plano Clínica Essencial</t>
        </is>
      </c>
      <c r="B17" s="5" t="n"/>
    </row>
    <row r="18">
      <c r="A18" s="3" t="inlineStr">
        <is>
          <t>Participação nas novas</t>
        </is>
      </c>
      <c r="C18" s="28">
        <f>Premissas!$F$56</f>
        <v/>
      </c>
      <c r="D18" s="28">
        <f>Premissas!$F$56</f>
        <v/>
      </c>
      <c r="E18" s="28">
        <f>Premissas!$F$56</f>
        <v/>
      </c>
      <c r="F18" s="28">
        <f>Premissas!$F$56</f>
        <v/>
      </c>
      <c r="G18" s="28">
        <f>Premissas!$F$56</f>
        <v/>
      </c>
      <c r="H18" s="28">
        <f>Premissas!$F$56</f>
        <v/>
      </c>
      <c r="I18" s="28">
        <f>Premissas!$F$56</f>
        <v/>
      </c>
      <c r="J18" s="28">
        <f>Premissas!$F$56</f>
        <v/>
      </c>
      <c r="K18" s="28">
        <f>Premissas!$F$56</f>
        <v/>
      </c>
      <c r="L18" s="28">
        <f>Premissas!$F$56</f>
        <v/>
      </c>
      <c r="M18" s="28">
        <f>Premissas!$F$56</f>
        <v/>
      </c>
      <c r="N18" s="28">
        <f>Premissas!$F$56</f>
        <v/>
      </c>
      <c r="O18" s="28">
        <f>Premissas!$F$56</f>
        <v/>
      </c>
      <c r="P18" s="28">
        <f>Premissas!$F$56</f>
        <v/>
      </c>
      <c r="Q18" s="28">
        <f>Premissas!$F$56</f>
        <v/>
      </c>
      <c r="R18" s="28">
        <f>Premissas!$F$56</f>
        <v/>
      </c>
      <c r="S18" s="28">
        <f>Premissas!$F$56</f>
        <v/>
      </c>
      <c r="T18" s="28">
        <f>Premissas!$F$56</f>
        <v/>
      </c>
      <c r="U18" s="28">
        <f>Premissas!$F$56</f>
        <v/>
      </c>
      <c r="V18" s="28">
        <f>Premissas!$F$56</f>
        <v/>
      </c>
      <c r="W18" s="28">
        <f>Premissas!$F$56</f>
        <v/>
      </c>
      <c r="X18" s="28">
        <f>Premissas!$F$56</f>
        <v/>
      </c>
      <c r="Y18" s="28">
        <f>Premissas!$F$56</f>
        <v/>
      </c>
      <c r="Z18" s="28">
        <f>Premissas!$F$56</f>
        <v/>
      </c>
      <c r="AA18" s="28">
        <f>Premissas!$F$56</f>
        <v/>
      </c>
      <c r="AB18" s="28">
        <f>Premissas!$F$56</f>
        <v/>
      </c>
      <c r="AC18" s="28">
        <f>Premissas!$F$56</f>
        <v/>
      </c>
      <c r="AD18" s="28">
        <f>Premissas!$F$56</f>
        <v/>
      </c>
      <c r="AE18" s="28">
        <f>Premissas!$F$56</f>
        <v/>
      </c>
      <c r="AF18" s="28">
        <f>Premissas!$F$56</f>
        <v/>
      </c>
      <c r="AG18" s="28">
        <f>Premissas!$F$56</f>
        <v/>
      </c>
      <c r="AH18" s="28">
        <f>Premissas!$F$56</f>
        <v/>
      </c>
      <c r="AI18" s="28">
        <f>Premissas!$F$56</f>
        <v/>
      </c>
      <c r="AJ18" s="28">
        <f>Premissas!$F$56</f>
        <v/>
      </c>
      <c r="AK18" s="28">
        <f>Premissas!$F$56</f>
        <v/>
      </c>
      <c r="AL18" s="28">
        <f>Premissas!$F$56</f>
        <v/>
      </c>
      <c r="AM18" s="28">
        <f>Premissas!$F$56</f>
        <v/>
      </c>
      <c r="AN18" s="28">
        <f>Premissas!$F$56</f>
        <v/>
      </c>
      <c r="AO18" s="28">
        <f>Premissas!$F$56</f>
        <v/>
      </c>
      <c r="AP18" s="28">
        <f>Premissas!$F$56</f>
        <v/>
      </c>
      <c r="AQ18" s="28">
        <f>Premissas!$F$56</f>
        <v/>
      </c>
      <c r="AR18" s="28">
        <f>Premissas!$F$56</f>
        <v/>
      </c>
      <c r="AS18" s="28">
        <f>Premissas!$F$56</f>
        <v/>
      </c>
      <c r="AT18" s="28">
        <f>Premissas!$F$56</f>
        <v/>
      </c>
      <c r="AU18" s="28">
        <f>Premissas!$F$56</f>
        <v/>
      </c>
      <c r="AV18" s="28">
        <f>Premissas!$F$56</f>
        <v/>
      </c>
      <c r="AW18" s="28">
        <f>Premissas!$F$56</f>
        <v/>
      </c>
      <c r="AX18" s="28">
        <f>Premissas!$F$56</f>
        <v/>
      </c>
      <c r="AY18" s="28">
        <f>Premissas!$F$56</f>
        <v/>
      </c>
      <c r="AZ18" s="28">
        <f>Premissas!$F$56</f>
        <v/>
      </c>
      <c r="BA18" s="28">
        <f>Premissas!$F$56</f>
        <v/>
      </c>
      <c r="BB18" s="28">
        <f>Premissas!$F$56</f>
        <v/>
      </c>
      <c r="BC18" s="28">
        <f>Premissas!$F$56</f>
        <v/>
      </c>
      <c r="BD18" s="28">
        <f>Premissas!$F$56</f>
        <v/>
      </c>
      <c r="BE18" s="28">
        <f>Premissas!$F$56</f>
        <v/>
      </c>
      <c r="BF18" s="28">
        <f>Premissas!$F$56</f>
        <v/>
      </c>
      <c r="BG18" s="28">
        <f>Premissas!$F$56</f>
        <v/>
      </c>
      <c r="BH18" s="28">
        <f>Premissas!$F$56</f>
        <v/>
      </c>
      <c r="BI18" s="28">
        <f>Premissas!$F$56</f>
        <v/>
      </c>
      <c r="BJ18" s="28">
        <f>Premissas!$F$56</f>
        <v/>
      </c>
      <c r="BK18" s="28">
        <f>Premissas!$F$56</f>
        <v/>
      </c>
      <c r="BL18" s="28">
        <f>Premissas!$F$56</f>
        <v/>
      </c>
      <c r="BM18" s="28">
        <f>Premissas!$F$56</f>
        <v/>
      </c>
      <c r="BN18" s="28">
        <f>Premissas!$F$56</f>
        <v/>
      </c>
      <c r="BO18" s="28">
        <f>Premissas!$F$56</f>
        <v/>
      </c>
      <c r="BP18" s="28">
        <f>Premissas!$F$56</f>
        <v/>
      </c>
      <c r="BQ18" s="28">
        <f>Premissas!$F$56</f>
        <v/>
      </c>
      <c r="BR18" s="28">
        <f>Premissas!$F$56</f>
        <v/>
      </c>
      <c r="BS18" s="28">
        <f>Premissas!$F$56</f>
        <v/>
      </c>
      <c r="BT18" s="28">
        <f>Premissas!$F$56</f>
        <v/>
      </c>
      <c r="BU18" s="28">
        <f>Premissas!$F$56</f>
        <v/>
      </c>
      <c r="BV18" s="28">
        <f>Premissas!$F$56</f>
        <v/>
      </c>
      <c r="BW18" s="28">
        <f>Premissas!$F$56</f>
        <v/>
      </c>
      <c r="BX18" s="28">
        <f>Premissas!$F$56</f>
        <v/>
      </c>
      <c r="BY18" s="28">
        <f>Premissas!$F$56</f>
        <v/>
      </c>
      <c r="BZ18" s="28">
        <f>Premissas!$F$56</f>
        <v/>
      </c>
      <c r="CA18" s="28">
        <f>Premissas!$F$56</f>
        <v/>
      </c>
      <c r="CB18" s="28">
        <f>Premissas!$F$56</f>
        <v/>
      </c>
      <c r="CC18" s="28">
        <f>Premissas!$F$56</f>
        <v/>
      </c>
      <c r="CD18" s="28">
        <f>Premissas!$F$56</f>
        <v/>
      </c>
      <c r="CE18" s="28">
        <f>Premissas!$F$56</f>
        <v/>
      </c>
      <c r="CF18" s="28">
        <f>Premissas!$F$56</f>
        <v/>
      </c>
      <c r="CG18" s="28">
        <f>Premissas!$F$56</f>
        <v/>
      </c>
      <c r="CH18" s="28">
        <f>Premissas!$F$56</f>
        <v/>
      </c>
    </row>
    <row r="19">
      <c r="A19" s="3" t="inlineStr">
        <is>
          <t>Novas</t>
        </is>
      </c>
      <c r="C19" s="12">
        <f>C15*C18</f>
        <v/>
      </c>
      <c r="D19" s="12">
        <f>D15*D18</f>
        <v/>
      </c>
      <c r="E19" s="12">
        <f>E15*E18</f>
        <v/>
      </c>
      <c r="F19" s="12">
        <f>F15*F18</f>
        <v/>
      </c>
      <c r="G19" s="12">
        <f>G15*G18</f>
        <v/>
      </c>
      <c r="H19" s="12">
        <f>H15*H18</f>
        <v/>
      </c>
      <c r="I19" s="12">
        <f>I15*I18</f>
        <v/>
      </c>
      <c r="J19" s="12">
        <f>J15*J18</f>
        <v/>
      </c>
      <c r="K19" s="12">
        <f>K15*K18</f>
        <v/>
      </c>
      <c r="L19" s="12">
        <f>L15*L18</f>
        <v/>
      </c>
      <c r="M19" s="12">
        <f>M15*M18</f>
        <v/>
      </c>
      <c r="N19" s="12">
        <f>N15*N18</f>
        <v/>
      </c>
      <c r="O19" s="12">
        <f>O15*O18</f>
        <v/>
      </c>
      <c r="P19" s="12">
        <f>P15*P18</f>
        <v/>
      </c>
      <c r="Q19" s="12">
        <f>Q15*Q18</f>
        <v/>
      </c>
      <c r="R19" s="12">
        <f>R15*R18</f>
        <v/>
      </c>
      <c r="S19" s="12">
        <f>S15*S18</f>
        <v/>
      </c>
      <c r="T19" s="12">
        <f>T15*T18</f>
        <v/>
      </c>
      <c r="U19" s="12">
        <f>U15*U18</f>
        <v/>
      </c>
      <c r="V19" s="12">
        <f>V15*V18</f>
        <v/>
      </c>
      <c r="W19" s="12">
        <f>W15*W18</f>
        <v/>
      </c>
      <c r="X19" s="12">
        <f>X15*X18</f>
        <v/>
      </c>
      <c r="Y19" s="12">
        <f>Y15*Y18</f>
        <v/>
      </c>
      <c r="Z19" s="12">
        <f>Z15*Z18</f>
        <v/>
      </c>
      <c r="AA19" s="12">
        <f>AA15*AA18</f>
        <v/>
      </c>
      <c r="AB19" s="12">
        <f>AB15*AB18</f>
        <v/>
      </c>
      <c r="AC19" s="12">
        <f>AC15*AC18</f>
        <v/>
      </c>
      <c r="AD19" s="12">
        <f>AD15*AD18</f>
        <v/>
      </c>
      <c r="AE19" s="12">
        <f>AE15*AE18</f>
        <v/>
      </c>
      <c r="AF19" s="12">
        <f>AF15*AF18</f>
        <v/>
      </c>
      <c r="AG19" s="12">
        <f>AG15*AG18</f>
        <v/>
      </c>
      <c r="AH19" s="12">
        <f>AH15*AH18</f>
        <v/>
      </c>
      <c r="AI19" s="12">
        <f>AI15*AI18</f>
        <v/>
      </c>
      <c r="AJ19" s="12">
        <f>AJ15*AJ18</f>
        <v/>
      </c>
      <c r="AK19" s="12">
        <f>AK15*AK18</f>
        <v/>
      </c>
      <c r="AL19" s="12">
        <f>AL15*AL18</f>
        <v/>
      </c>
      <c r="AM19" s="12">
        <f>AM15*AM18</f>
        <v/>
      </c>
      <c r="AN19" s="12">
        <f>AN15*AN18</f>
        <v/>
      </c>
      <c r="AO19" s="12">
        <f>AO15*AO18</f>
        <v/>
      </c>
      <c r="AP19" s="12">
        <f>AP15*AP18</f>
        <v/>
      </c>
      <c r="AQ19" s="12">
        <f>AQ15*AQ18</f>
        <v/>
      </c>
      <c r="AR19" s="12">
        <f>AR15*AR18</f>
        <v/>
      </c>
      <c r="AS19" s="12">
        <f>AS15*AS18</f>
        <v/>
      </c>
      <c r="AT19" s="12">
        <f>AT15*AT18</f>
        <v/>
      </c>
      <c r="AU19" s="12">
        <f>AU15*AU18</f>
        <v/>
      </c>
      <c r="AV19" s="12">
        <f>AV15*AV18</f>
        <v/>
      </c>
      <c r="AW19" s="12">
        <f>AW15*AW18</f>
        <v/>
      </c>
      <c r="AX19" s="12">
        <f>AX15*AX18</f>
        <v/>
      </c>
      <c r="AY19" s="12">
        <f>AY15*AY18</f>
        <v/>
      </c>
      <c r="AZ19" s="12">
        <f>AZ15*AZ18</f>
        <v/>
      </c>
      <c r="BA19" s="12">
        <f>BA15*BA18</f>
        <v/>
      </c>
      <c r="BB19" s="12">
        <f>BB15*BB18</f>
        <v/>
      </c>
      <c r="BC19" s="12">
        <f>BC15*BC18</f>
        <v/>
      </c>
      <c r="BD19" s="12">
        <f>BD15*BD18</f>
        <v/>
      </c>
      <c r="BE19" s="12">
        <f>BE15*BE18</f>
        <v/>
      </c>
      <c r="BF19" s="12">
        <f>BF15*BF18</f>
        <v/>
      </c>
      <c r="BG19" s="12">
        <f>BG15*BG18</f>
        <v/>
      </c>
      <c r="BH19" s="12">
        <f>BH15*BH18</f>
        <v/>
      </c>
      <c r="BI19" s="12">
        <f>BI15*BI18</f>
        <v/>
      </c>
      <c r="BJ19" s="12">
        <f>BJ15*BJ18</f>
        <v/>
      </c>
      <c r="BK19" s="12">
        <f>BK15*BK18</f>
        <v/>
      </c>
      <c r="BL19" s="12">
        <f>BL15*BL18</f>
        <v/>
      </c>
      <c r="BM19" s="12">
        <f>BM15*BM18</f>
        <v/>
      </c>
      <c r="BN19" s="12">
        <f>BN15*BN18</f>
        <v/>
      </c>
      <c r="BO19" s="12">
        <f>BO15*BO18</f>
        <v/>
      </c>
      <c r="BP19" s="12">
        <f>BP15*BP18</f>
        <v/>
      </c>
      <c r="BQ19" s="12">
        <f>BQ15*BQ18</f>
        <v/>
      </c>
      <c r="BR19" s="12">
        <f>BR15*BR18</f>
        <v/>
      </c>
      <c r="BS19" s="12">
        <f>BS15*BS18</f>
        <v/>
      </c>
      <c r="BT19" s="12">
        <f>BT15*BT18</f>
        <v/>
      </c>
      <c r="BU19" s="12">
        <f>BU15*BU18</f>
        <v/>
      </c>
      <c r="BV19" s="12">
        <f>BV15*BV18</f>
        <v/>
      </c>
      <c r="BW19" s="12">
        <f>BW15*BW18</f>
        <v/>
      </c>
      <c r="BX19" s="12">
        <f>BX15*BX18</f>
        <v/>
      </c>
      <c r="BY19" s="12">
        <f>BY15*BY18</f>
        <v/>
      </c>
      <c r="BZ19" s="12">
        <f>BZ15*BZ18</f>
        <v/>
      </c>
      <c r="CA19" s="12">
        <f>CA15*CA18</f>
        <v/>
      </c>
      <c r="CB19" s="12">
        <f>CB15*CB18</f>
        <v/>
      </c>
      <c r="CC19" s="12">
        <f>CC15*CC18</f>
        <v/>
      </c>
      <c r="CD19" s="12">
        <f>CD15*CD18</f>
        <v/>
      </c>
      <c r="CE19" s="12">
        <f>CE15*CE18</f>
        <v/>
      </c>
      <c r="CF19" s="12">
        <f>CF15*CF18</f>
        <v/>
      </c>
      <c r="CG19" s="12">
        <f>CG15*CG18</f>
        <v/>
      </c>
      <c r="CH19" s="12">
        <f>CH15*CH18</f>
        <v/>
      </c>
    </row>
    <row r="20">
      <c r="A20" s="3" t="inlineStr">
        <is>
          <t>Canceladas</t>
        </is>
      </c>
      <c r="C20" s="12">
        <f>0*Premissas!$F$57</f>
        <v/>
      </c>
      <c r="D20" s="12">
        <f>C21*Premissas!$F$57</f>
        <v/>
      </c>
      <c r="E20" s="12">
        <f>D21*Premissas!$F$57</f>
        <v/>
      </c>
      <c r="F20" s="12">
        <f>E21*Premissas!$F$57</f>
        <v/>
      </c>
      <c r="G20" s="12">
        <f>F21*Premissas!$F$57</f>
        <v/>
      </c>
      <c r="H20" s="12">
        <f>G21*Premissas!$F$57</f>
        <v/>
      </c>
      <c r="I20" s="12">
        <f>H21*Premissas!$F$57</f>
        <v/>
      </c>
      <c r="J20" s="12">
        <f>I21*Premissas!$F$57</f>
        <v/>
      </c>
      <c r="K20" s="12">
        <f>J21*Premissas!$F$57</f>
        <v/>
      </c>
      <c r="L20" s="12">
        <f>K21*Premissas!$F$57</f>
        <v/>
      </c>
      <c r="M20" s="12">
        <f>L21*Premissas!$F$57</f>
        <v/>
      </c>
      <c r="N20" s="12">
        <f>M21*Premissas!$F$57</f>
        <v/>
      </c>
      <c r="O20" s="12">
        <f>N21*Premissas!$F$57</f>
        <v/>
      </c>
      <c r="P20" s="12">
        <f>O21*Premissas!$F$57</f>
        <v/>
      </c>
      <c r="Q20" s="12">
        <f>P21*Premissas!$F$57</f>
        <v/>
      </c>
      <c r="R20" s="12">
        <f>Q21*Premissas!$F$57</f>
        <v/>
      </c>
      <c r="S20" s="12">
        <f>R21*Premissas!$F$57</f>
        <v/>
      </c>
      <c r="T20" s="12">
        <f>S21*Premissas!$F$57</f>
        <v/>
      </c>
      <c r="U20" s="12">
        <f>T21*Premissas!$F$57</f>
        <v/>
      </c>
      <c r="V20" s="12">
        <f>U21*Premissas!$F$57</f>
        <v/>
      </c>
      <c r="W20" s="12">
        <f>V21*Premissas!$F$57</f>
        <v/>
      </c>
      <c r="X20" s="12">
        <f>W21*Premissas!$F$57</f>
        <v/>
      </c>
      <c r="Y20" s="12">
        <f>X21*Premissas!$F$57</f>
        <v/>
      </c>
      <c r="Z20" s="12">
        <f>Y21*Premissas!$F$57</f>
        <v/>
      </c>
      <c r="AA20" s="12">
        <f>Z21*Premissas!$F$57</f>
        <v/>
      </c>
      <c r="AB20" s="12">
        <f>AA21*Premissas!$F$57</f>
        <v/>
      </c>
      <c r="AC20" s="12">
        <f>AB21*Premissas!$F$57</f>
        <v/>
      </c>
      <c r="AD20" s="12">
        <f>AC21*Premissas!$F$57</f>
        <v/>
      </c>
      <c r="AE20" s="12">
        <f>AD21*Premissas!$F$57</f>
        <v/>
      </c>
      <c r="AF20" s="12">
        <f>AE21*Premissas!$F$57</f>
        <v/>
      </c>
      <c r="AG20" s="12">
        <f>AF21*Premissas!$F$57</f>
        <v/>
      </c>
      <c r="AH20" s="12">
        <f>AG21*Premissas!$F$57</f>
        <v/>
      </c>
      <c r="AI20" s="12">
        <f>AH21*Premissas!$F$57</f>
        <v/>
      </c>
      <c r="AJ20" s="12">
        <f>AI21*Premissas!$F$57</f>
        <v/>
      </c>
      <c r="AK20" s="12">
        <f>AJ21*Premissas!$F$57</f>
        <v/>
      </c>
      <c r="AL20" s="12">
        <f>AK21*Premissas!$F$57</f>
        <v/>
      </c>
      <c r="AM20" s="12">
        <f>AL21*Premissas!$F$57</f>
        <v/>
      </c>
      <c r="AN20" s="12">
        <f>AM21*Premissas!$F$57</f>
        <v/>
      </c>
      <c r="AO20" s="12">
        <f>AN21*Premissas!$F$57</f>
        <v/>
      </c>
      <c r="AP20" s="12">
        <f>AO21*Premissas!$F$57</f>
        <v/>
      </c>
      <c r="AQ20" s="12">
        <f>AP21*Premissas!$F$57</f>
        <v/>
      </c>
      <c r="AR20" s="12">
        <f>AQ21*Premissas!$F$57</f>
        <v/>
      </c>
      <c r="AS20" s="12">
        <f>AR21*Premissas!$F$57</f>
        <v/>
      </c>
      <c r="AT20" s="12">
        <f>AS21*Premissas!$F$57</f>
        <v/>
      </c>
      <c r="AU20" s="12">
        <f>AT21*Premissas!$F$57</f>
        <v/>
      </c>
      <c r="AV20" s="12">
        <f>AU21*Premissas!$F$57</f>
        <v/>
      </c>
      <c r="AW20" s="12">
        <f>AV21*Premissas!$F$57</f>
        <v/>
      </c>
      <c r="AX20" s="12">
        <f>AW21*Premissas!$F$57</f>
        <v/>
      </c>
      <c r="AY20" s="12">
        <f>AX21*Premissas!$F$57</f>
        <v/>
      </c>
      <c r="AZ20" s="12">
        <f>AY21*Premissas!$F$57</f>
        <v/>
      </c>
      <c r="BA20" s="12">
        <f>AZ21*Premissas!$F$57</f>
        <v/>
      </c>
      <c r="BB20" s="12">
        <f>BA21*Premissas!$F$57</f>
        <v/>
      </c>
      <c r="BC20" s="12">
        <f>BB21*Premissas!$F$57</f>
        <v/>
      </c>
      <c r="BD20" s="12">
        <f>BC21*Premissas!$F$57</f>
        <v/>
      </c>
      <c r="BE20" s="12">
        <f>BD21*Premissas!$F$57</f>
        <v/>
      </c>
      <c r="BF20" s="12">
        <f>BE21*Premissas!$F$57</f>
        <v/>
      </c>
      <c r="BG20" s="12">
        <f>BF21*Premissas!$F$57</f>
        <v/>
      </c>
      <c r="BH20" s="12">
        <f>BG21*Premissas!$F$57</f>
        <v/>
      </c>
      <c r="BI20" s="12">
        <f>BH21*Premissas!$F$57</f>
        <v/>
      </c>
      <c r="BJ20" s="12">
        <f>BI21*Premissas!$F$57</f>
        <v/>
      </c>
      <c r="BK20" s="12">
        <f>BJ21*Premissas!$F$57</f>
        <v/>
      </c>
      <c r="BL20" s="12">
        <f>BK21*Premissas!$F$57</f>
        <v/>
      </c>
      <c r="BM20" s="12">
        <f>BL21*Premissas!$F$57</f>
        <v/>
      </c>
      <c r="BN20" s="12">
        <f>BM21*Premissas!$F$57</f>
        <v/>
      </c>
      <c r="BO20" s="12">
        <f>BN21*Premissas!$F$57</f>
        <v/>
      </c>
      <c r="BP20" s="12">
        <f>BO21*Premissas!$F$57</f>
        <v/>
      </c>
      <c r="BQ20" s="12">
        <f>BP21*Premissas!$F$57</f>
        <v/>
      </c>
      <c r="BR20" s="12">
        <f>BQ21*Premissas!$F$57</f>
        <v/>
      </c>
      <c r="BS20" s="12">
        <f>BR21*Premissas!$F$57</f>
        <v/>
      </c>
      <c r="BT20" s="12">
        <f>BS21*Premissas!$F$57</f>
        <v/>
      </c>
      <c r="BU20" s="12">
        <f>BT21*Premissas!$F$57</f>
        <v/>
      </c>
      <c r="BV20" s="12">
        <f>BU21*Premissas!$F$57</f>
        <v/>
      </c>
      <c r="BW20" s="12">
        <f>BV21*Premissas!$F$57</f>
        <v/>
      </c>
      <c r="BX20" s="12">
        <f>BW21*Premissas!$F$57</f>
        <v/>
      </c>
      <c r="BY20" s="12">
        <f>BX21*Premissas!$F$57</f>
        <v/>
      </c>
      <c r="BZ20" s="12">
        <f>BY21*Premissas!$F$57</f>
        <v/>
      </c>
      <c r="CA20" s="12">
        <f>BZ21*Premissas!$F$57</f>
        <v/>
      </c>
      <c r="CB20" s="12">
        <f>CA21*Premissas!$F$57</f>
        <v/>
      </c>
      <c r="CC20" s="12">
        <f>CB21*Premissas!$F$57</f>
        <v/>
      </c>
      <c r="CD20" s="12">
        <f>CC21*Premissas!$F$57</f>
        <v/>
      </c>
      <c r="CE20" s="12">
        <f>CD21*Premissas!$F$57</f>
        <v/>
      </c>
      <c r="CF20" s="12">
        <f>CE21*Premissas!$F$57</f>
        <v/>
      </c>
      <c r="CG20" s="12">
        <f>CF21*Premissas!$F$57</f>
        <v/>
      </c>
      <c r="CH20" s="12">
        <f>CG21*Premissas!$F$57</f>
        <v/>
      </c>
    </row>
    <row r="21">
      <c r="A21" s="2" t="inlineStr">
        <is>
          <t>Ativas no fim do mês</t>
        </is>
      </c>
      <c r="C21" s="23">
        <f>0+C19-C20</f>
        <v/>
      </c>
      <c r="D21" s="23">
        <f>C21+D19-D20</f>
        <v/>
      </c>
      <c r="E21" s="23">
        <f>D21+E19-E20</f>
        <v/>
      </c>
      <c r="F21" s="23">
        <f>E21+F19-F20</f>
        <v/>
      </c>
      <c r="G21" s="23">
        <f>F21+G19-G20</f>
        <v/>
      </c>
      <c r="H21" s="23">
        <f>G21+H19-H20</f>
        <v/>
      </c>
      <c r="I21" s="23">
        <f>H21+I19-I20</f>
        <v/>
      </c>
      <c r="J21" s="23">
        <f>I21+J19-J20</f>
        <v/>
      </c>
      <c r="K21" s="23">
        <f>J21+K19-K20</f>
        <v/>
      </c>
      <c r="L21" s="23">
        <f>K21+L19-L20</f>
        <v/>
      </c>
      <c r="M21" s="23">
        <f>L21+M19-M20</f>
        <v/>
      </c>
      <c r="N21" s="23">
        <f>M21+N19-N20</f>
        <v/>
      </c>
      <c r="O21" s="23">
        <f>N21+O19-O20</f>
        <v/>
      </c>
      <c r="P21" s="23">
        <f>O21+P19-P20</f>
        <v/>
      </c>
      <c r="Q21" s="23">
        <f>P21+Q19-Q20</f>
        <v/>
      </c>
      <c r="R21" s="23">
        <f>Q21+R19-R20</f>
        <v/>
      </c>
      <c r="S21" s="23">
        <f>R21+S19-S20</f>
        <v/>
      </c>
      <c r="T21" s="23">
        <f>S21+T19-T20</f>
        <v/>
      </c>
      <c r="U21" s="23">
        <f>T21+U19-U20</f>
        <v/>
      </c>
      <c r="V21" s="23">
        <f>U21+V19-V20</f>
        <v/>
      </c>
      <c r="W21" s="23">
        <f>V21+W19-W20</f>
        <v/>
      </c>
      <c r="X21" s="23">
        <f>W21+X19-X20</f>
        <v/>
      </c>
      <c r="Y21" s="23">
        <f>X21+Y19-Y20</f>
        <v/>
      </c>
      <c r="Z21" s="23">
        <f>Y21+Z19-Z20</f>
        <v/>
      </c>
      <c r="AA21" s="23">
        <f>Z21+AA19-AA20</f>
        <v/>
      </c>
      <c r="AB21" s="23">
        <f>AA21+AB19-AB20</f>
        <v/>
      </c>
      <c r="AC21" s="23">
        <f>AB21+AC19-AC20</f>
        <v/>
      </c>
      <c r="AD21" s="23">
        <f>AC21+AD19-AD20</f>
        <v/>
      </c>
      <c r="AE21" s="23">
        <f>AD21+AE19-AE20</f>
        <v/>
      </c>
      <c r="AF21" s="23">
        <f>AE21+AF19-AF20</f>
        <v/>
      </c>
      <c r="AG21" s="23">
        <f>AF21+AG19-AG20</f>
        <v/>
      </c>
      <c r="AH21" s="23">
        <f>AG21+AH19-AH20</f>
        <v/>
      </c>
      <c r="AI21" s="23">
        <f>AH21+AI19-AI20</f>
        <v/>
      </c>
      <c r="AJ21" s="23">
        <f>AI21+AJ19-AJ20</f>
        <v/>
      </c>
      <c r="AK21" s="23">
        <f>AJ21+AK19-AK20</f>
        <v/>
      </c>
      <c r="AL21" s="23">
        <f>AK21+AL19-AL20</f>
        <v/>
      </c>
      <c r="AM21" s="23">
        <f>AL21+AM19-AM20</f>
        <v/>
      </c>
      <c r="AN21" s="23">
        <f>AM21+AN19-AN20</f>
        <v/>
      </c>
      <c r="AO21" s="23">
        <f>AN21+AO19-AO20</f>
        <v/>
      </c>
      <c r="AP21" s="23">
        <f>AO21+AP19-AP20</f>
        <v/>
      </c>
      <c r="AQ21" s="23">
        <f>AP21+AQ19-AQ20</f>
        <v/>
      </c>
      <c r="AR21" s="23">
        <f>AQ21+AR19-AR20</f>
        <v/>
      </c>
      <c r="AS21" s="23">
        <f>AR21+AS19-AS20</f>
        <v/>
      </c>
      <c r="AT21" s="23">
        <f>AS21+AT19-AT20</f>
        <v/>
      </c>
      <c r="AU21" s="23">
        <f>AT21+AU19-AU20</f>
        <v/>
      </c>
      <c r="AV21" s="23">
        <f>AU21+AV19-AV20</f>
        <v/>
      </c>
      <c r="AW21" s="23">
        <f>AV21+AW19-AW20</f>
        <v/>
      </c>
      <c r="AX21" s="23">
        <f>AW21+AX19-AX20</f>
        <v/>
      </c>
      <c r="AY21" s="23">
        <f>AX21+AY19-AY20</f>
        <v/>
      </c>
      <c r="AZ21" s="23">
        <f>AY21+AZ19-AZ20</f>
        <v/>
      </c>
      <c r="BA21" s="23">
        <f>AZ21+BA19-BA20</f>
        <v/>
      </c>
      <c r="BB21" s="23">
        <f>BA21+BB19-BB20</f>
        <v/>
      </c>
      <c r="BC21" s="23">
        <f>BB21+BC19-BC20</f>
        <v/>
      </c>
      <c r="BD21" s="23">
        <f>BC21+BD19-BD20</f>
        <v/>
      </c>
      <c r="BE21" s="23">
        <f>BD21+BE19-BE20</f>
        <v/>
      </c>
      <c r="BF21" s="23">
        <f>BE21+BF19-BF20</f>
        <v/>
      </c>
      <c r="BG21" s="23">
        <f>BF21+BG19-BG20</f>
        <v/>
      </c>
      <c r="BH21" s="23">
        <f>BG21+BH19-BH20</f>
        <v/>
      </c>
      <c r="BI21" s="23">
        <f>BH21+BI19-BI20</f>
        <v/>
      </c>
      <c r="BJ21" s="23">
        <f>BI21+BJ19-BJ20</f>
        <v/>
      </c>
      <c r="BK21" s="23">
        <f>BJ21+BK19-BK20</f>
        <v/>
      </c>
      <c r="BL21" s="23">
        <f>BK21+BL19-BL20</f>
        <v/>
      </c>
      <c r="BM21" s="23">
        <f>BL21+BM19-BM20</f>
        <v/>
      </c>
      <c r="BN21" s="23">
        <f>BM21+BN19-BN20</f>
        <v/>
      </c>
      <c r="BO21" s="23">
        <f>BN21+BO19-BO20</f>
        <v/>
      </c>
      <c r="BP21" s="23">
        <f>BO21+BP19-BP20</f>
        <v/>
      </c>
      <c r="BQ21" s="23">
        <f>BP21+BQ19-BQ20</f>
        <v/>
      </c>
      <c r="BR21" s="23">
        <f>BQ21+BR19-BR20</f>
        <v/>
      </c>
      <c r="BS21" s="23">
        <f>BR21+BS19-BS20</f>
        <v/>
      </c>
      <c r="BT21" s="23">
        <f>BS21+BT19-BT20</f>
        <v/>
      </c>
      <c r="BU21" s="23">
        <f>BT21+BU19-BU20</f>
        <v/>
      </c>
      <c r="BV21" s="23">
        <f>BU21+BV19-BV20</f>
        <v/>
      </c>
      <c r="BW21" s="23">
        <f>BV21+BW19-BW20</f>
        <v/>
      </c>
      <c r="BX21" s="23">
        <f>BW21+BX19-BX20</f>
        <v/>
      </c>
      <c r="BY21" s="23">
        <f>BX21+BY19-BY20</f>
        <v/>
      </c>
      <c r="BZ21" s="23">
        <f>BY21+BZ19-BZ20</f>
        <v/>
      </c>
      <c r="CA21" s="23">
        <f>BZ21+CA19-CA20</f>
        <v/>
      </c>
      <c r="CB21" s="23">
        <f>CA21+CB19-CB20</f>
        <v/>
      </c>
      <c r="CC21" s="23">
        <f>CB21+CC19-CC20</f>
        <v/>
      </c>
      <c r="CD21" s="23">
        <f>CC21+CD19-CD20</f>
        <v/>
      </c>
      <c r="CE21" s="23">
        <f>CD21+CE19-CE20</f>
        <v/>
      </c>
      <c r="CF21" s="23">
        <f>CE21+CF19-CF20</f>
        <v/>
      </c>
      <c r="CG21" s="23">
        <f>CF21+CG19-CG20</f>
        <v/>
      </c>
      <c r="CH21" s="23">
        <f>CG21+CH19-CH20</f>
        <v/>
      </c>
    </row>
    <row r="23">
      <c r="A23" s="4" t="inlineStr">
        <is>
          <t>Plano Clínica Pro</t>
        </is>
      </c>
      <c r="B23" s="5" t="n"/>
    </row>
    <row r="24">
      <c r="A24" s="3" t="inlineStr">
        <is>
          <t>Participação nas novas</t>
        </is>
      </c>
      <c r="C24" s="28">
        <f>Premissas!$F$62+IF(C2&lt;13,Premissas!$F$68,0)</f>
        <v/>
      </c>
      <c r="D24" s="28">
        <f>Premissas!$F$62+IF(D2&lt;13,Premissas!$F$68,0)</f>
        <v/>
      </c>
      <c r="E24" s="28">
        <f>Premissas!$F$62+IF(E2&lt;13,Premissas!$F$68,0)</f>
        <v/>
      </c>
      <c r="F24" s="28">
        <f>Premissas!$F$62+IF(F2&lt;13,Premissas!$F$68,0)</f>
        <v/>
      </c>
      <c r="G24" s="28">
        <f>Premissas!$F$62+IF(G2&lt;13,Premissas!$F$68,0)</f>
        <v/>
      </c>
      <c r="H24" s="28">
        <f>Premissas!$F$62+IF(H2&lt;13,Premissas!$F$68,0)</f>
        <v/>
      </c>
      <c r="I24" s="28">
        <f>Premissas!$F$62+IF(I2&lt;13,Premissas!$F$68,0)</f>
        <v/>
      </c>
      <c r="J24" s="28">
        <f>Premissas!$F$62+IF(J2&lt;13,Premissas!$F$68,0)</f>
        <v/>
      </c>
      <c r="K24" s="28">
        <f>Premissas!$F$62+IF(K2&lt;13,Premissas!$F$68,0)</f>
        <v/>
      </c>
      <c r="L24" s="28">
        <f>Premissas!$F$62+IF(L2&lt;13,Premissas!$F$68,0)</f>
        <v/>
      </c>
      <c r="M24" s="28">
        <f>Premissas!$F$62+IF(M2&lt;13,Premissas!$F$68,0)</f>
        <v/>
      </c>
      <c r="N24" s="28">
        <f>Premissas!$F$62+IF(N2&lt;13,Premissas!$F$68,0)</f>
        <v/>
      </c>
      <c r="O24" s="28">
        <f>Premissas!$F$62+IF(O2&lt;13,Premissas!$F$68,0)</f>
        <v/>
      </c>
      <c r="P24" s="28">
        <f>Premissas!$F$62+IF(P2&lt;13,Premissas!$F$68,0)</f>
        <v/>
      </c>
      <c r="Q24" s="28">
        <f>Premissas!$F$62+IF(Q2&lt;13,Premissas!$F$68,0)</f>
        <v/>
      </c>
      <c r="R24" s="28">
        <f>Premissas!$F$62+IF(R2&lt;13,Premissas!$F$68,0)</f>
        <v/>
      </c>
      <c r="S24" s="28">
        <f>Premissas!$F$62+IF(S2&lt;13,Premissas!$F$68,0)</f>
        <v/>
      </c>
      <c r="T24" s="28">
        <f>Premissas!$F$62+IF(T2&lt;13,Premissas!$F$68,0)</f>
        <v/>
      </c>
      <c r="U24" s="28">
        <f>Premissas!$F$62+IF(U2&lt;13,Premissas!$F$68,0)</f>
        <v/>
      </c>
      <c r="V24" s="28">
        <f>Premissas!$F$62+IF(V2&lt;13,Premissas!$F$68,0)</f>
        <v/>
      </c>
      <c r="W24" s="28">
        <f>Premissas!$F$62+IF(W2&lt;13,Premissas!$F$68,0)</f>
        <v/>
      </c>
      <c r="X24" s="28">
        <f>Premissas!$F$62+IF(X2&lt;13,Premissas!$F$68,0)</f>
        <v/>
      </c>
      <c r="Y24" s="28">
        <f>Premissas!$F$62+IF(Y2&lt;13,Premissas!$F$68,0)</f>
        <v/>
      </c>
      <c r="Z24" s="28">
        <f>Premissas!$F$62+IF(Z2&lt;13,Premissas!$F$68,0)</f>
        <v/>
      </c>
      <c r="AA24" s="28">
        <f>Premissas!$F$62+IF(AA2&lt;13,Premissas!$F$68,0)</f>
        <v/>
      </c>
      <c r="AB24" s="28">
        <f>Premissas!$F$62+IF(AB2&lt;13,Premissas!$F$68,0)</f>
        <v/>
      </c>
      <c r="AC24" s="28">
        <f>Premissas!$F$62+IF(AC2&lt;13,Premissas!$F$68,0)</f>
        <v/>
      </c>
      <c r="AD24" s="28">
        <f>Premissas!$F$62+IF(AD2&lt;13,Premissas!$F$68,0)</f>
        <v/>
      </c>
      <c r="AE24" s="28">
        <f>Premissas!$F$62+IF(AE2&lt;13,Premissas!$F$68,0)</f>
        <v/>
      </c>
      <c r="AF24" s="28">
        <f>Premissas!$F$62+IF(AF2&lt;13,Premissas!$F$68,0)</f>
        <v/>
      </c>
      <c r="AG24" s="28">
        <f>Premissas!$F$62+IF(AG2&lt;13,Premissas!$F$68,0)</f>
        <v/>
      </c>
      <c r="AH24" s="28">
        <f>Premissas!$F$62+IF(AH2&lt;13,Premissas!$F$68,0)</f>
        <v/>
      </c>
      <c r="AI24" s="28">
        <f>Premissas!$F$62+IF(AI2&lt;13,Premissas!$F$68,0)</f>
        <v/>
      </c>
      <c r="AJ24" s="28">
        <f>Premissas!$F$62+IF(AJ2&lt;13,Premissas!$F$68,0)</f>
        <v/>
      </c>
      <c r="AK24" s="28">
        <f>Premissas!$F$62+IF(AK2&lt;13,Premissas!$F$68,0)</f>
        <v/>
      </c>
      <c r="AL24" s="28">
        <f>Premissas!$F$62+IF(AL2&lt;13,Premissas!$F$68,0)</f>
        <v/>
      </c>
      <c r="AM24" s="28">
        <f>Premissas!$F$62+IF(AM2&lt;13,Premissas!$F$68,0)</f>
        <v/>
      </c>
      <c r="AN24" s="28">
        <f>Premissas!$F$62+IF(AN2&lt;13,Premissas!$F$68,0)</f>
        <v/>
      </c>
      <c r="AO24" s="28">
        <f>Premissas!$F$62+IF(AO2&lt;13,Premissas!$F$68,0)</f>
        <v/>
      </c>
      <c r="AP24" s="28">
        <f>Premissas!$F$62+IF(AP2&lt;13,Premissas!$F$68,0)</f>
        <v/>
      </c>
      <c r="AQ24" s="28">
        <f>Premissas!$F$62+IF(AQ2&lt;13,Premissas!$F$68,0)</f>
        <v/>
      </c>
      <c r="AR24" s="28">
        <f>Premissas!$F$62+IF(AR2&lt;13,Premissas!$F$68,0)</f>
        <v/>
      </c>
      <c r="AS24" s="28">
        <f>Premissas!$F$62+IF(AS2&lt;13,Premissas!$F$68,0)</f>
        <v/>
      </c>
      <c r="AT24" s="28">
        <f>Premissas!$F$62+IF(AT2&lt;13,Premissas!$F$68,0)</f>
        <v/>
      </c>
      <c r="AU24" s="28">
        <f>Premissas!$F$62+IF(AU2&lt;13,Premissas!$F$68,0)</f>
        <v/>
      </c>
      <c r="AV24" s="28">
        <f>Premissas!$F$62+IF(AV2&lt;13,Premissas!$F$68,0)</f>
        <v/>
      </c>
      <c r="AW24" s="28">
        <f>Premissas!$F$62+IF(AW2&lt;13,Premissas!$F$68,0)</f>
        <v/>
      </c>
      <c r="AX24" s="28">
        <f>Premissas!$F$62+IF(AX2&lt;13,Premissas!$F$68,0)</f>
        <v/>
      </c>
      <c r="AY24" s="28">
        <f>Premissas!$F$62+IF(AY2&lt;13,Premissas!$F$68,0)</f>
        <v/>
      </c>
      <c r="AZ24" s="28">
        <f>Premissas!$F$62+IF(AZ2&lt;13,Premissas!$F$68,0)</f>
        <v/>
      </c>
      <c r="BA24" s="28">
        <f>Premissas!$F$62+IF(BA2&lt;13,Premissas!$F$68,0)</f>
        <v/>
      </c>
      <c r="BB24" s="28">
        <f>Premissas!$F$62+IF(BB2&lt;13,Premissas!$F$68,0)</f>
        <v/>
      </c>
      <c r="BC24" s="28">
        <f>Premissas!$F$62+IF(BC2&lt;13,Premissas!$F$68,0)</f>
        <v/>
      </c>
      <c r="BD24" s="28">
        <f>Premissas!$F$62+IF(BD2&lt;13,Premissas!$F$68,0)</f>
        <v/>
      </c>
      <c r="BE24" s="28">
        <f>Premissas!$F$62+IF(BE2&lt;13,Premissas!$F$68,0)</f>
        <v/>
      </c>
      <c r="BF24" s="28">
        <f>Premissas!$F$62+IF(BF2&lt;13,Premissas!$F$68,0)</f>
        <v/>
      </c>
      <c r="BG24" s="28">
        <f>Premissas!$F$62+IF(BG2&lt;13,Premissas!$F$68,0)</f>
        <v/>
      </c>
      <c r="BH24" s="28">
        <f>Premissas!$F$62+IF(BH2&lt;13,Premissas!$F$68,0)</f>
        <v/>
      </c>
      <c r="BI24" s="28">
        <f>Premissas!$F$62+IF(BI2&lt;13,Premissas!$F$68,0)</f>
        <v/>
      </c>
      <c r="BJ24" s="28">
        <f>Premissas!$F$62+IF(BJ2&lt;13,Premissas!$F$68,0)</f>
        <v/>
      </c>
      <c r="BK24" s="28">
        <f>Premissas!$F$62+IF(BK2&lt;13,Premissas!$F$68,0)</f>
        <v/>
      </c>
      <c r="BL24" s="28">
        <f>Premissas!$F$62+IF(BL2&lt;13,Premissas!$F$68,0)</f>
        <v/>
      </c>
      <c r="BM24" s="28">
        <f>Premissas!$F$62+IF(BM2&lt;13,Premissas!$F$68,0)</f>
        <v/>
      </c>
      <c r="BN24" s="28">
        <f>Premissas!$F$62+IF(BN2&lt;13,Premissas!$F$68,0)</f>
        <v/>
      </c>
      <c r="BO24" s="28">
        <f>Premissas!$F$62+IF(BO2&lt;13,Premissas!$F$68,0)</f>
        <v/>
      </c>
      <c r="BP24" s="28">
        <f>Premissas!$F$62+IF(BP2&lt;13,Premissas!$F$68,0)</f>
        <v/>
      </c>
      <c r="BQ24" s="28">
        <f>Premissas!$F$62+IF(BQ2&lt;13,Premissas!$F$68,0)</f>
        <v/>
      </c>
      <c r="BR24" s="28">
        <f>Premissas!$F$62+IF(BR2&lt;13,Premissas!$F$68,0)</f>
        <v/>
      </c>
      <c r="BS24" s="28">
        <f>Premissas!$F$62+IF(BS2&lt;13,Premissas!$F$68,0)</f>
        <v/>
      </c>
      <c r="BT24" s="28">
        <f>Premissas!$F$62+IF(BT2&lt;13,Premissas!$F$68,0)</f>
        <v/>
      </c>
      <c r="BU24" s="28">
        <f>Premissas!$F$62+IF(BU2&lt;13,Premissas!$F$68,0)</f>
        <v/>
      </c>
      <c r="BV24" s="28">
        <f>Premissas!$F$62+IF(BV2&lt;13,Premissas!$F$68,0)</f>
        <v/>
      </c>
      <c r="BW24" s="28">
        <f>Premissas!$F$62+IF(BW2&lt;13,Premissas!$F$68,0)</f>
        <v/>
      </c>
      <c r="BX24" s="28">
        <f>Premissas!$F$62+IF(BX2&lt;13,Premissas!$F$68,0)</f>
        <v/>
      </c>
      <c r="BY24" s="28">
        <f>Premissas!$F$62+IF(BY2&lt;13,Premissas!$F$68,0)</f>
        <v/>
      </c>
      <c r="BZ24" s="28">
        <f>Premissas!$F$62+IF(BZ2&lt;13,Premissas!$F$68,0)</f>
        <v/>
      </c>
      <c r="CA24" s="28">
        <f>Premissas!$F$62+IF(CA2&lt;13,Premissas!$F$68,0)</f>
        <v/>
      </c>
      <c r="CB24" s="28">
        <f>Premissas!$F$62+IF(CB2&lt;13,Premissas!$F$68,0)</f>
        <v/>
      </c>
      <c r="CC24" s="28">
        <f>Premissas!$F$62+IF(CC2&lt;13,Premissas!$F$68,0)</f>
        <v/>
      </c>
      <c r="CD24" s="28">
        <f>Premissas!$F$62+IF(CD2&lt;13,Premissas!$F$68,0)</f>
        <v/>
      </c>
      <c r="CE24" s="28">
        <f>Premissas!$F$62+IF(CE2&lt;13,Premissas!$F$68,0)</f>
        <v/>
      </c>
      <c r="CF24" s="28">
        <f>Premissas!$F$62+IF(CF2&lt;13,Premissas!$F$68,0)</f>
        <v/>
      </c>
      <c r="CG24" s="28">
        <f>Premissas!$F$62+IF(CG2&lt;13,Premissas!$F$68,0)</f>
        <v/>
      </c>
      <c r="CH24" s="28">
        <f>Premissas!$F$62+IF(CH2&lt;13,Premissas!$F$68,0)</f>
        <v/>
      </c>
    </row>
    <row r="25">
      <c r="A25" s="3" t="inlineStr">
        <is>
          <t>Novas</t>
        </is>
      </c>
      <c r="C25" s="12">
        <f>C15*C24</f>
        <v/>
      </c>
      <c r="D25" s="12">
        <f>D15*D24</f>
        <v/>
      </c>
      <c r="E25" s="12">
        <f>E15*E24</f>
        <v/>
      </c>
      <c r="F25" s="12">
        <f>F15*F24</f>
        <v/>
      </c>
      <c r="G25" s="12">
        <f>G15*G24</f>
        <v/>
      </c>
      <c r="H25" s="12">
        <f>H15*H24</f>
        <v/>
      </c>
      <c r="I25" s="12">
        <f>I15*I24</f>
        <v/>
      </c>
      <c r="J25" s="12">
        <f>J15*J24</f>
        <v/>
      </c>
      <c r="K25" s="12">
        <f>K15*K24</f>
        <v/>
      </c>
      <c r="L25" s="12">
        <f>L15*L24</f>
        <v/>
      </c>
      <c r="M25" s="12">
        <f>M15*M24</f>
        <v/>
      </c>
      <c r="N25" s="12">
        <f>N15*N24</f>
        <v/>
      </c>
      <c r="O25" s="12">
        <f>O15*O24</f>
        <v/>
      </c>
      <c r="P25" s="12">
        <f>P15*P24</f>
        <v/>
      </c>
      <c r="Q25" s="12">
        <f>Q15*Q24</f>
        <v/>
      </c>
      <c r="R25" s="12">
        <f>R15*R24</f>
        <v/>
      </c>
      <c r="S25" s="12">
        <f>S15*S24</f>
        <v/>
      </c>
      <c r="T25" s="12">
        <f>T15*T24</f>
        <v/>
      </c>
      <c r="U25" s="12">
        <f>U15*U24</f>
        <v/>
      </c>
      <c r="V25" s="12">
        <f>V15*V24</f>
        <v/>
      </c>
      <c r="W25" s="12">
        <f>W15*W24</f>
        <v/>
      </c>
      <c r="X25" s="12">
        <f>X15*X24</f>
        <v/>
      </c>
      <c r="Y25" s="12">
        <f>Y15*Y24</f>
        <v/>
      </c>
      <c r="Z25" s="12">
        <f>Z15*Z24</f>
        <v/>
      </c>
      <c r="AA25" s="12">
        <f>AA15*AA24</f>
        <v/>
      </c>
      <c r="AB25" s="12">
        <f>AB15*AB24</f>
        <v/>
      </c>
      <c r="AC25" s="12">
        <f>AC15*AC24</f>
        <v/>
      </c>
      <c r="AD25" s="12">
        <f>AD15*AD24</f>
        <v/>
      </c>
      <c r="AE25" s="12">
        <f>AE15*AE24</f>
        <v/>
      </c>
      <c r="AF25" s="12">
        <f>AF15*AF24</f>
        <v/>
      </c>
      <c r="AG25" s="12">
        <f>AG15*AG24</f>
        <v/>
      </c>
      <c r="AH25" s="12">
        <f>AH15*AH24</f>
        <v/>
      </c>
      <c r="AI25" s="12">
        <f>AI15*AI24</f>
        <v/>
      </c>
      <c r="AJ25" s="12">
        <f>AJ15*AJ24</f>
        <v/>
      </c>
      <c r="AK25" s="12">
        <f>AK15*AK24</f>
        <v/>
      </c>
      <c r="AL25" s="12">
        <f>AL15*AL24</f>
        <v/>
      </c>
      <c r="AM25" s="12">
        <f>AM15*AM24</f>
        <v/>
      </c>
      <c r="AN25" s="12">
        <f>AN15*AN24</f>
        <v/>
      </c>
      <c r="AO25" s="12">
        <f>AO15*AO24</f>
        <v/>
      </c>
      <c r="AP25" s="12">
        <f>AP15*AP24</f>
        <v/>
      </c>
      <c r="AQ25" s="12">
        <f>AQ15*AQ24</f>
        <v/>
      </c>
      <c r="AR25" s="12">
        <f>AR15*AR24</f>
        <v/>
      </c>
      <c r="AS25" s="12">
        <f>AS15*AS24</f>
        <v/>
      </c>
      <c r="AT25" s="12">
        <f>AT15*AT24</f>
        <v/>
      </c>
      <c r="AU25" s="12">
        <f>AU15*AU24</f>
        <v/>
      </c>
      <c r="AV25" s="12">
        <f>AV15*AV24</f>
        <v/>
      </c>
      <c r="AW25" s="12">
        <f>AW15*AW24</f>
        <v/>
      </c>
      <c r="AX25" s="12">
        <f>AX15*AX24</f>
        <v/>
      </c>
      <c r="AY25" s="12">
        <f>AY15*AY24</f>
        <v/>
      </c>
      <c r="AZ25" s="12">
        <f>AZ15*AZ24</f>
        <v/>
      </c>
      <c r="BA25" s="12">
        <f>BA15*BA24</f>
        <v/>
      </c>
      <c r="BB25" s="12">
        <f>BB15*BB24</f>
        <v/>
      </c>
      <c r="BC25" s="12">
        <f>BC15*BC24</f>
        <v/>
      </c>
      <c r="BD25" s="12">
        <f>BD15*BD24</f>
        <v/>
      </c>
      <c r="BE25" s="12">
        <f>BE15*BE24</f>
        <v/>
      </c>
      <c r="BF25" s="12">
        <f>BF15*BF24</f>
        <v/>
      </c>
      <c r="BG25" s="12">
        <f>BG15*BG24</f>
        <v/>
      </c>
      <c r="BH25" s="12">
        <f>BH15*BH24</f>
        <v/>
      </c>
      <c r="BI25" s="12">
        <f>BI15*BI24</f>
        <v/>
      </c>
      <c r="BJ25" s="12">
        <f>BJ15*BJ24</f>
        <v/>
      </c>
      <c r="BK25" s="12">
        <f>BK15*BK24</f>
        <v/>
      </c>
      <c r="BL25" s="12">
        <f>BL15*BL24</f>
        <v/>
      </c>
      <c r="BM25" s="12">
        <f>BM15*BM24</f>
        <v/>
      </c>
      <c r="BN25" s="12">
        <f>BN15*BN24</f>
        <v/>
      </c>
      <c r="BO25" s="12">
        <f>BO15*BO24</f>
        <v/>
      </c>
      <c r="BP25" s="12">
        <f>BP15*BP24</f>
        <v/>
      </c>
      <c r="BQ25" s="12">
        <f>BQ15*BQ24</f>
        <v/>
      </c>
      <c r="BR25" s="12">
        <f>BR15*BR24</f>
        <v/>
      </c>
      <c r="BS25" s="12">
        <f>BS15*BS24</f>
        <v/>
      </c>
      <c r="BT25" s="12">
        <f>BT15*BT24</f>
        <v/>
      </c>
      <c r="BU25" s="12">
        <f>BU15*BU24</f>
        <v/>
      </c>
      <c r="BV25" s="12">
        <f>BV15*BV24</f>
        <v/>
      </c>
      <c r="BW25" s="12">
        <f>BW15*BW24</f>
        <v/>
      </c>
      <c r="BX25" s="12">
        <f>BX15*BX24</f>
        <v/>
      </c>
      <c r="BY25" s="12">
        <f>BY15*BY24</f>
        <v/>
      </c>
      <c r="BZ25" s="12">
        <f>BZ15*BZ24</f>
        <v/>
      </c>
      <c r="CA25" s="12">
        <f>CA15*CA24</f>
        <v/>
      </c>
      <c r="CB25" s="12">
        <f>CB15*CB24</f>
        <v/>
      </c>
      <c r="CC25" s="12">
        <f>CC15*CC24</f>
        <v/>
      </c>
      <c r="CD25" s="12">
        <f>CD15*CD24</f>
        <v/>
      </c>
      <c r="CE25" s="12">
        <f>CE15*CE24</f>
        <v/>
      </c>
      <c r="CF25" s="12">
        <f>CF15*CF24</f>
        <v/>
      </c>
      <c r="CG25" s="12">
        <f>CG15*CG24</f>
        <v/>
      </c>
      <c r="CH25" s="12">
        <f>CH15*CH24</f>
        <v/>
      </c>
    </row>
    <row r="26">
      <c r="A26" s="3" t="inlineStr">
        <is>
          <t>Canceladas</t>
        </is>
      </c>
      <c r="C26" s="12">
        <f>0*Premissas!$F$63</f>
        <v/>
      </c>
      <c r="D26" s="12">
        <f>C27*Premissas!$F$63</f>
        <v/>
      </c>
      <c r="E26" s="12">
        <f>D27*Premissas!$F$63</f>
        <v/>
      </c>
      <c r="F26" s="12">
        <f>E27*Premissas!$F$63</f>
        <v/>
      </c>
      <c r="G26" s="12">
        <f>F27*Premissas!$F$63</f>
        <v/>
      </c>
      <c r="H26" s="12">
        <f>G27*Premissas!$F$63</f>
        <v/>
      </c>
      <c r="I26" s="12">
        <f>H27*Premissas!$F$63</f>
        <v/>
      </c>
      <c r="J26" s="12">
        <f>I27*Premissas!$F$63</f>
        <v/>
      </c>
      <c r="K26" s="12">
        <f>J27*Premissas!$F$63</f>
        <v/>
      </c>
      <c r="L26" s="12">
        <f>K27*Premissas!$F$63</f>
        <v/>
      </c>
      <c r="M26" s="12">
        <f>L27*Premissas!$F$63</f>
        <v/>
      </c>
      <c r="N26" s="12">
        <f>M27*Premissas!$F$63</f>
        <v/>
      </c>
      <c r="O26" s="12">
        <f>N27*Premissas!$F$63</f>
        <v/>
      </c>
      <c r="P26" s="12">
        <f>O27*Premissas!$F$63</f>
        <v/>
      </c>
      <c r="Q26" s="12">
        <f>P27*Premissas!$F$63</f>
        <v/>
      </c>
      <c r="R26" s="12">
        <f>Q27*Premissas!$F$63</f>
        <v/>
      </c>
      <c r="S26" s="12">
        <f>R27*Premissas!$F$63</f>
        <v/>
      </c>
      <c r="T26" s="12">
        <f>S27*Premissas!$F$63</f>
        <v/>
      </c>
      <c r="U26" s="12">
        <f>T27*Premissas!$F$63</f>
        <v/>
      </c>
      <c r="V26" s="12">
        <f>U27*Premissas!$F$63</f>
        <v/>
      </c>
      <c r="W26" s="12">
        <f>V27*Premissas!$F$63</f>
        <v/>
      </c>
      <c r="X26" s="12">
        <f>W27*Premissas!$F$63</f>
        <v/>
      </c>
      <c r="Y26" s="12">
        <f>X27*Premissas!$F$63</f>
        <v/>
      </c>
      <c r="Z26" s="12">
        <f>Y27*Premissas!$F$63</f>
        <v/>
      </c>
      <c r="AA26" s="12">
        <f>Z27*Premissas!$F$63</f>
        <v/>
      </c>
      <c r="AB26" s="12">
        <f>AA27*Premissas!$F$63</f>
        <v/>
      </c>
      <c r="AC26" s="12">
        <f>AB27*Premissas!$F$63</f>
        <v/>
      </c>
      <c r="AD26" s="12">
        <f>AC27*Premissas!$F$63</f>
        <v/>
      </c>
      <c r="AE26" s="12">
        <f>AD27*Premissas!$F$63</f>
        <v/>
      </c>
      <c r="AF26" s="12">
        <f>AE27*Premissas!$F$63</f>
        <v/>
      </c>
      <c r="AG26" s="12">
        <f>AF27*Premissas!$F$63</f>
        <v/>
      </c>
      <c r="AH26" s="12">
        <f>AG27*Premissas!$F$63</f>
        <v/>
      </c>
      <c r="AI26" s="12">
        <f>AH27*Premissas!$F$63</f>
        <v/>
      </c>
      <c r="AJ26" s="12">
        <f>AI27*Premissas!$F$63</f>
        <v/>
      </c>
      <c r="AK26" s="12">
        <f>AJ27*Premissas!$F$63</f>
        <v/>
      </c>
      <c r="AL26" s="12">
        <f>AK27*Premissas!$F$63</f>
        <v/>
      </c>
      <c r="AM26" s="12">
        <f>AL27*Premissas!$F$63</f>
        <v/>
      </c>
      <c r="AN26" s="12">
        <f>AM27*Premissas!$F$63</f>
        <v/>
      </c>
      <c r="AO26" s="12">
        <f>AN27*Premissas!$F$63</f>
        <v/>
      </c>
      <c r="AP26" s="12">
        <f>AO27*Premissas!$F$63</f>
        <v/>
      </c>
      <c r="AQ26" s="12">
        <f>AP27*Premissas!$F$63</f>
        <v/>
      </c>
      <c r="AR26" s="12">
        <f>AQ27*Premissas!$F$63</f>
        <v/>
      </c>
      <c r="AS26" s="12">
        <f>AR27*Premissas!$F$63</f>
        <v/>
      </c>
      <c r="AT26" s="12">
        <f>AS27*Premissas!$F$63</f>
        <v/>
      </c>
      <c r="AU26" s="12">
        <f>AT27*Premissas!$F$63</f>
        <v/>
      </c>
      <c r="AV26" s="12">
        <f>AU27*Premissas!$F$63</f>
        <v/>
      </c>
      <c r="AW26" s="12">
        <f>AV27*Premissas!$F$63</f>
        <v/>
      </c>
      <c r="AX26" s="12">
        <f>AW27*Premissas!$F$63</f>
        <v/>
      </c>
      <c r="AY26" s="12">
        <f>AX27*Premissas!$F$63</f>
        <v/>
      </c>
      <c r="AZ26" s="12">
        <f>AY27*Premissas!$F$63</f>
        <v/>
      </c>
      <c r="BA26" s="12">
        <f>AZ27*Premissas!$F$63</f>
        <v/>
      </c>
      <c r="BB26" s="12">
        <f>BA27*Premissas!$F$63</f>
        <v/>
      </c>
      <c r="BC26" s="12">
        <f>BB27*Premissas!$F$63</f>
        <v/>
      </c>
      <c r="BD26" s="12">
        <f>BC27*Premissas!$F$63</f>
        <v/>
      </c>
      <c r="BE26" s="12">
        <f>BD27*Premissas!$F$63</f>
        <v/>
      </c>
      <c r="BF26" s="12">
        <f>BE27*Premissas!$F$63</f>
        <v/>
      </c>
      <c r="BG26" s="12">
        <f>BF27*Premissas!$F$63</f>
        <v/>
      </c>
      <c r="BH26" s="12">
        <f>BG27*Premissas!$F$63</f>
        <v/>
      </c>
      <c r="BI26" s="12">
        <f>BH27*Premissas!$F$63</f>
        <v/>
      </c>
      <c r="BJ26" s="12">
        <f>BI27*Premissas!$F$63</f>
        <v/>
      </c>
      <c r="BK26" s="12">
        <f>BJ27*Premissas!$F$63</f>
        <v/>
      </c>
      <c r="BL26" s="12">
        <f>BK27*Premissas!$F$63</f>
        <v/>
      </c>
      <c r="BM26" s="12">
        <f>BL27*Premissas!$F$63</f>
        <v/>
      </c>
      <c r="BN26" s="12">
        <f>BM27*Premissas!$F$63</f>
        <v/>
      </c>
      <c r="BO26" s="12">
        <f>BN27*Premissas!$F$63</f>
        <v/>
      </c>
      <c r="BP26" s="12">
        <f>BO27*Premissas!$F$63</f>
        <v/>
      </c>
      <c r="BQ26" s="12">
        <f>BP27*Premissas!$F$63</f>
        <v/>
      </c>
      <c r="BR26" s="12">
        <f>BQ27*Premissas!$F$63</f>
        <v/>
      </c>
      <c r="BS26" s="12">
        <f>BR27*Premissas!$F$63</f>
        <v/>
      </c>
      <c r="BT26" s="12">
        <f>BS27*Premissas!$F$63</f>
        <v/>
      </c>
      <c r="BU26" s="12">
        <f>BT27*Premissas!$F$63</f>
        <v/>
      </c>
      <c r="BV26" s="12">
        <f>BU27*Premissas!$F$63</f>
        <v/>
      </c>
      <c r="BW26" s="12">
        <f>BV27*Premissas!$F$63</f>
        <v/>
      </c>
      <c r="BX26" s="12">
        <f>BW27*Premissas!$F$63</f>
        <v/>
      </c>
      <c r="BY26" s="12">
        <f>BX27*Premissas!$F$63</f>
        <v/>
      </c>
      <c r="BZ26" s="12">
        <f>BY27*Premissas!$F$63</f>
        <v/>
      </c>
      <c r="CA26" s="12">
        <f>BZ27*Premissas!$F$63</f>
        <v/>
      </c>
      <c r="CB26" s="12">
        <f>CA27*Premissas!$F$63</f>
        <v/>
      </c>
      <c r="CC26" s="12">
        <f>CB27*Premissas!$F$63</f>
        <v/>
      </c>
      <c r="CD26" s="12">
        <f>CC27*Premissas!$F$63</f>
        <v/>
      </c>
      <c r="CE26" s="12">
        <f>CD27*Premissas!$F$63</f>
        <v/>
      </c>
      <c r="CF26" s="12">
        <f>CE27*Premissas!$F$63</f>
        <v/>
      </c>
      <c r="CG26" s="12">
        <f>CF27*Premissas!$F$63</f>
        <v/>
      </c>
      <c r="CH26" s="12">
        <f>CG27*Premissas!$F$63</f>
        <v/>
      </c>
    </row>
    <row r="27">
      <c r="A27" s="2" t="inlineStr">
        <is>
          <t>Ativas no fim do mês</t>
        </is>
      </c>
      <c r="C27" s="23">
        <f>0+C25-C26</f>
        <v/>
      </c>
      <c r="D27" s="23">
        <f>C27+D25-D26</f>
        <v/>
      </c>
      <c r="E27" s="23">
        <f>D27+E25-E26</f>
        <v/>
      </c>
      <c r="F27" s="23">
        <f>E27+F25-F26</f>
        <v/>
      </c>
      <c r="G27" s="23">
        <f>F27+G25-G26</f>
        <v/>
      </c>
      <c r="H27" s="23">
        <f>G27+H25-H26</f>
        <v/>
      </c>
      <c r="I27" s="23">
        <f>H27+I25-I26</f>
        <v/>
      </c>
      <c r="J27" s="23">
        <f>I27+J25-J26</f>
        <v/>
      </c>
      <c r="K27" s="23">
        <f>J27+K25-K26</f>
        <v/>
      </c>
      <c r="L27" s="23">
        <f>K27+L25-L26</f>
        <v/>
      </c>
      <c r="M27" s="23">
        <f>L27+M25-M26</f>
        <v/>
      </c>
      <c r="N27" s="23">
        <f>M27+N25-N26</f>
        <v/>
      </c>
      <c r="O27" s="23">
        <f>N27+O25-O26</f>
        <v/>
      </c>
      <c r="P27" s="23">
        <f>O27+P25-P26</f>
        <v/>
      </c>
      <c r="Q27" s="23">
        <f>P27+Q25-Q26</f>
        <v/>
      </c>
      <c r="R27" s="23">
        <f>Q27+R25-R26</f>
        <v/>
      </c>
      <c r="S27" s="23">
        <f>R27+S25-S26</f>
        <v/>
      </c>
      <c r="T27" s="23">
        <f>S27+T25-T26</f>
        <v/>
      </c>
      <c r="U27" s="23">
        <f>T27+U25-U26</f>
        <v/>
      </c>
      <c r="V27" s="23">
        <f>U27+V25-V26</f>
        <v/>
      </c>
      <c r="W27" s="23">
        <f>V27+W25-W26</f>
        <v/>
      </c>
      <c r="X27" s="23">
        <f>W27+X25-X26</f>
        <v/>
      </c>
      <c r="Y27" s="23">
        <f>X27+Y25-Y26</f>
        <v/>
      </c>
      <c r="Z27" s="23">
        <f>Y27+Z25-Z26</f>
        <v/>
      </c>
      <c r="AA27" s="23">
        <f>Z27+AA25-AA26</f>
        <v/>
      </c>
      <c r="AB27" s="23">
        <f>AA27+AB25-AB26</f>
        <v/>
      </c>
      <c r="AC27" s="23">
        <f>AB27+AC25-AC26</f>
        <v/>
      </c>
      <c r="AD27" s="23">
        <f>AC27+AD25-AD26</f>
        <v/>
      </c>
      <c r="AE27" s="23">
        <f>AD27+AE25-AE26</f>
        <v/>
      </c>
      <c r="AF27" s="23">
        <f>AE27+AF25-AF26</f>
        <v/>
      </c>
      <c r="AG27" s="23">
        <f>AF27+AG25-AG26</f>
        <v/>
      </c>
      <c r="AH27" s="23">
        <f>AG27+AH25-AH26</f>
        <v/>
      </c>
      <c r="AI27" s="23">
        <f>AH27+AI25-AI26</f>
        <v/>
      </c>
      <c r="AJ27" s="23">
        <f>AI27+AJ25-AJ26</f>
        <v/>
      </c>
      <c r="AK27" s="23">
        <f>AJ27+AK25-AK26</f>
        <v/>
      </c>
      <c r="AL27" s="23">
        <f>AK27+AL25-AL26</f>
        <v/>
      </c>
      <c r="AM27" s="23">
        <f>AL27+AM25-AM26</f>
        <v/>
      </c>
      <c r="AN27" s="23">
        <f>AM27+AN25-AN26</f>
        <v/>
      </c>
      <c r="AO27" s="23">
        <f>AN27+AO25-AO26</f>
        <v/>
      </c>
      <c r="AP27" s="23">
        <f>AO27+AP25-AP26</f>
        <v/>
      </c>
      <c r="AQ27" s="23">
        <f>AP27+AQ25-AQ26</f>
        <v/>
      </c>
      <c r="AR27" s="23">
        <f>AQ27+AR25-AR26</f>
        <v/>
      </c>
      <c r="AS27" s="23">
        <f>AR27+AS25-AS26</f>
        <v/>
      </c>
      <c r="AT27" s="23">
        <f>AS27+AT25-AT26</f>
        <v/>
      </c>
      <c r="AU27" s="23">
        <f>AT27+AU25-AU26</f>
        <v/>
      </c>
      <c r="AV27" s="23">
        <f>AU27+AV25-AV26</f>
        <v/>
      </c>
      <c r="AW27" s="23">
        <f>AV27+AW25-AW26</f>
        <v/>
      </c>
      <c r="AX27" s="23">
        <f>AW27+AX25-AX26</f>
        <v/>
      </c>
      <c r="AY27" s="23">
        <f>AX27+AY25-AY26</f>
        <v/>
      </c>
      <c r="AZ27" s="23">
        <f>AY27+AZ25-AZ26</f>
        <v/>
      </c>
      <c r="BA27" s="23">
        <f>AZ27+BA25-BA26</f>
        <v/>
      </c>
      <c r="BB27" s="23">
        <f>BA27+BB25-BB26</f>
        <v/>
      </c>
      <c r="BC27" s="23">
        <f>BB27+BC25-BC26</f>
        <v/>
      </c>
      <c r="BD27" s="23">
        <f>BC27+BD25-BD26</f>
        <v/>
      </c>
      <c r="BE27" s="23">
        <f>BD27+BE25-BE26</f>
        <v/>
      </c>
      <c r="BF27" s="23">
        <f>BE27+BF25-BF26</f>
        <v/>
      </c>
      <c r="BG27" s="23">
        <f>BF27+BG25-BG26</f>
        <v/>
      </c>
      <c r="BH27" s="23">
        <f>BG27+BH25-BH26</f>
        <v/>
      </c>
      <c r="BI27" s="23">
        <f>BH27+BI25-BI26</f>
        <v/>
      </c>
      <c r="BJ27" s="23">
        <f>BI27+BJ25-BJ26</f>
        <v/>
      </c>
      <c r="BK27" s="23">
        <f>BJ27+BK25-BK26</f>
        <v/>
      </c>
      <c r="BL27" s="23">
        <f>BK27+BL25-BL26</f>
        <v/>
      </c>
      <c r="BM27" s="23">
        <f>BL27+BM25-BM26</f>
        <v/>
      </c>
      <c r="BN27" s="23">
        <f>BM27+BN25-BN26</f>
        <v/>
      </c>
      <c r="BO27" s="23">
        <f>BN27+BO25-BO26</f>
        <v/>
      </c>
      <c r="BP27" s="23">
        <f>BO27+BP25-BP26</f>
        <v/>
      </c>
      <c r="BQ27" s="23">
        <f>BP27+BQ25-BQ26</f>
        <v/>
      </c>
      <c r="BR27" s="23">
        <f>BQ27+BR25-BR26</f>
        <v/>
      </c>
      <c r="BS27" s="23">
        <f>BR27+BS25-BS26</f>
        <v/>
      </c>
      <c r="BT27" s="23">
        <f>BS27+BT25-BT26</f>
        <v/>
      </c>
      <c r="BU27" s="23">
        <f>BT27+BU25-BU26</f>
        <v/>
      </c>
      <c r="BV27" s="23">
        <f>BU27+BV25-BV26</f>
        <v/>
      </c>
      <c r="BW27" s="23">
        <f>BV27+BW25-BW26</f>
        <v/>
      </c>
      <c r="BX27" s="23">
        <f>BW27+BX25-BX26</f>
        <v/>
      </c>
      <c r="BY27" s="23">
        <f>BX27+BY25-BY26</f>
        <v/>
      </c>
      <c r="BZ27" s="23">
        <f>BY27+BZ25-BZ26</f>
        <v/>
      </c>
      <c r="CA27" s="23">
        <f>BZ27+CA25-CA26</f>
        <v/>
      </c>
      <c r="CB27" s="23">
        <f>CA27+CB25-CB26</f>
        <v/>
      </c>
      <c r="CC27" s="23">
        <f>CB27+CC25-CC26</f>
        <v/>
      </c>
      <c r="CD27" s="23">
        <f>CC27+CD25-CD26</f>
        <v/>
      </c>
      <c r="CE27" s="23">
        <f>CD27+CE25-CE26</f>
        <v/>
      </c>
      <c r="CF27" s="23">
        <f>CE27+CF25-CF26</f>
        <v/>
      </c>
      <c r="CG27" s="23">
        <f>CF27+CG25-CG26</f>
        <v/>
      </c>
      <c r="CH27" s="23">
        <f>CG27+CH25-CH26</f>
        <v/>
      </c>
    </row>
    <row r="29">
      <c r="A29" s="4" t="inlineStr">
        <is>
          <t>Plano Rede</t>
        </is>
      </c>
      <c r="B29" s="5" t="n"/>
    </row>
    <row r="30">
      <c r="A30" s="3" t="inlineStr">
        <is>
          <t>Participação nas novas</t>
        </is>
      </c>
      <c r="C30" s="28">
        <f>IF(C2&gt;=13,Premissas!$F$68,0)</f>
        <v/>
      </c>
      <c r="D30" s="28">
        <f>IF(D2&gt;=13,Premissas!$F$68,0)</f>
        <v/>
      </c>
      <c r="E30" s="28">
        <f>IF(E2&gt;=13,Premissas!$F$68,0)</f>
        <v/>
      </c>
      <c r="F30" s="28">
        <f>IF(F2&gt;=13,Premissas!$F$68,0)</f>
        <v/>
      </c>
      <c r="G30" s="28">
        <f>IF(G2&gt;=13,Premissas!$F$68,0)</f>
        <v/>
      </c>
      <c r="H30" s="28">
        <f>IF(H2&gt;=13,Premissas!$F$68,0)</f>
        <v/>
      </c>
      <c r="I30" s="28">
        <f>IF(I2&gt;=13,Premissas!$F$68,0)</f>
        <v/>
      </c>
      <c r="J30" s="28">
        <f>IF(J2&gt;=13,Premissas!$F$68,0)</f>
        <v/>
      </c>
      <c r="K30" s="28">
        <f>IF(K2&gt;=13,Premissas!$F$68,0)</f>
        <v/>
      </c>
      <c r="L30" s="28">
        <f>IF(L2&gt;=13,Premissas!$F$68,0)</f>
        <v/>
      </c>
      <c r="M30" s="28">
        <f>IF(M2&gt;=13,Premissas!$F$68,0)</f>
        <v/>
      </c>
      <c r="N30" s="28">
        <f>IF(N2&gt;=13,Premissas!$F$68,0)</f>
        <v/>
      </c>
      <c r="O30" s="28">
        <f>IF(O2&gt;=13,Premissas!$F$68,0)</f>
        <v/>
      </c>
      <c r="P30" s="28">
        <f>IF(P2&gt;=13,Premissas!$F$68,0)</f>
        <v/>
      </c>
      <c r="Q30" s="28">
        <f>IF(Q2&gt;=13,Premissas!$F$68,0)</f>
        <v/>
      </c>
      <c r="R30" s="28">
        <f>IF(R2&gt;=13,Premissas!$F$68,0)</f>
        <v/>
      </c>
      <c r="S30" s="28">
        <f>IF(S2&gt;=13,Premissas!$F$68,0)</f>
        <v/>
      </c>
      <c r="T30" s="28">
        <f>IF(T2&gt;=13,Premissas!$F$68,0)</f>
        <v/>
      </c>
      <c r="U30" s="28">
        <f>IF(U2&gt;=13,Premissas!$F$68,0)</f>
        <v/>
      </c>
      <c r="V30" s="28">
        <f>IF(V2&gt;=13,Premissas!$F$68,0)</f>
        <v/>
      </c>
      <c r="W30" s="28">
        <f>IF(W2&gt;=13,Premissas!$F$68,0)</f>
        <v/>
      </c>
      <c r="X30" s="28">
        <f>IF(X2&gt;=13,Premissas!$F$68,0)</f>
        <v/>
      </c>
      <c r="Y30" s="28">
        <f>IF(Y2&gt;=13,Premissas!$F$68,0)</f>
        <v/>
      </c>
      <c r="Z30" s="28">
        <f>IF(Z2&gt;=13,Premissas!$F$68,0)</f>
        <v/>
      </c>
      <c r="AA30" s="28">
        <f>IF(AA2&gt;=13,Premissas!$F$68,0)</f>
        <v/>
      </c>
      <c r="AB30" s="28">
        <f>IF(AB2&gt;=13,Premissas!$F$68,0)</f>
        <v/>
      </c>
      <c r="AC30" s="28">
        <f>IF(AC2&gt;=13,Premissas!$F$68,0)</f>
        <v/>
      </c>
      <c r="AD30" s="28">
        <f>IF(AD2&gt;=13,Premissas!$F$68,0)</f>
        <v/>
      </c>
      <c r="AE30" s="28">
        <f>IF(AE2&gt;=13,Premissas!$F$68,0)</f>
        <v/>
      </c>
      <c r="AF30" s="28">
        <f>IF(AF2&gt;=13,Premissas!$F$68,0)</f>
        <v/>
      </c>
      <c r="AG30" s="28">
        <f>IF(AG2&gt;=13,Premissas!$F$68,0)</f>
        <v/>
      </c>
      <c r="AH30" s="28">
        <f>IF(AH2&gt;=13,Premissas!$F$68,0)</f>
        <v/>
      </c>
      <c r="AI30" s="28">
        <f>IF(AI2&gt;=13,Premissas!$F$68,0)</f>
        <v/>
      </c>
      <c r="AJ30" s="28">
        <f>IF(AJ2&gt;=13,Premissas!$F$68,0)</f>
        <v/>
      </c>
      <c r="AK30" s="28">
        <f>IF(AK2&gt;=13,Premissas!$F$68,0)</f>
        <v/>
      </c>
      <c r="AL30" s="28">
        <f>IF(AL2&gt;=13,Premissas!$F$68,0)</f>
        <v/>
      </c>
      <c r="AM30" s="28">
        <f>IF(AM2&gt;=13,Premissas!$F$68,0)</f>
        <v/>
      </c>
      <c r="AN30" s="28">
        <f>IF(AN2&gt;=13,Premissas!$F$68,0)</f>
        <v/>
      </c>
      <c r="AO30" s="28">
        <f>IF(AO2&gt;=13,Premissas!$F$68,0)</f>
        <v/>
      </c>
      <c r="AP30" s="28">
        <f>IF(AP2&gt;=13,Premissas!$F$68,0)</f>
        <v/>
      </c>
      <c r="AQ30" s="28">
        <f>IF(AQ2&gt;=13,Premissas!$F$68,0)</f>
        <v/>
      </c>
      <c r="AR30" s="28">
        <f>IF(AR2&gt;=13,Premissas!$F$68,0)</f>
        <v/>
      </c>
      <c r="AS30" s="28">
        <f>IF(AS2&gt;=13,Premissas!$F$68,0)</f>
        <v/>
      </c>
      <c r="AT30" s="28">
        <f>IF(AT2&gt;=13,Premissas!$F$68,0)</f>
        <v/>
      </c>
      <c r="AU30" s="28">
        <f>IF(AU2&gt;=13,Premissas!$F$68,0)</f>
        <v/>
      </c>
      <c r="AV30" s="28">
        <f>IF(AV2&gt;=13,Premissas!$F$68,0)</f>
        <v/>
      </c>
      <c r="AW30" s="28">
        <f>IF(AW2&gt;=13,Premissas!$F$68,0)</f>
        <v/>
      </c>
      <c r="AX30" s="28">
        <f>IF(AX2&gt;=13,Premissas!$F$68,0)</f>
        <v/>
      </c>
      <c r="AY30" s="28">
        <f>IF(AY2&gt;=13,Premissas!$F$68,0)</f>
        <v/>
      </c>
      <c r="AZ30" s="28">
        <f>IF(AZ2&gt;=13,Premissas!$F$68,0)</f>
        <v/>
      </c>
      <c r="BA30" s="28">
        <f>IF(BA2&gt;=13,Premissas!$F$68,0)</f>
        <v/>
      </c>
      <c r="BB30" s="28">
        <f>IF(BB2&gt;=13,Premissas!$F$68,0)</f>
        <v/>
      </c>
      <c r="BC30" s="28">
        <f>IF(BC2&gt;=13,Premissas!$F$68,0)</f>
        <v/>
      </c>
      <c r="BD30" s="28">
        <f>IF(BD2&gt;=13,Premissas!$F$68,0)</f>
        <v/>
      </c>
      <c r="BE30" s="28">
        <f>IF(BE2&gt;=13,Premissas!$F$68,0)</f>
        <v/>
      </c>
      <c r="BF30" s="28">
        <f>IF(BF2&gt;=13,Premissas!$F$68,0)</f>
        <v/>
      </c>
      <c r="BG30" s="28">
        <f>IF(BG2&gt;=13,Premissas!$F$68,0)</f>
        <v/>
      </c>
      <c r="BH30" s="28">
        <f>IF(BH2&gt;=13,Premissas!$F$68,0)</f>
        <v/>
      </c>
      <c r="BI30" s="28">
        <f>IF(BI2&gt;=13,Premissas!$F$68,0)</f>
        <v/>
      </c>
      <c r="BJ30" s="28">
        <f>IF(BJ2&gt;=13,Premissas!$F$68,0)</f>
        <v/>
      </c>
      <c r="BK30" s="28">
        <f>IF(BK2&gt;=13,Premissas!$F$68,0)</f>
        <v/>
      </c>
      <c r="BL30" s="28">
        <f>IF(BL2&gt;=13,Premissas!$F$68,0)</f>
        <v/>
      </c>
      <c r="BM30" s="28">
        <f>IF(BM2&gt;=13,Premissas!$F$68,0)</f>
        <v/>
      </c>
      <c r="BN30" s="28">
        <f>IF(BN2&gt;=13,Premissas!$F$68,0)</f>
        <v/>
      </c>
      <c r="BO30" s="28">
        <f>IF(BO2&gt;=13,Premissas!$F$68,0)</f>
        <v/>
      </c>
      <c r="BP30" s="28">
        <f>IF(BP2&gt;=13,Premissas!$F$68,0)</f>
        <v/>
      </c>
      <c r="BQ30" s="28">
        <f>IF(BQ2&gt;=13,Premissas!$F$68,0)</f>
        <v/>
      </c>
      <c r="BR30" s="28">
        <f>IF(BR2&gt;=13,Premissas!$F$68,0)</f>
        <v/>
      </c>
      <c r="BS30" s="28">
        <f>IF(BS2&gt;=13,Premissas!$F$68,0)</f>
        <v/>
      </c>
      <c r="BT30" s="28">
        <f>IF(BT2&gt;=13,Premissas!$F$68,0)</f>
        <v/>
      </c>
      <c r="BU30" s="28">
        <f>IF(BU2&gt;=13,Premissas!$F$68,0)</f>
        <v/>
      </c>
      <c r="BV30" s="28">
        <f>IF(BV2&gt;=13,Premissas!$F$68,0)</f>
        <v/>
      </c>
      <c r="BW30" s="28">
        <f>IF(BW2&gt;=13,Premissas!$F$68,0)</f>
        <v/>
      </c>
      <c r="BX30" s="28">
        <f>IF(BX2&gt;=13,Premissas!$F$68,0)</f>
        <v/>
      </c>
      <c r="BY30" s="28">
        <f>IF(BY2&gt;=13,Premissas!$F$68,0)</f>
        <v/>
      </c>
      <c r="BZ30" s="28">
        <f>IF(BZ2&gt;=13,Premissas!$F$68,0)</f>
        <v/>
      </c>
      <c r="CA30" s="28">
        <f>IF(CA2&gt;=13,Premissas!$F$68,0)</f>
        <v/>
      </c>
      <c r="CB30" s="28">
        <f>IF(CB2&gt;=13,Premissas!$F$68,0)</f>
        <v/>
      </c>
      <c r="CC30" s="28">
        <f>IF(CC2&gt;=13,Premissas!$F$68,0)</f>
        <v/>
      </c>
      <c r="CD30" s="28">
        <f>IF(CD2&gt;=13,Premissas!$F$68,0)</f>
        <v/>
      </c>
      <c r="CE30" s="28">
        <f>IF(CE2&gt;=13,Premissas!$F$68,0)</f>
        <v/>
      </c>
      <c r="CF30" s="28">
        <f>IF(CF2&gt;=13,Premissas!$F$68,0)</f>
        <v/>
      </c>
      <c r="CG30" s="28">
        <f>IF(CG2&gt;=13,Premissas!$F$68,0)</f>
        <v/>
      </c>
      <c r="CH30" s="28">
        <f>IF(CH2&gt;=13,Premissas!$F$68,0)</f>
        <v/>
      </c>
    </row>
    <row r="31">
      <c r="A31" s="3" t="inlineStr">
        <is>
          <t>Novas</t>
        </is>
      </c>
      <c r="C31" s="12">
        <f>C15*C30</f>
        <v/>
      </c>
      <c r="D31" s="12">
        <f>D15*D30</f>
        <v/>
      </c>
      <c r="E31" s="12">
        <f>E15*E30</f>
        <v/>
      </c>
      <c r="F31" s="12">
        <f>F15*F30</f>
        <v/>
      </c>
      <c r="G31" s="12">
        <f>G15*G30</f>
        <v/>
      </c>
      <c r="H31" s="12">
        <f>H15*H30</f>
        <v/>
      </c>
      <c r="I31" s="12">
        <f>I15*I30</f>
        <v/>
      </c>
      <c r="J31" s="12">
        <f>J15*J30</f>
        <v/>
      </c>
      <c r="K31" s="12">
        <f>K15*K30</f>
        <v/>
      </c>
      <c r="L31" s="12">
        <f>L15*L30</f>
        <v/>
      </c>
      <c r="M31" s="12">
        <f>M15*M30</f>
        <v/>
      </c>
      <c r="N31" s="12">
        <f>N15*N30</f>
        <v/>
      </c>
      <c r="O31" s="12">
        <f>O15*O30</f>
        <v/>
      </c>
      <c r="P31" s="12">
        <f>P15*P30</f>
        <v/>
      </c>
      <c r="Q31" s="12">
        <f>Q15*Q30</f>
        <v/>
      </c>
      <c r="R31" s="12">
        <f>R15*R30</f>
        <v/>
      </c>
      <c r="S31" s="12">
        <f>S15*S30</f>
        <v/>
      </c>
      <c r="T31" s="12">
        <f>T15*T30</f>
        <v/>
      </c>
      <c r="U31" s="12">
        <f>U15*U30</f>
        <v/>
      </c>
      <c r="V31" s="12">
        <f>V15*V30</f>
        <v/>
      </c>
      <c r="W31" s="12">
        <f>W15*W30</f>
        <v/>
      </c>
      <c r="X31" s="12">
        <f>X15*X30</f>
        <v/>
      </c>
      <c r="Y31" s="12">
        <f>Y15*Y30</f>
        <v/>
      </c>
      <c r="Z31" s="12">
        <f>Z15*Z30</f>
        <v/>
      </c>
      <c r="AA31" s="12">
        <f>AA15*AA30</f>
        <v/>
      </c>
      <c r="AB31" s="12">
        <f>AB15*AB30</f>
        <v/>
      </c>
      <c r="AC31" s="12">
        <f>AC15*AC30</f>
        <v/>
      </c>
      <c r="AD31" s="12">
        <f>AD15*AD30</f>
        <v/>
      </c>
      <c r="AE31" s="12">
        <f>AE15*AE30</f>
        <v/>
      </c>
      <c r="AF31" s="12">
        <f>AF15*AF30</f>
        <v/>
      </c>
      <c r="AG31" s="12">
        <f>AG15*AG30</f>
        <v/>
      </c>
      <c r="AH31" s="12">
        <f>AH15*AH30</f>
        <v/>
      </c>
      <c r="AI31" s="12">
        <f>AI15*AI30</f>
        <v/>
      </c>
      <c r="AJ31" s="12">
        <f>AJ15*AJ30</f>
        <v/>
      </c>
      <c r="AK31" s="12">
        <f>AK15*AK30</f>
        <v/>
      </c>
      <c r="AL31" s="12">
        <f>AL15*AL30</f>
        <v/>
      </c>
      <c r="AM31" s="12">
        <f>AM15*AM30</f>
        <v/>
      </c>
      <c r="AN31" s="12">
        <f>AN15*AN30</f>
        <v/>
      </c>
      <c r="AO31" s="12">
        <f>AO15*AO30</f>
        <v/>
      </c>
      <c r="AP31" s="12">
        <f>AP15*AP30</f>
        <v/>
      </c>
      <c r="AQ31" s="12">
        <f>AQ15*AQ30</f>
        <v/>
      </c>
      <c r="AR31" s="12">
        <f>AR15*AR30</f>
        <v/>
      </c>
      <c r="AS31" s="12">
        <f>AS15*AS30</f>
        <v/>
      </c>
      <c r="AT31" s="12">
        <f>AT15*AT30</f>
        <v/>
      </c>
      <c r="AU31" s="12">
        <f>AU15*AU30</f>
        <v/>
      </c>
      <c r="AV31" s="12">
        <f>AV15*AV30</f>
        <v/>
      </c>
      <c r="AW31" s="12">
        <f>AW15*AW30</f>
        <v/>
      </c>
      <c r="AX31" s="12">
        <f>AX15*AX30</f>
        <v/>
      </c>
      <c r="AY31" s="12">
        <f>AY15*AY30</f>
        <v/>
      </c>
      <c r="AZ31" s="12">
        <f>AZ15*AZ30</f>
        <v/>
      </c>
      <c r="BA31" s="12">
        <f>BA15*BA30</f>
        <v/>
      </c>
      <c r="BB31" s="12">
        <f>BB15*BB30</f>
        <v/>
      </c>
      <c r="BC31" s="12">
        <f>BC15*BC30</f>
        <v/>
      </c>
      <c r="BD31" s="12">
        <f>BD15*BD30</f>
        <v/>
      </c>
      <c r="BE31" s="12">
        <f>BE15*BE30</f>
        <v/>
      </c>
      <c r="BF31" s="12">
        <f>BF15*BF30</f>
        <v/>
      </c>
      <c r="BG31" s="12">
        <f>BG15*BG30</f>
        <v/>
      </c>
      <c r="BH31" s="12">
        <f>BH15*BH30</f>
        <v/>
      </c>
      <c r="BI31" s="12">
        <f>BI15*BI30</f>
        <v/>
      </c>
      <c r="BJ31" s="12">
        <f>BJ15*BJ30</f>
        <v/>
      </c>
      <c r="BK31" s="12">
        <f>BK15*BK30</f>
        <v/>
      </c>
      <c r="BL31" s="12">
        <f>BL15*BL30</f>
        <v/>
      </c>
      <c r="BM31" s="12">
        <f>BM15*BM30</f>
        <v/>
      </c>
      <c r="BN31" s="12">
        <f>BN15*BN30</f>
        <v/>
      </c>
      <c r="BO31" s="12">
        <f>BO15*BO30</f>
        <v/>
      </c>
      <c r="BP31" s="12">
        <f>BP15*BP30</f>
        <v/>
      </c>
      <c r="BQ31" s="12">
        <f>BQ15*BQ30</f>
        <v/>
      </c>
      <c r="BR31" s="12">
        <f>BR15*BR30</f>
        <v/>
      </c>
      <c r="BS31" s="12">
        <f>BS15*BS30</f>
        <v/>
      </c>
      <c r="BT31" s="12">
        <f>BT15*BT30</f>
        <v/>
      </c>
      <c r="BU31" s="12">
        <f>BU15*BU30</f>
        <v/>
      </c>
      <c r="BV31" s="12">
        <f>BV15*BV30</f>
        <v/>
      </c>
      <c r="BW31" s="12">
        <f>BW15*BW30</f>
        <v/>
      </c>
      <c r="BX31" s="12">
        <f>BX15*BX30</f>
        <v/>
      </c>
      <c r="BY31" s="12">
        <f>BY15*BY30</f>
        <v/>
      </c>
      <c r="BZ31" s="12">
        <f>BZ15*BZ30</f>
        <v/>
      </c>
      <c r="CA31" s="12">
        <f>CA15*CA30</f>
        <v/>
      </c>
      <c r="CB31" s="12">
        <f>CB15*CB30</f>
        <v/>
      </c>
      <c r="CC31" s="12">
        <f>CC15*CC30</f>
        <v/>
      </c>
      <c r="CD31" s="12">
        <f>CD15*CD30</f>
        <v/>
      </c>
      <c r="CE31" s="12">
        <f>CE15*CE30</f>
        <v/>
      </c>
      <c r="CF31" s="12">
        <f>CF15*CF30</f>
        <v/>
      </c>
      <c r="CG31" s="12">
        <f>CG15*CG30</f>
        <v/>
      </c>
      <c r="CH31" s="12">
        <f>CH15*CH30</f>
        <v/>
      </c>
    </row>
    <row r="32">
      <c r="A32" s="3" t="inlineStr">
        <is>
          <t>Canceladas</t>
        </is>
      </c>
      <c r="C32" s="12">
        <f>0*Premissas!$F$69</f>
        <v/>
      </c>
      <c r="D32" s="12">
        <f>C33*Premissas!$F$69</f>
        <v/>
      </c>
      <c r="E32" s="12">
        <f>D33*Premissas!$F$69</f>
        <v/>
      </c>
      <c r="F32" s="12">
        <f>E33*Premissas!$F$69</f>
        <v/>
      </c>
      <c r="G32" s="12">
        <f>F33*Premissas!$F$69</f>
        <v/>
      </c>
      <c r="H32" s="12">
        <f>G33*Premissas!$F$69</f>
        <v/>
      </c>
      <c r="I32" s="12">
        <f>H33*Premissas!$F$69</f>
        <v/>
      </c>
      <c r="J32" s="12">
        <f>I33*Premissas!$F$69</f>
        <v/>
      </c>
      <c r="K32" s="12">
        <f>J33*Premissas!$F$69</f>
        <v/>
      </c>
      <c r="L32" s="12">
        <f>K33*Premissas!$F$69</f>
        <v/>
      </c>
      <c r="M32" s="12">
        <f>L33*Premissas!$F$69</f>
        <v/>
      </c>
      <c r="N32" s="12">
        <f>M33*Premissas!$F$69</f>
        <v/>
      </c>
      <c r="O32" s="12">
        <f>N33*Premissas!$F$69</f>
        <v/>
      </c>
      <c r="P32" s="12">
        <f>O33*Premissas!$F$69</f>
        <v/>
      </c>
      <c r="Q32" s="12">
        <f>P33*Premissas!$F$69</f>
        <v/>
      </c>
      <c r="R32" s="12">
        <f>Q33*Premissas!$F$69</f>
        <v/>
      </c>
      <c r="S32" s="12">
        <f>R33*Premissas!$F$69</f>
        <v/>
      </c>
      <c r="T32" s="12">
        <f>S33*Premissas!$F$69</f>
        <v/>
      </c>
      <c r="U32" s="12">
        <f>T33*Premissas!$F$69</f>
        <v/>
      </c>
      <c r="V32" s="12">
        <f>U33*Premissas!$F$69</f>
        <v/>
      </c>
      <c r="W32" s="12">
        <f>V33*Premissas!$F$69</f>
        <v/>
      </c>
      <c r="X32" s="12">
        <f>W33*Premissas!$F$69</f>
        <v/>
      </c>
      <c r="Y32" s="12">
        <f>X33*Premissas!$F$69</f>
        <v/>
      </c>
      <c r="Z32" s="12">
        <f>Y33*Premissas!$F$69</f>
        <v/>
      </c>
      <c r="AA32" s="12">
        <f>Z33*Premissas!$F$69</f>
        <v/>
      </c>
      <c r="AB32" s="12">
        <f>AA33*Premissas!$F$69</f>
        <v/>
      </c>
      <c r="AC32" s="12">
        <f>AB33*Premissas!$F$69</f>
        <v/>
      </c>
      <c r="AD32" s="12">
        <f>AC33*Premissas!$F$69</f>
        <v/>
      </c>
      <c r="AE32" s="12">
        <f>AD33*Premissas!$F$69</f>
        <v/>
      </c>
      <c r="AF32" s="12">
        <f>AE33*Premissas!$F$69</f>
        <v/>
      </c>
      <c r="AG32" s="12">
        <f>AF33*Premissas!$F$69</f>
        <v/>
      </c>
      <c r="AH32" s="12">
        <f>AG33*Premissas!$F$69</f>
        <v/>
      </c>
      <c r="AI32" s="12">
        <f>AH33*Premissas!$F$69</f>
        <v/>
      </c>
      <c r="AJ32" s="12">
        <f>AI33*Premissas!$F$69</f>
        <v/>
      </c>
      <c r="AK32" s="12">
        <f>AJ33*Premissas!$F$69</f>
        <v/>
      </c>
      <c r="AL32" s="12">
        <f>AK33*Premissas!$F$69</f>
        <v/>
      </c>
      <c r="AM32" s="12">
        <f>AL33*Premissas!$F$69</f>
        <v/>
      </c>
      <c r="AN32" s="12">
        <f>AM33*Premissas!$F$69</f>
        <v/>
      </c>
      <c r="AO32" s="12">
        <f>AN33*Premissas!$F$69</f>
        <v/>
      </c>
      <c r="AP32" s="12">
        <f>AO33*Premissas!$F$69</f>
        <v/>
      </c>
      <c r="AQ32" s="12">
        <f>AP33*Premissas!$F$69</f>
        <v/>
      </c>
      <c r="AR32" s="12">
        <f>AQ33*Premissas!$F$69</f>
        <v/>
      </c>
      <c r="AS32" s="12">
        <f>AR33*Premissas!$F$69</f>
        <v/>
      </c>
      <c r="AT32" s="12">
        <f>AS33*Premissas!$F$69</f>
        <v/>
      </c>
      <c r="AU32" s="12">
        <f>AT33*Premissas!$F$69</f>
        <v/>
      </c>
      <c r="AV32" s="12">
        <f>AU33*Premissas!$F$69</f>
        <v/>
      </c>
      <c r="AW32" s="12">
        <f>AV33*Premissas!$F$69</f>
        <v/>
      </c>
      <c r="AX32" s="12">
        <f>AW33*Premissas!$F$69</f>
        <v/>
      </c>
      <c r="AY32" s="12">
        <f>AX33*Premissas!$F$69</f>
        <v/>
      </c>
      <c r="AZ32" s="12">
        <f>AY33*Premissas!$F$69</f>
        <v/>
      </c>
      <c r="BA32" s="12">
        <f>AZ33*Premissas!$F$69</f>
        <v/>
      </c>
      <c r="BB32" s="12">
        <f>BA33*Premissas!$F$69</f>
        <v/>
      </c>
      <c r="BC32" s="12">
        <f>BB33*Premissas!$F$69</f>
        <v/>
      </c>
      <c r="BD32" s="12">
        <f>BC33*Premissas!$F$69</f>
        <v/>
      </c>
      <c r="BE32" s="12">
        <f>BD33*Premissas!$F$69</f>
        <v/>
      </c>
      <c r="BF32" s="12">
        <f>BE33*Premissas!$F$69</f>
        <v/>
      </c>
      <c r="BG32" s="12">
        <f>BF33*Premissas!$F$69</f>
        <v/>
      </c>
      <c r="BH32" s="12">
        <f>BG33*Premissas!$F$69</f>
        <v/>
      </c>
      <c r="BI32" s="12">
        <f>BH33*Premissas!$F$69</f>
        <v/>
      </c>
      <c r="BJ32" s="12">
        <f>BI33*Premissas!$F$69</f>
        <v/>
      </c>
      <c r="BK32" s="12">
        <f>BJ33*Premissas!$F$69</f>
        <v/>
      </c>
      <c r="BL32" s="12">
        <f>BK33*Premissas!$F$69</f>
        <v/>
      </c>
      <c r="BM32" s="12">
        <f>BL33*Premissas!$F$69</f>
        <v/>
      </c>
      <c r="BN32" s="12">
        <f>BM33*Premissas!$F$69</f>
        <v/>
      </c>
      <c r="BO32" s="12">
        <f>BN33*Premissas!$F$69</f>
        <v/>
      </c>
      <c r="BP32" s="12">
        <f>BO33*Premissas!$F$69</f>
        <v/>
      </c>
      <c r="BQ32" s="12">
        <f>BP33*Premissas!$F$69</f>
        <v/>
      </c>
      <c r="BR32" s="12">
        <f>BQ33*Premissas!$F$69</f>
        <v/>
      </c>
      <c r="BS32" s="12">
        <f>BR33*Premissas!$F$69</f>
        <v/>
      </c>
      <c r="BT32" s="12">
        <f>BS33*Premissas!$F$69</f>
        <v/>
      </c>
      <c r="BU32" s="12">
        <f>BT33*Premissas!$F$69</f>
        <v/>
      </c>
      <c r="BV32" s="12">
        <f>BU33*Premissas!$F$69</f>
        <v/>
      </c>
      <c r="BW32" s="12">
        <f>BV33*Premissas!$F$69</f>
        <v/>
      </c>
      <c r="BX32" s="12">
        <f>BW33*Premissas!$F$69</f>
        <v/>
      </c>
      <c r="BY32" s="12">
        <f>BX33*Premissas!$F$69</f>
        <v/>
      </c>
      <c r="BZ32" s="12">
        <f>BY33*Premissas!$F$69</f>
        <v/>
      </c>
      <c r="CA32" s="12">
        <f>BZ33*Premissas!$F$69</f>
        <v/>
      </c>
      <c r="CB32" s="12">
        <f>CA33*Premissas!$F$69</f>
        <v/>
      </c>
      <c r="CC32" s="12">
        <f>CB33*Premissas!$F$69</f>
        <v/>
      </c>
      <c r="CD32" s="12">
        <f>CC33*Premissas!$F$69</f>
        <v/>
      </c>
      <c r="CE32" s="12">
        <f>CD33*Premissas!$F$69</f>
        <v/>
      </c>
      <c r="CF32" s="12">
        <f>CE33*Premissas!$F$69</f>
        <v/>
      </c>
      <c r="CG32" s="12">
        <f>CF33*Premissas!$F$69</f>
        <v/>
      </c>
      <c r="CH32" s="12">
        <f>CG33*Premissas!$F$69</f>
        <v/>
      </c>
    </row>
    <row r="33">
      <c r="A33" s="2" t="inlineStr">
        <is>
          <t>Ativas no fim do mês</t>
        </is>
      </c>
      <c r="C33" s="23">
        <f>0+C31-C32</f>
        <v/>
      </c>
      <c r="D33" s="23">
        <f>C33+D31-D32</f>
        <v/>
      </c>
      <c r="E33" s="23">
        <f>D33+E31-E32</f>
        <v/>
      </c>
      <c r="F33" s="23">
        <f>E33+F31-F32</f>
        <v/>
      </c>
      <c r="G33" s="23">
        <f>F33+G31-G32</f>
        <v/>
      </c>
      <c r="H33" s="23">
        <f>G33+H31-H32</f>
        <v/>
      </c>
      <c r="I33" s="23">
        <f>H33+I31-I32</f>
        <v/>
      </c>
      <c r="J33" s="23">
        <f>I33+J31-J32</f>
        <v/>
      </c>
      <c r="K33" s="23">
        <f>J33+K31-K32</f>
        <v/>
      </c>
      <c r="L33" s="23">
        <f>K33+L31-L32</f>
        <v/>
      </c>
      <c r="M33" s="23">
        <f>L33+M31-M32</f>
        <v/>
      </c>
      <c r="N33" s="23">
        <f>M33+N31-N32</f>
        <v/>
      </c>
      <c r="O33" s="23">
        <f>N33+O31-O32</f>
        <v/>
      </c>
      <c r="P33" s="23">
        <f>O33+P31-P32</f>
        <v/>
      </c>
      <c r="Q33" s="23">
        <f>P33+Q31-Q32</f>
        <v/>
      </c>
      <c r="R33" s="23">
        <f>Q33+R31-R32</f>
        <v/>
      </c>
      <c r="S33" s="23">
        <f>R33+S31-S32</f>
        <v/>
      </c>
      <c r="T33" s="23">
        <f>S33+T31-T32</f>
        <v/>
      </c>
      <c r="U33" s="23">
        <f>T33+U31-U32</f>
        <v/>
      </c>
      <c r="V33" s="23">
        <f>U33+V31-V32</f>
        <v/>
      </c>
      <c r="W33" s="23">
        <f>V33+W31-W32</f>
        <v/>
      </c>
      <c r="X33" s="23">
        <f>W33+X31-X32</f>
        <v/>
      </c>
      <c r="Y33" s="23">
        <f>X33+Y31-Y32</f>
        <v/>
      </c>
      <c r="Z33" s="23">
        <f>Y33+Z31-Z32</f>
        <v/>
      </c>
      <c r="AA33" s="23">
        <f>Z33+AA31-AA32</f>
        <v/>
      </c>
      <c r="AB33" s="23">
        <f>AA33+AB31-AB32</f>
        <v/>
      </c>
      <c r="AC33" s="23">
        <f>AB33+AC31-AC32</f>
        <v/>
      </c>
      <c r="AD33" s="23">
        <f>AC33+AD31-AD32</f>
        <v/>
      </c>
      <c r="AE33" s="23">
        <f>AD33+AE31-AE32</f>
        <v/>
      </c>
      <c r="AF33" s="23">
        <f>AE33+AF31-AF32</f>
        <v/>
      </c>
      <c r="AG33" s="23">
        <f>AF33+AG31-AG32</f>
        <v/>
      </c>
      <c r="AH33" s="23">
        <f>AG33+AH31-AH32</f>
        <v/>
      </c>
      <c r="AI33" s="23">
        <f>AH33+AI31-AI32</f>
        <v/>
      </c>
      <c r="AJ33" s="23">
        <f>AI33+AJ31-AJ32</f>
        <v/>
      </c>
      <c r="AK33" s="23">
        <f>AJ33+AK31-AK32</f>
        <v/>
      </c>
      <c r="AL33" s="23">
        <f>AK33+AL31-AL32</f>
        <v/>
      </c>
      <c r="AM33" s="23">
        <f>AL33+AM31-AM32</f>
        <v/>
      </c>
      <c r="AN33" s="23">
        <f>AM33+AN31-AN32</f>
        <v/>
      </c>
      <c r="AO33" s="23">
        <f>AN33+AO31-AO32</f>
        <v/>
      </c>
      <c r="AP33" s="23">
        <f>AO33+AP31-AP32</f>
        <v/>
      </c>
      <c r="AQ33" s="23">
        <f>AP33+AQ31-AQ32</f>
        <v/>
      </c>
      <c r="AR33" s="23">
        <f>AQ33+AR31-AR32</f>
        <v/>
      </c>
      <c r="AS33" s="23">
        <f>AR33+AS31-AS32</f>
        <v/>
      </c>
      <c r="AT33" s="23">
        <f>AS33+AT31-AT32</f>
        <v/>
      </c>
      <c r="AU33" s="23">
        <f>AT33+AU31-AU32</f>
        <v/>
      </c>
      <c r="AV33" s="23">
        <f>AU33+AV31-AV32</f>
        <v/>
      </c>
      <c r="AW33" s="23">
        <f>AV33+AW31-AW32</f>
        <v/>
      </c>
      <c r="AX33" s="23">
        <f>AW33+AX31-AX32</f>
        <v/>
      </c>
      <c r="AY33" s="23">
        <f>AX33+AY31-AY32</f>
        <v/>
      </c>
      <c r="AZ33" s="23">
        <f>AY33+AZ31-AZ32</f>
        <v/>
      </c>
      <c r="BA33" s="23">
        <f>AZ33+BA31-BA32</f>
        <v/>
      </c>
      <c r="BB33" s="23">
        <f>BA33+BB31-BB32</f>
        <v/>
      </c>
      <c r="BC33" s="23">
        <f>BB33+BC31-BC32</f>
        <v/>
      </c>
      <c r="BD33" s="23">
        <f>BC33+BD31-BD32</f>
        <v/>
      </c>
      <c r="BE33" s="23">
        <f>BD33+BE31-BE32</f>
        <v/>
      </c>
      <c r="BF33" s="23">
        <f>BE33+BF31-BF32</f>
        <v/>
      </c>
      <c r="BG33" s="23">
        <f>BF33+BG31-BG32</f>
        <v/>
      </c>
      <c r="BH33" s="23">
        <f>BG33+BH31-BH32</f>
        <v/>
      </c>
      <c r="BI33" s="23">
        <f>BH33+BI31-BI32</f>
        <v/>
      </c>
      <c r="BJ33" s="23">
        <f>BI33+BJ31-BJ32</f>
        <v/>
      </c>
      <c r="BK33" s="23">
        <f>BJ33+BK31-BK32</f>
        <v/>
      </c>
      <c r="BL33" s="23">
        <f>BK33+BL31-BL32</f>
        <v/>
      </c>
      <c r="BM33" s="23">
        <f>BL33+BM31-BM32</f>
        <v/>
      </c>
      <c r="BN33" s="23">
        <f>BM33+BN31-BN32</f>
        <v/>
      </c>
      <c r="BO33" s="23">
        <f>BN33+BO31-BO32</f>
        <v/>
      </c>
      <c r="BP33" s="23">
        <f>BO33+BP31-BP32</f>
        <v/>
      </c>
      <c r="BQ33" s="23">
        <f>BP33+BQ31-BQ32</f>
        <v/>
      </c>
      <c r="BR33" s="23">
        <f>BQ33+BR31-BR32</f>
        <v/>
      </c>
      <c r="BS33" s="23">
        <f>BR33+BS31-BS32</f>
        <v/>
      </c>
      <c r="BT33" s="23">
        <f>BS33+BT31-BT32</f>
        <v/>
      </c>
      <c r="BU33" s="23">
        <f>BT33+BU31-BU32</f>
        <v/>
      </c>
      <c r="BV33" s="23">
        <f>BU33+BV31-BV32</f>
        <v/>
      </c>
      <c r="BW33" s="23">
        <f>BV33+BW31-BW32</f>
        <v/>
      </c>
      <c r="BX33" s="23">
        <f>BW33+BX31-BX32</f>
        <v/>
      </c>
      <c r="BY33" s="23">
        <f>BX33+BY31-BY32</f>
        <v/>
      </c>
      <c r="BZ33" s="23">
        <f>BY33+BZ31-BZ32</f>
        <v/>
      </c>
      <c r="CA33" s="23">
        <f>BZ33+CA31-CA32</f>
        <v/>
      </c>
      <c r="CB33" s="23">
        <f>CA33+CB31-CB32</f>
        <v/>
      </c>
      <c r="CC33" s="23">
        <f>CB33+CC31-CC32</f>
        <v/>
      </c>
      <c r="CD33" s="23">
        <f>CC33+CD31-CD32</f>
        <v/>
      </c>
      <c r="CE33" s="23">
        <f>CD33+CE31-CE32</f>
        <v/>
      </c>
      <c r="CF33" s="23">
        <f>CE33+CF31-CF32</f>
        <v/>
      </c>
      <c r="CG33" s="23">
        <f>CF33+CG31-CG32</f>
        <v/>
      </c>
      <c r="CH33" s="23">
        <f>CG33+CH31-CH32</f>
        <v/>
      </c>
    </row>
    <row r="35">
      <c r="A35" s="4" t="inlineStr">
        <is>
          <t>Clientes e receita</t>
        </is>
      </c>
      <c r="B35" s="5" t="n"/>
    </row>
    <row r="36">
      <c r="A36" s="2" t="inlineStr">
        <is>
          <t>Clínicas ativas</t>
        </is>
      </c>
      <c r="C36" s="24">
        <f>C21+C27+C33</f>
        <v/>
      </c>
      <c r="D36" s="24">
        <f>D21+D27+D33</f>
        <v/>
      </c>
      <c r="E36" s="24">
        <f>E21+E27+E33</f>
        <v/>
      </c>
      <c r="F36" s="24">
        <f>F21+F27+F33</f>
        <v/>
      </c>
      <c r="G36" s="24">
        <f>G21+G27+G33</f>
        <v/>
      </c>
      <c r="H36" s="24">
        <f>H21+H27+H33</f>
        <v/>
      </c>
      <c r="I36" s="24">
        <f>I21+I27+I33</f>
        <v/>
      </c>
      <c r="J36" s="24">
        <f>J21+J27+J33</f>
        <v/>
      </c>
      <c r="K36" s="24">
        <f>K21+K27+K33</f>
        <v/>
      </c>
      <c r="L36" s="24">
        <f>L21+L27+L33</f>
        <v/>
      </c>
      <c r="M36" s="24">
        <f>M21+M27+M33</f>
        <v/>
      </c>
      <c r="N36" s="24">
        <f>N21+N27+N33</f>
        <v/>
      </c>
      <c r="O36" s="24">
        <f>O21+O27+O33</f>
        <v/>
      </c>
      <c r="P36" s="24">
        <f>P21+P27+P33</f>
        <v/>
      </c>
      <c r="Q36" s="24">
        <f>Q21+Q27+Q33</f>
        <v/>
      </c>
      <c r="R36" s="24">
        <f>R21+R27+R33</f>
        <v/>
      </c>
      <c r="S36" s="24">
        <f>S21+S27+S33</f>
        <v/>
      </c>
      <c r="T36" s="24">
        <f>T21+T27+T33</f>
        <v/>
      </c>
      <c r="U36" s="24">
        <f>U21+U27+U33</f>
        <v/>
      </c>
      <c r="V36" s="24">
        <f>V21+V27+V33</f>
        <v/>
      </c>
      <c r="W36" s="24">
        <f>W21+W27+W33</f>
        <v/>
      </c>
      <c r="X36" s="24">
        <f>X21+X27+X33</f>
        <v/>
      </c>
      <c r="Y36" s="24">
        <f>Y21+Y27+Y33</f>
        <v/>
      </c>
      <c r="Z36" s="24">
        <f>Z21+Z27+Z33</f>
        <v/>
      </c>
      <c r="AA36" s="24">
        <f>AA21+AA27+AA33</f>
        <v/>
      </c>
      <c r="AB36" s="24">
        <f>AB21+AB27+AB33</f>
        <v/>
      </c>
      <c r="AC36" s="24">
        <f>AC21+AC27+AC33</f>
        <v/>
      </c>
      <c r="AD36" s="24">
        <f>AD21+AD27+AD33</f>
        <v/>
      </c>
      <c r="AE36" s="24">
        <f>AE21+AE27+AE33</f>
        <v/>
      </c>
      <c r="AF36" s="24">
        <f>AF21+AF27+AF33</f>
        <v/>
      </c>
      <c r="AG36" s="24">
        <f>AG21+AG27+AG33</f>
        <v/>
      </c>
      <c r="AH36" s="24">
        <f>AH21+AH27+AH33</f>
        <v/>
      </c>
      <c r="AI36" s="24">
        <f>AI21+AI27+AI33</f>
        <v/>
      </c>
      <c r="AJ36" s="24">
        <f>AJ21+AJ27+AJ33</f>
        <v/>
      </c>
      <c r="AK36" s="24">
        <f>AK21+AK27+AK33</f>
        <v/>
      </c>
      <c r="AL36" s="24">
        <f>AL21+AL27+AL33</f>
        <v/>
      </c>
      <c r="AM36" s="24">
        <f>AM21+AM27+AM33</f>
        <v/>
      </c>
      <c r="AN36" s="24">
        <f>AN21+AN27+AN33</f>
        <v/>
      </c>
      <c r="AO36" s="24">
        <f>AO21+AO27+AO33</f>
        <v/>
      </c>
      <c r="AP36" s="24">
        <f>AP21+AP27+AP33</f>
        <v/>
      </c>
      <c r="AQ36" s="24">
        <f>AQ21+AQ27+AQ33</f>
        <v/>
      </c>
      <c r="AR36" s="24">
        <f>AR21+AR27+AR33</f>
        <v/>
      </c>
      <c r="AS36" s="24">
        <f>AS21+AS27+AS33</f>
        <v/>
      </c>
      <c r="AT36" s="24">
        <f>AT21+AT27+AT33</f>
        <v/>
      </c>
      <c r="AU36" s="24">
        <f>AU21+AU27+AU33</f>
        <v/>
      </c>
      <c r="AV36" s="24">
        <f>AV21+AV27+AV33</f>
        <v/>
      </c>
      <c r="AW36" s="24">
        <f>AW21+AW27+AW33</f>
        <v/>
      </c>
      <c r="AX36" s="24">
        <f>AX21+AX27+AX33</f>
        <v/>
      </c>
      <c r="AY36" s="24">
        <f>AY21+AY27+AY33</f>
        <v/>
      </c>
      <c r="AZ36" s="24">
        <f>AZ21+AZ27+AZ33</f>
        <v/>
      </c>
      <c r="BA36" s="24">
        <f>BA21+BA27+BA33</f>
        <v/>
      </c>
      <c r="BB36" s="24">
        <f>BB21+BB27+BB33</f>
        <v/>
      </c>
      <c r="BC36" s="24">
        <f>BC21+BC27+BC33</f>
        <v/>
      </c>
      <c r="BD36" s="24">
        <f>BD21+BD27+BD33</f>
        <v/>
      </c>
      <c r="BE36" s="24">
        <f>BE21+BE27+BE33</f>
        <v/>
      </c>
      <c r="BF36" s="24">
        <f>BF21+BF27+BF33</f>
        <v/>
      </c>
      <c r="BG36" s="24">
        <f>BG21+BG27+BG33</f>
        <v/>
      </c>
      <c r="BH36" s="24">
        <f>BH21+BH27+BH33</f>
        <v/>
      </c>
      <c r="BI36" s="24">
        <f>BI21+BI27+BI33</f>
        <v/>
      </c>
      <c r="BJ36" s="24">
        <f>BJ21+BJ27+BJ33</f>
        <v/>
      </c>
      <c r="BK36" s="24">
        <f>BK21+BK27+BK33</f>
        <v/>
      </c>
      <c r="BL36" s="24">
        <f>BL21+BL27+BL33</f>
        <v/>
      </c>
      <c r="BM36" s="24">
        <f>BM21+BM27+BM33</f>
        <v/>
      </c>
      <c r="BN36" s="24">
        <f>BN21+BN27+BN33</f>
        <v/>
      </c>
      <c r="BO36" s="24">
        <f>BO21+BO27+BO33</f>
        <v/>
      </c>
      <c r="BP36" s="24">
        <f>BP21+BP27+BP33</f>
        <v/>
      </c>
      <c r="BQ36" s="24">
        <f>BQ21+BQ27+BQ33</f>
        <v/>
      </c>
      <c r="BR36" s="24">
        <f>BR21+BR27+BR33</f>
        <v/>
      </c>
      <c r="BS36" s="24">
        <f>BS21+BS27+BS33</f>
        <v/>
      </c>
      <c r="BT36" s="24">
        <f>BT21+BT27+BT33</f>
        <v/>
      </c>
      <c r="BU36" s="24">
        <f>BU21+BU27+BU33</f>
        <v/>
      </c>
      <c r="BV36" s="24">
        <f>BV21+BV27+BV33</f>
        <v/>
      </c>
      <c r="BW36" s="24">
        <f>BW21+BW27+BW33</f>
        <v/>
      </c>
      <c r="BX36" s="24">
        <f>BX21+BX27+BX33</f>
        <v/>
      </c>
      <c r="BY36" s="24">
        <f>BY21+BY27+BY33</f>
        <v/>
      </c>
      <c r="BZ36" s="24">
        <f>BZ21+BZ27+BZ33</f>
        <v/>
      </c>
      <c r="CA36" s="24">
        <f>CA21+CA27+CA33</f>
        <v/>
      </c>
      <c r="CB36" s="24">
        <f>CB21+CB27+CB33</f>
        <v/>
      </c>
      <c r="CC36" s="24">
        <f>CC21+CC27+CC33</f>
        <v/>
      </c>
      <c r="CD36" s="24">
        <f>CD21+CD27+CD33</f>
        <v/>
      </c>
      <c r="CE36" s="24">
        <f>CE21+CE27+CE33</f>
        <v/>
      </c>
      <c r="CF36" s="24">
        <f>CF21+CF27+CF33</f>
        <v/>
      </c>
      <c r="CG36" s="24">
        <f>CG21+CG27+CG33</f>
        <v/>
      </c>
      <c r="CH36" s="24">
        <f>CH21+CH27+CH33</f>
        <v/>
      </c>
    </row>
    <row r="37">
      <c r="A37" s="3" t="inlineStr">
        <is>
          <t>Clínicas canceladas no mês</t>
        </is>
      </c>
      <c r="C37" s="12">
        <f>C20+C26+C32</f>
        <v/>
      </c>
      <c r="D37" s="12">
        <f>D20+D26+D32</f>
        <v/>
      </c>
      <c r="E37" s="12">
        <f>E20+E26+E32</f>
        <v/>
      </c>
      <c r="F37" s="12">
        <f>F20+F26+F32</f>
        <v/>
      </c>
      <c r="G37" s="12">
        <f>G20+G26+G32</f>
        <v/>
      </c>
      <c r="H37" s="12">
        <f>H20+H26+H32</f>
        <v/>
      </c>
      <c r="I37" s="12">
        <f>I20+I26+I32</f>
        <v/>
      </c>
      <c r="J37" s="12">
        <f>J20+J26+J32</f>
        <v/>
      </c>
      <c r="K37" s="12">
        <f>K20+K26+K32</f>
        <v/>
      </c>
      <c r="L37" s="12">
        <f>L20+L26+L32</f>
        <v/>
      </c>
      <c r="M37" s="12">
        <f>M20+M26+M32</f>
        <v/>
      </c>
      <c r="N37" s="12">
        <f>N20+N26+N32</f>
        <v/>
      </c>
      <c r="O37" s="12">
        <f>O20+O26+O32</f>
        <v/>
      </c>
      <c r="P37" s="12">
        <f>P20+P26+P32</f>
        <v/>
      </c>
      <c r="Q37" s="12">
        <f>Q20+Q26+Q32</f>
        <v/>
      </c>
      <c r="R37" s="12">
        <f>R20+R26+R32</f>
        <v/>
      </c>
      <c r="S37" s="12">
        <f>S20+S26+S32</f>
        <v/>
      </c>
      <c r="T37" s="12">
        <f>T20+T26+T32</f>
        <v/>
      </c>
      <c r="U37" s="12">
        <f>U20+U26+U32</f>
        <v/>
      </c>
      <c r="V37" s="12">
        <f>V20+V26+V32</f>
        <v/>
      </c>
      <c r="W37" s="12">
        <f>W20+W26+W32</f>
        <v/>
      </c>
      <c r="X37" s="12">
        <f>X20+X26+X32</f>
        <v/>
      </c>
      <c r="Y37" s="12">
        <f>Y20+Y26+Y32</f>
        <v/>
      </c>
      <c r="Z37" s="12">
        <f>Z20+Z26+Z32</f>
        <v/>
      </c>
      <c r="AA37" s="12">
        <f>AA20+AA26+AA32</f>
        <v/>
      </c>
      <c r="AB37" s="12">
        <f>AB20+AB26+AB32</f>
        <v/>
      </c>
      <c r="AC37" s="12">
        <f>AC20+AC26+AC32</f>
        <v/>
      </c>
      <c r="AD37" s="12">
        <f>AD20+AD26+AD32</f>
        <v/>
      </c>
      <c r="AE37" s="12">
        <f>AE20+AE26+AE32</f>
        <v/>
      </c>
      <c r="AF37" s="12">
        <f>AF20+AF26+AF32</f>
        <v/>
      </c>
      <c r="AG37" s="12">
        <f>AG20+AG26+AG32</f>
        <v/>
      </c>
      <c r="AH37" s="12">
        <f>AH20+AH26+AH32</f>
        <v/>
      </c>
      <c r="AI37" s="12">
        <f>AI20+AI26+AI32</f>
        <v/>
      </c>
      <c r="AJ37" s="12">
        <f>AJ20+AJ26+AJ32</f>
        <v/>
      </c>
      <c r="AK37" s="12">
        <f>AK20+AK26+AK32</f>
        <v/>
      </c>
      <c r="AL37" s="12">
        <f>AL20+AL26+AL32</f>
        <v/>
      </c>
      <c r="AM37" s="12">
        <f>AM20+AM26+AM32</f>
        <v/>
      </c>
      <c r="AN37" s="12">
        <f>AN20+AN26+AN32</f>
        <v/>
      </c>
      <c r="AO37" s="12">
        <f>AO20+AO26+AO32</f>
        <v/>
      </c>
      <c r="AP37" s="12">
        <f>AP20+AP26+AP32</f>
        <v/>
      </c>
      <c r="AQ37" s="12">
        <f>AQ20+AQ26+AQ32</f>
        <v/>
      </c>
      <c r="AR37" s="12">
        <f>AR20+AR26+AR32</f>
        <v/>
      </c>
      <c r="AS37" s="12">
        <f>AS20+AS26+AS32</f>
        <v/>
      </c>
      <c r="AT37" s="12">
        <f>AT20+AT26+AT32</f>
        <v/>
      </c>
      <c r="AU37" s="12">
        <f>AU20+AU26+AU32</f>
        <v/>
      </c>
      <c r="AV37" s="12">
        <f>AV20+AV26+AV32</f>
        <v/>
      </c>
      <c r="AW37" s="12">
        <f>AW20+AW26+AW32</f>
        <v/>
      </c>
      <c r="AX37" s="12">
        <f>AX20+AX26+AX32</f>
        <v/>
      </c>
      <c r="AY37" s="12">
        <f>AY20+AY26+AY32</f>
        <v/>
      </c>
      <c r="AZ37" s="12">
        <f>AZ20+AZ26+AZ32</f>
        <v/>
      </c>
      <c r="BA37" s="12">
        <f>BA20+BA26+BA32</f>
        <v/>
      </c>
      <c r="BB37" s="12">
        <f>BB20+BB26+BB32</f>
        <v/>
      </c>
      <c r="BC37" s="12">
        <f>BC20+BC26+BC32</f>
        <v/>
      </c>
      <c r="BD37" s="12">
        <f>BD20+BD26+BD32</f>
        <v/>
      </c>
      <c r="BE37" s="12">
        <f>BE20+BE26+BE32</f>
        <v/>
      </c>
      <c r="BF37" s="12">
        <f>BF20+BF26+BF32</f>
        <v/>
      </c>
      <c r="BG37" s="12">
        <f>BG20+BG26+BG32</f>
        <v/>
      </c>
      <c r="BH37" s="12">
        <f>BH20+BH26+BH32</f>
        <v/>
      </c>
      <c r="BI37" s="12">
        <f>BI20+BI26+BI32</f>
        <v/>
      </c>
      <c r="BJ37" s="12">
        <f>BJ20+BJ26+BJ32</f>
        <v/>
      </c>
      <c r="BK37" s="12">
        <f>BK20+BK26+BK32</f>
        <v/>
      </c>
      <c r="BL37" s="12">
        <f>BL20+BL26+BL32</f>
        <v/>
      </c>
      <c r="BM37" s="12">
        <f>BM20+BM26+BM32</f>
        <v/>
      </c>
      <c r="BN37" s="12">
        <f>BN20+BN26+BN32</f>
        <v/>
      </c>
      <c r="BO37" s="12">
        <f>BO20+BO26+BO32</f>
        <v/>
      </c>
      <c r="BP37" s="12">
        <f>BP20+BP26+BP32</f>
        <v/>
      </c>
      <c r="BQ37" s="12">
        <f>BQ20+BQ26+BQ32</f>
        <v/>
      </c>
      <c r="BR37" s="12">
        <f>BR20+BR26+BR32</f>
        <v/>
      </c>
      <c r="BS37" s="12">
        <f>BS20+BS26+BS32</f>
        <v/>
      </c>
      <c r="BT37" s="12">
        <f>BT20+BT26+BT32</f>
        <v/>
      </c>
      <c r="BU37" s="12">
        <f>BU20+BU26+BU32</f>
        <v/>
      </c>
      <c r="BV37" s="12">
        <f>BV20+BV26+BV32</f>
        <v/>
      </c>
      <c r="BW37" s="12">
        <f>BW20+BW26+BW32</f>
        <v/>
      </c>
      <c r="BX37" s="12">
        <f>BX20+BX26+BX32</f>
        <v/>
      </c>
      <c r="BY37" s="12">
        <f>BY20+BY26+BY32</f>
        <v/>
      </c>
      <c r="BZ37" s="12">
        <f>BZ20+BZ26+BZ32</f>
        <v/>
      </c>
      <c r="CA37" s="12">
        <f>CA20+CA26+CA32</f>
        <v/>
      </c>
      <c r="CB37" s="12">
        <f>CB20+CB26+CB32</f>
        <v/>
      </c>
      <c r="CC37" s="12">
        <f>CC20+CC26+CC32</f>
        <v/>
      </c>
      <c r="CD37" s="12">
        <f>CD20+CD26+CD32</f>
        <v/>
      </c>
      <c r="CE37" s="12">
        <f>CE20+CE26+CE32</f>
        <v/>
      </c>
      <c r="CF37" s="12">
        <f>CF20+CF26+CF32</f>
        <v/>
      </c>
      <c r="CG37" s="12">
        <f>CG20+CG26+CG32</f>
        <v/>
      </c>
      <c r="CH37" s="12">
        <f>CH20+CH26+CH32</f>
        <v/>
      </c>
    </row>
    <row r="38">
      <c r="A38" s="3" t="inlineStr">
        <is>
          <t>Mercado endereçável no mês</t>
        </is>
      </c>
      <c r="C38" s="8">
        <f>Premissas!$F$12+IF(C2&gt;=Premissas!$F$13,Premissas!$F$15,0)</f>
        <v/>
      </c>
      <c r="D38" s="8">
        <f>Premissas!$F$12+IF(D2&gt;=Premissas!$F$13,Premissas!$F$15,0)</f>
        <v/>
      </c>
      <c r="E38" s="8">
        <f>Premissas!$F$12+IF(E2&gt;=Premissas!$F$13,Premissas!$F$15,0)</f>
        <v/>
      </c>
      <c r="F38" s="8">
        <f>Premissas!$F$12+IF(F2&gt;=Premissas!$F$13,Premissas!$F$15,0)</f>
        <v/>
      </c>
      <c r="G38" s="8">
        <f>Premissas!$F$12+IF(G2&gt;=Premissas!$F$13,Premissas!$F$15,0)</f>
        <v/>
      </c>
      <c r="H38" s="8">
        <f>Premissas!$F$12+IF(H2&gt;=Premissas!$F$13,Premissas!$F$15,0)</f>
        <v/>
      </c>
      <c r="I38" s="8">
        <f>Premissas!$F$12+IF(I2&gt;=Premissas!$F$13,Premissas!$F$15,0)</f>
        <v/>
      </c>
      <c r="J38" s="8">
        <f>Premissas!$F$12+IF(J2&gt;=Premissas!$F$13,Premissas!$F$15,0)</f>
        <v/>
      </c>
      <c r="K38" s="8">
        <f>Premissas!$F$12+IF(K2&gt;=Premissas!$F$13,Premissas!$F$15,0)</f>
        <v/>
      </c>
      <c r="L38" s="8">
        <f>Premissas!$F$12+IF(L2&gt;=Premissas!$F$13,Premissas!$F$15,0)</f>
        <v/>
      </c>
      <c r="M38" s="8">
        <f>Premissas!$F$12+IF(M2&gt;=Premissas!$F$13,Premissas!$F$15,0)</f>
        <v/>
      </c>
      <c r="N38" s="8">
        <f>Premissas!$F$12+IF(N2&gt;=Premissas!$F$13,Premissas!$F$15,0)</f>
        <v/>
      </c>
      <c r="O38" s="8">
        <f>Premissas!$F$12+IF(O2&gt;=Premissas!$F$13,Premissas!$F$15,0)</f>
        <v/>
      </c>
      <c r="P38" s="8">
        <f>Premissas!$F$12+IF(P2&gt;=Premissas!$F$13,Premissas!$F$15,0)</f>
        <v/>
      </c>
      <c r="Q38" s="8">
        <f>Premissas!$F$12+IF(Q2&gt;=Premissas!$F$13,Premissas!$F$15,0)</f>
        <v/>
      </c>
      <c r="R38" s="8">
        <f>Premissas!$F$12+IF(R2&gt;=Premissas!$F$13,Premissas!$F$15,0)</f>
        <v/>
      </c>
      <c r="S38" s="8">
        <f>Premissas!$F$12+IF(S2&gt;=Premissas!$F$13,Premissas!$F$15,0)</f>
        <v/>
      </c>
      <c r="T38" s="8">
        <f>Premissas!$F$12+IF(T2&gt;=Premissas!$F$13,Premissas!$F$15,0)</f>
        <v/>
      </c>
      <c r="U38" s="8">
        <f>Premissas!$F$12+IF(U2&gt;=Premissas!$F$13,Premissas!$F$15,0)</f>
        <v/>
      </c>
      <c r="V38" s="8">
        <f>Premissas!$F$12+IF(V2&gt;=Premissas!$F$13,Premissas!$F$15,0)</f>
        <v/>
      </c>
      <c r="W38" s="8">
        <f>Premissas!$F$12+IF(W2&gt;=Premissas!$F$13,Premissas!$F$15,0)</f>
        <v/>
      </c>
      <c r="X38" s="8">
        <f>Premissas!$F$12+IF(X2&gt;=Premissas!$F$13,Premissas!$F$15,0)</f>
        <v/>
      </c>
      <c r="Y38" s="8">
        <f>Premissas!$F$12+IF(Y2&gt;=Premissas!$F$13,Premissas!$F$15,0)</f>
        <v/>
      </c>
      <c r="Z38" s="8">
        <f>Premissas!$F$12+IF(Z2&gt;=Premissas!$F$13,Premissas!$F$15,0)</f>
        <v/>
      </c>
      <c r="AA38" s="8">
        <f>Premissas!$F$12+IF(AA2&gt;=Premissas!$F$13,Premissas!$F$15,0)</f>
        <v/>
      </c>
      <c r="AB38" s="8">
        <f>Premissas!$F$12+IF(AB2&gt;=Premissas!$F$13,Premissas!$F$15,0)</f>
        <v/>
      </c>
      <c r="AC38" s="8">
        <f>Premissas!$F$12+IF(AC2&gt;=Premissas!$F$13,Premissas!$F$15,0)</f>
        <v/>
      </c>
      <c r="AD38" s="8">
        <f>Premissas!$F$12+IF(AD2&gt;=Premissas!$F$13,Premissas!$F$15,0)</f>
        <v/>
      </c>
      <c r="AE38" s="8">
        <f>Premissas!$F$12+IF(AE2&gt;=Premissas!$F$13,Premissas!$F$15,0)</f>
        <v/>
      </c>
      <c r="AF38" s="8">
        <f>Premissas!$F$12+IF(AF2&gt;=Premissas!$F$13,Premissas!$F$15,0)</f>
        <v/>
      </c>
      <c r="AG38" s="8">
        <f>Premissas!$F$12+IF(AG2&gt;=Premissas!$F$13,Premissas!$F$15,0)</f>
        <v/>
      </c>
      <c r="AH38" s="8">
        <f>Premissas!$F$12+IF(AH2&gt;=Premissas!$F$13,Premissas!$F$15,0)</f>
        <v/>
      </c>
      <c r="AI38" s="8">
        <f>Premissas!$F$12+IF(AI2&gt;=Premissas!$F$13,Premissas!$F$15,0)</f>
        <v/>
      </c>
      <c r="AJ38" s="8">
        <f>Premissas!$F$12+IF(AJ2&gt;=Premissas!$F$13,Premissas!$F$15,0)</f>
        <v/>
      </c>
      <c r="AK38" s="8">
        <f>Premissas!$F$12+IF(AK2&gt;=Premissas!$F$13,Premissas!$F$15,0)</f>
        <v/>
      </c>
      <c r="AL38" s="8">
        <f>Premissas!$F$12+IF(AL2&gt;=Premissas!$F$13,Premissas!$F$15,0)</f>
        <v/>
      </c>
      <c r="AM38" s="8">
        <f>Premissas!$F$12+IF(AM2&gt;=Premissas!$F$13,Premissas!$F$15,0)</f>
        <v/>
      </c>
      <c r="AN38" s="8">
        <f>Premissas!$F$12+IF(AN2&gt;=Premissas!$F$13,Premissas!$F$15,0)</f>
        <v/>
      </c>
      <c r="AO38" s="8">
        <f>Premissas!$F$12+IF(AO2&gt;=Premissas!$F$13,Premissas!$F$15,0)</f>
        <v/>
      </c>
      <c r="AP38" s="8">
        <f>Premissas!$F$12+IF(AP2&gt;=Premissas!$F$13,Premissas!$F$15,0)</f>
        <v/>
      </c>
      <c r="AQ38" s="8">
        <f>Premissas!$F$12+IF(AQ2&gt;=Premissas!$F$13,Premissas!$F$15,0)</f>
        <v/>
      </c>
      <c r="AR38" s="8">
        <f>Premissas!$F$12+IF(AR2&gt;=Premissas!$F$13,Premissas!$F$15,0)</f>
        <v/>
      </c>
      <c r="AS38" s="8">
        <f>Premissas!$F$12+IF(AS2&gt;=Premissas!$F$13,Premissas!$F$15,0)</f>
        <v/>
      </c>
      <c r="AT38" s="8">
        <f>Premissas!$F$12+IF(AT2&gt;=Premissas!$F$13,Premissas!$F$15,0)</f>
        <v/>
      </c>
      <c r="AU38" s="8">
        <f>Premissas!$F$12+IF(AU2&gt;=Premissas!$F$13,Premissas!$F$15,0)</f>
        <v/>
      </c>
      <c r="AV38" s="8">
        <f>Premissas!$F$12+IF(AV2&gt;=Premissas!$F$13,Premissas!$F$15,0)</f>
        <v/>
      </c>
      <c r="AW38" s="8">
        <f>Premissas!$F$12+IF(AW2&gt;=Premissas!$F$13,Premissas!$F$15,0)</f>
        <v/>
      </c>
      <c r="AX38" s="8">
        <f>Premissas!$F$12+IF(AX2&gt;=Premissas!$F$13,Premissas!$F$15,0)</f>
        <v/>
      </c>
      <c r="AY38" s="8">
        <f>Premissas!$F$12+IF(AY2&gt;=Premissas!$F$13,Premissas!$F$15,0)</f>
        <v/>
      </c>
      <c r="AZ38" s="8">
        <f>Premissas!$F$12+IF(AZ2&gt;=Premissas!$F$13,Premissas!$F$15,0)</f>
        <v/>
      </c>
      <c r="BA38" s="8">
        <f>Premissas!$F$12+IF(BA2&gt;=Premissas!$F$13,Premissas!$F$15,0)</f>
        <v/>
      </c>
      <c r="BB38" s="8">
        <f>Premissas!$F$12+IF(BB2&gt;=Premissas!$F$13,Premissas!$F$15,0)</f>
        <v/>
      </c>
      <c r="BC38" s="8">
        <f>Premissas!$F$12+IF(BC2&gt;=Premissas!$F$13,Premissas!$F$15,0)</f>
        <v/>
      </c>
      <c r="BD38" s="8">
        <f>Premissas!$F$12+IF(BD2&gt;=Premissas!$F$13,Premissas!$F$15,0)</f>
        <v/>
      </c>
      <c r="BE38" s="8">
        <f>Premissas!$F$12+IF(BE2&gt;=Premissas!$F$13,Premissas!$F$15,0)</f>
        <v/>
      </c>
      <c r="BF38" s="8">
        <f>Premissas!$F$12+IF(BF2&gt;=Premissas!$F$13,Premissas!$F$15,0)</f>
        <v/>
      </c>
      <c r="BG38" s="8">
        <f>Premissas!$F$12+IF(BG2&gt;=Premissas!$F$13,Premissas!$F$15,0)</f>
        <v/>
      </c>
      <c r="BH38" s="8">
        <f>Premissas!$F$12+IF(BH2&gt;=Premissas!$F$13,Premissas!$F$15,0)</f>
        <v/>
      </c>
      <c r="BI38" s="8">
        <f>Premissas!$F$12+IF(BI2&gt;=Premissas!$F$13,Premissas!$F$15,0)</f>
        <v/>
      </c>
      <c r="BJ38" s="8">
        <f>Premissas!$F$12+IF(BJ2&gt;=Premissas!$F$13,Premissas!$F$15,0)</f>
        <v/>
      </c>
      <c r="BK38" s="8">
        <f>Premissas!$F$12+IF(BK2&gt;=Premissas!$F$13,Premissas!$F$15,0)</f>
        <v/>
      </c>
      <c r="BL38" s="8">
        <f>Premissas!$F$12+IF(BL2&gt;=Premissas!$F$13,Premissas!$F$15,0)</f>
        <v/>
      </c>
      <c r="BM38" s="8">
        <f>Premissas!$F$12+IF(BM2&gt;=Premissas!$F$13,Premissas!$F$15,0)</f>
        <v/>
      </c>
      <c r="BN38" s="8">
        <f>Premissas!$F$12+IF(BN2&gt;=Premissas!$F$13,Premissas!$F$15,0)</f>
        <v/>
      </c>
      <c r="BO38" s="8">
        <f>Premissas!$F$12+IF(BO2&gt;=Premissas!$F$13,Premissas!$F$15,0)</f>
        <v/>
      </c>
      <c r="BP38" s="8">
        <f>Premissas!$F$12+IF(BP2&gt;=Premissas!$F$13,Premissas!$F$15,0)</f>
        <v/>
      </c>
      <c r="BQ38" s="8">
        <f>Premissas!$F$12+IF(BQ2&gt;=Premissas!$F$13,Premissas!$F$15,0)</f>
        <v/>
      </c>
      <c r="BR38" s="8">
        <f>Premissas!$F$12+IF(BR2&gt;=Premissas!$F$13,Premissas!$F$15,0)</f>
        <v/>
      </c>
      <c r="BS38" s="8">
        <f>Premissas!$F$12+IF(BS2&gt;=Premissas!$F$13,Premissas!$F$15,0)</f>
        <v/>
      </c>
      <c r="BT38" s="8">
        <f>Premissas!$F$12+IF(BT2&gt;=Premissas!$F$13,Premissas!$F$15,0)</f>
        <v/>
      </c>
      <c r="BU38" s="8">
        <f>Premissas!$F$12+IF(BU2&gt;=Premissas!$F$13,Premissas!$F$15,0)</f>
        <v/>
      </c>
      <c r="BV38" s="8">
        <f>Premissas!$F$12+IF(BV2&gt;=Premissas!$F$13,Premissas!$F$15,0)</f>
        <v/>
      </c>
      <c r="BW38" s="8">
        <f>Premissas!$F$12+IF(BW2&gt;=Premissas!$F$13,Premissas!$F$15,0)</f>
        <v/>
      </c>
      <c r="BX38" s="8">
        <f>Premissas!$F$12+IF(BX2&gt;=Premissas!$F$13,Premissas!$F$15,0)</f>
        <v/>
      </c>
      <c r="BY38" s="8">
        <f>Premissas!$F$12+IF(BY2&gt;=Premissas!$F$13,Premissas!$F$15,0)</f>
        <v/>
      </c>
      <c r="BZ38" s="8">
        <f>Premissas!$F$12+IF(BZ2&gt;=Premissas!$F$13,Premissas!$F$15,0)</f>
        <v/>
      </c>
      <c r="CA38" s="8">
        <f>Premissas!$F$12+IF(CA2&gt;=Premissas!$F$13,Premissas!$F$15,0)</f>
        <v/>
      </c>
      <c r="CB38" s="8">
        <f>Premissas!$F$12+IF(CB2&gt;=Premissas!$F$13,Premissas!$F$15,0)</f>
        <v/>
      </c>
      <c r="CC38" s="8">
        <f>Premissas!$F$12+IF(CC2&gt;=Premissas!$F$13,Premissas!$F$15,0)</f>
        <v/>
      </c>
      <c r="CD38" s="8">
        <f>Premissas!$F$12+IF(CD2&gt;=Premissas!$F$13,Premissas!$F$15,0)</f>
        <v/>
      </c>
      <c r="CE38" s="8">
        <f>Premissas!$F$12+IF(CE2&gt;=Premissas!$F$13,Premissas!$F$15,0)</f>
        <v/>
      </c>
      <c r="CF38" s="8">
        <f>Premissas!$F$12+IF(CF2&gt;=Premissas!$F$13,Premissas!$F$15,0)</f>
        <v/>
      </c>
      <c r="CG38" s="8">
        <f>Premissas!$F$12+IF(CG2&gt;=Premissas!$F$13,Premissas!$F$15,0)</f>
        <v/>
      </c>
      <c r="CH38" s="8">
        <f>Premissas!$F$12+IF(CH2&gt;=Premissas!$F$13,Premissas!$F$15,0)</f>
        <v/>
      </c>
    </row>
    <row r="39">
      <c r="A39" s="3" t="inlineStr">
        <is>
          <t>Participação no mercado endereçável</t>
        </is>
      </c>
      <c r="C39" s="28">
        <f>C36/C38</f>
        <v/>
      </c>
      <c r="D39" s="28">
        <f>D36/D38</f>
        <v/>
      </c>
      <c r="E39" s="28">
        <f>E36/E38</f>
        <v/>
      </c>
      <c r="F39" s="28">
        <f>F36/F38</f>
        <v/>
      </c>
      <c r="G39" s="28">
        <f>G36/G38</f>
        <v/>
      </c>
      <c r="H39" s="28">
        <f>H36/H38</f>
        <v/>
      </c>
      <c r="I39" s="28">
        <f>I36/I38</f>
        <v/>
      </c>
      <c r="J39" s="28">
        <f>J36/J38</f>
        <v/>
      </c>
      <c r="K39" s="28">
        <f>K36/K38</f>
        <v/>
      </c>
      <c r="L39" s="28">
        <f>L36/L38</f>
        <v/>
      </c>
      <c r="M39" s="28">
        <f>M36/M38</f>
        <v/>
      </c>
      <c r="N39" s="28">
        <f>N36/N38</f>
        <v/>
      </c>
      <c r="O39" s="28">
        <f>O36/O38</f>
        <v/>
      </c>
      <c r="P39" s="28">
        <f>P36/P38</f>
        <v/>
      </c>
      <c r="Q39" s="28">
        <f>Q36/Q38</f>
        <v/>
      </c>
      <c r="R39" s="28">
        <f>R36/R38</f>
        <v/>
      </c>
      <c r="S39" s="28">
        <f>S36/S38</f>
        <v/>
      </c>
      <c r="T39" s="28">
        <f>T36/T38</f>
        <v/>
      </c>
      <c r="U39" s="28">
        <f>U36/U38</f>
        <v/>
      </c>
      <c r="V39" s="28">
        <f>V36/V38</f>
        <v/>
      </c>
      <c r="W39" s="28">
        <f>W36/W38</f>
        <v/>
      </c>
      <c r="X39" s="28">
        <f>X36/X38</f>
        <v/>
      </c>
      <c r="Y39" s="28">
        <f>Y36/Y38</f>
        <v/>
      </c>
      <c r="Z39" s="28">
        <f>Z36/Z38</f>
        <v/>
      </c>
      <c r="AA39" s="28">
        <f>AA36/AA38</f>
        <v/>
      </c>
      <c r="AB39" s="28">
        <f>AB36/AB38</f>
        <v/>
      </c>
      <c r="AC39" s="28">
        <f>AC36/AC38</f>
        <v/>
      </c>
      <c r="AD39" s="28">
        <f>AD36/AD38</f>
        <v/>
      </c>
      <c r="AE39" s="28">
        <f>AE36/AE38</f>
        <v/>
      </c>
      <c r="AF39" s="28">
        <f>AF36/AF38</f>
        <v/>
      </c>
      <c r="AG39" s="28">
        <f>AG36/AG38</f>
        <v/>
      </c>
      <c r="AH39" s="28">
        <f>AH36/AH38</f>
        <v/>
      </c>
      <c r="AI39" s="28">
        <f>AI36/AI38</f>
        <v/>
      </c>
      <c r="AJ39" s="28">
        <f>AJ36/AJ38</f>
        <v/>
      </c>
      <c r="AK39" s="28">
        <f>AK36/AK38</f>
        <v/>
      </c>
      <c r="AL39" s="28">
        <f>AL36/AL38</f>
        <v/>
      </c>
      <c r="AM39" s="28">
        <f>AM36/AM38</f>
        <v/>
      </c>
      <c r="AN39" s="28">
        <f>AN36/AN38</f>
        <v/>
      </c>
      <c r="AO39" s="28">
        <f>AO36/AO38</f>
        <v/>
      </c>
      <c r="AP39" s="28">
        <f>AP36/AP38</f>
        <v/>
      </c>
      <c r="AQ39" s="28">
        <f>AQ36/AQ38</f>
        <v/>
      </c>
      <c r="AR39" s="28">
        <f>AR36/AR38</f>
        <v/>
      </c>
      <c r="AS39" s="28">
        <f>AS36/AS38</f>
        <v/>
      </c>
      <c r="AT39" s="28">
        <f>AT36/AT38</f>
        <v/>
      </c>
      <c r="AU39" s="28">
        <f>AU36/AU38</f>
        <v/>
      </c>
      <c r="AV39" s="28">
        <f>AV36/AV38</f>
        <v/>
      </c>
      <c r="AW39" s="28">
        <f>AW36/AW38</f>
        <v/>
      </c>
      <c r="AX39" s="28">
        <f>AX36/AX38</f>
        <v/>
      </c>
      <c r="AY39" s="28">
        <f>AY36/AY38</f>
        <v/>
      </c>
      <c r="AZ39" s="28">
        <f>AZ36/AZ38</f>
        <v/>
      </c>
      <c r="BA39" s="28">
        <f>BA36/BA38</f>
        <v/>
      </c>
      <c r="BB39" s="28">
        <f>BB36/BB38</f>
        <v/>
      </c>
      <c r="BC39" s="28">
        <f>BC36/BC38</f>
        <v/>
      </c>
      <c r="BD39" s="28">
        <f>BD36/BD38</f>
        <v/>
      </c>
      <c r="BE39" s="28">
        <f>BE36/BE38</f>
        <v/>
      </c>
      <c r="BF39" s="28">
        <f>BF36/BF38</f>
        <v/>
      </c>
      <c r="BG39" s="28">
        <f>BG36/BG38</f>
        <v/>
      </c>
      <c r="BH39" s="28">
        <f>BH36/BH38</f>
        <v/>
      </c>
      <c r="BI39" s="28">
        <f>BI36/BI38</f>
        <v/>
      </c>
      <c r="BJ39" s="28">
        <f>BJ36/BJ38</f>
        <v/>
      </c>
      <c r="BK39" s="28">
        <f>BK36/BK38</f>
        <v/>
      </c>
      <c r="BL39" s="28">
        <f>BL36/BL38</f>
        <v/>
      </c>
      <c r="BM39" s="28">
        <f>BM36/BM38</f>
        <v/>
      </c>
      <c r="BN39" s="28">
        <f>BN36/BN38</f>
        <v/>
      </c>
      <c r="BO39" s="28">
        <f>BO36/BO38</f>
        <v/>
      </c>
      <c r="BP39" s="28">
        <f>BP36/BP38</f>
        <v/>
      </c>
      <c r="BQ39" s="28">
        <f>BQ36/BQ38</f>
        <v/>
      </c>
      <c r="BR39" s="28">
        <f>BR36/BR38</f>
        <v/>
      </c>
      <c r="BS39" s="28">
        <f>BS36/BS38</f>
        <v/>
      </c>
      <c r="BT39" s="28">
        <f>BT36/BT38</f>
        <v/>
      </c>
      <c r="BU39" s="28">
        <f>BU36/BU38</f>
        <v/>
      </c>
      <c r="BV39" s="28">
        <f>BV36/BV38</f>
        <v/>
      </c>
      <c r="BW39" s="28">
        <f>BW36/BW38</f>
        <v/>
      </c>
      <c r="BX39" s="28">
        <f>BX36/BX38</f>
        <v/>
      </c>
      <c r="BY39" s="28">
        <f>BY36/BY38</f>
        <v/>
      </c>
      <c r="BZ39" s="28">
        <f>BZ36/BZ38</f>
        <v/>
      </c>
      <c r="CA39" s="28">
        <f>CA36/CA38</f>
        <v/>
      </c>
      <c r="CB39" s="28">
        <f>CB36/CB38</f>
        <v/>
      </c>
      <c r="CC39" s="28">
        <f>CC36/CC38</f>
        <v/>
      </c>
      <c r="CD39" s="28">
        <f>CD36/CD38</f>
        <v/>
      </c>
      <c r="CE39" s="28">
        <f>CE36/CE38</f>
        <v/>
      </c>
      <c r="CF39" s="28">
        <f>CF36/CF38</f>
        <v/>
      </c>
      <c r="CG39" s="28">
        <f>CG36/CG38</f>
        <v/>
      </c>
      <c r="CH39" s="28">
        <f>CH36/CH38</f>
        <v/>
      </c>
    </row>
    <row r="40">
      <c r="A40" s="3" t="inlineStr">
        <is>
          <t>Receita de mensalidades dos planos</t>
        </is>
      </c>
      <c r="C40" s="27">
        <f>C21*Premissas!$F$54+C27*Premissas!$F$60+C33*Premissas!$F$66</f>
        <v/>
      </c>
      <c r="D40" s="27">
        <f>D21*Premissas!$F$54+D27*Premissas!$F$60+D33*Premissas!$F$66</f>
        <v/>
      </c>
      <c r="E40" s="27">
        <f>E21*Premissas!$F$54+E27*Premissas!$F$60+E33*Premissas!$F$66</f>
        <v/>
      </c>
      <c r="F40" s="27">
        <f>F21*Premissas!$F$54+F27*Premissas!$F$60+F33*Premissas!$F$66</f>
        <v/>
      </c>
      <c r="G40" s="27">
        <f>G21*Premissas!$F$54+G27*Premissas!$F$60+G33*Premissas!$F$66</f>
        <v/>
      </c>
      <c r="H40" s="27">
        <f>H21*Premissas!$F$54+H27*Premissas!$F$60+H33*Premissas!$F$66</f>
        <v/>
      </c>
      <c r="I40" s="27">
        <f>I21*Premissas!$F$54+I27*Premissas!$F$60+I33*Premissas!$F$66</f>
        <v/>
      </c>
      <c r="J40" s="27">
        <f>J21*Premissas!$F$54+J27*Premissas!$F$60+J33*Premissas!$F$66</f>
        <v/>
      </c>
      <c r="K40" s="27">
        <f>K21*Premissas!$F$54+K27*Premissas!$F$60+K33*Premissas!$F$66</f>
        <v/>
      </c>
      <c r="L40" s="27">
        <f>L21*Premissas!$F$54+L27*Premissas!$F$60+L33*Premissas!$F$66</f>
        <v/>
      </c>
      <c r="M40" s="27">
        <f>M21*Premissas!$F$54+M27*Premissas!$F$60+M33*Premissas!$F$66</f>
        <v/>
      </c>
      <c r="N40" s="27">
        <f>N21*Premissas!$F$54+N27*Premissas!$F$60+N33*Premissas!$F$66</f>
        <v/>
      </c>
      <c r="O40" s="27">
        <f>O21*Premissas!$F$54+O27*Premissas!$F$60+O33*Premissas!$F$66</f>
        <v/>
      </c>
      <c r="P40" s="27">
        <f>P21*Premissas!$F$54+P27*Premissas!$F$60+P33*Premissas!$F$66</f>
        <v/>
      </c>
      <c r="Q40" s="27">
        <f>Q21*Premissas!$F$54+Q27*Premissas!$F$60+Q33*Premissas!$F$66</f>
        <v/>
      </c>
      <c r="R40" s="27">
        <f>R21*Premissas!$F$54+R27*Premissas!$F$60+R33*Premissas!$F$66</f>
        <v/>
      </c>
      <c r="S40" s="27">
        <f>S21*Premissas!$F$54+S27*Premissas!$F$60+S33*Premissas!$F$66</f>
        <v/>
      </c>
      <c r="T40" s="27">
        <f>T21*Premissas!$F$54+T27*Premissas!$F$60+T33*Premissas!$F$66</f>
        <v/>
      </c>
      <c r="U40" s="27">
        <f>U21*Premissas!$F$54+U27*Premissas!$F$60+U33*Premissas!$F$66</f>
        <v/>
      </c>
      <c r="V40" s="27">
        <f>V21*Premissas!$F$54+V27*Premissas!$F$60+V33*Premissas!$F$66</f>
        <v/>
      </c>
      <c r="W40" s="27">
        <f>W21*Premissas!$F$54+W27*Premissas!$F$60+W33*Premissas!$F$66</f>
        <v/>
      </c>
      <c r="X40" s="27">
        <f>X21*Premissas!$F$54+X27*Premissas!$F$60+X33*Premissas!$F$66</f>
        <v/>
      </c>
      <c r="Y40" s="27">
        <f>Y21*Premissas!$F$54+Y27*Premissas!$F$60+Y33*Premissas!$F$66</f>
        <v/>
      </c>
      <c r="Z40" s="27">
        <f>Z21*Premissas!$F$54+Z27*Premissas!$F$60+Z33*Premissas!$F$66</f>
        <v/>
      </c>
      <c r="AA40" s="27">
        <f>AA21*Premissas!$F$54+AA27*Premissas!$F$60+AA33*Premissas!$F$66</f>
        <v/>
      </c>
      <c r="AB40" s="27">
        <f>AB21*Premissas!$F$54+AB27*Premissas!$F$60+AB33*Premissas!$F$66</f>
        <v/>
      </c>
      <c r="AC40" s="27">
        <f>AC21*Premissas!$F$54+AC27*Premissas!$F$60+AC33*Premissas!$F$66</f>
        <v/>
      </c>
      <c r="AD40" s="27">
        <f>AD21*Premissas!$F$54+AD27*Premissas!$F$60+AD33*Premissas!$F$66</f>
        <v/>
      </c>
      <c r="AE40" s="27">
        <f>AE21*Premissas!$F$54+AE27*Premissas!$F$60+AE33*Premissas!$F$66</f>
        <v/>
      </c>
      <c r="AF40" s="27">
        <f>AF21*Premissas!$F$54+AF27*Premissas!$F$60+AF33*Premissas!$F$66</f>
        <v/>
      </c>
      <c r="AG40" s="27">
        <f>AG21*Premissas!$F$54+AG27*Premissas!$F$60+AG33*Premissas!$F$66</f>
        <v/>
      </c>
      <c r="AH40" s="27">
        <f>AH21*Premissas!$F$54+AH27*Premissas!$F$60+AH33*Premissas!$F$66</f>
        <v/>
      </c>
      <c r="AI40" s="27">
        <f>AI21*Premissas!$F$54+AI27*Premissas!$F$60+AI33*Premissas!$F$66</f>
        <v/>
      </c>
      <c r="AJ40" s="27">
        <f>AJ21*Premissas!$F$54+AJ27*Premissas!$F$60+AJ33*Premissas!$F$66</f>
        <v/>
      </c>
      <c r="AK40" s="27">
        <f>AK21*Premissas!$F$54+AK27*Premissas!$F$60+AK33*Premissas!$F$66</f>
        <v/>
      </c>
      <c r="AL40" s="27">
        <f>AL21*Premissas!$F$54+AL27*Premissas!$F$60+AL33*Premissas!$F$66</f>
        <v/>
      </c>
      <c r="AM40" s="27">
        <f>AM21*Premissas!$F$54+AM27*Premissas!$F$60+AM33*Premissas!$F$66</f>
        <v/>
      </c>
      <c r="AN40" s="27">
        <f>AN21*Premissas!$F$54+AN27*Premissas!$F$60+AN33*Premissas!$F$66</f>
        <v/>
      </c>
      <c r="AO40" s="27">
        <f>AO21*Premissas!$F$54+AO27*Premissas!$F$60+AO33*Premissas!$F$66</f>
        <v/>
      </c>
      <c r="AP40" s="27">
        <f>AP21*Premissas!$F$54+AP27*Premissas!$F$60+AP33*Premissas!$F$66</f>
        <v/>
      </c>
      <c r="AQ40" s="27">
        <f>AQ21*Premissas!$F$54+AQ27*Premissas!$F$60+AQ33*Premissas!$F$66</f>
        <v/>
      </c>
      <c r="AR40" s="27">
        <f>AR21*Premissas!$F$54+AR27*Premissas!$F$60+AR33*Premissas!$F$66</f>
        <v/>
      </c>
      <c r="AS40" s="27">
        <f>AS21*Premissas!$F$54+AS27*Premissas!$F$60+AS33*Premissas!$F$66</f>
        <v/>
      </c>
      <c r="AT40" s="27">
        <f>AT21*Premissas!$F$54+AT27*Premissas!$F$60+AT33*Premissas!$F$66</f>
        <v/>
      </c>
      <c r="AU40" s="27">
        <f>AU21*Premissas!$F$54+AU27*Premissas!$F$60+AU33*Premissas!$F$66</f>
        <v/>
      </c>
      <c r="AV40" s="27">
        <f>AV21*Premissas!$F$54+AV27*Premissas!$F$60+AV33*Premissas!$F$66</f>
        <v/>
      </c>
      <c r="AW40" s="27">
        <f>AW21*Premissas!$F$54+AW27*Premissas!$F$60+AW33*Premissas!$F$66</f>
        <v/>
      </c>
      <c r="AX40" s="27">
        <f>AX21*Premissas!$F$54+AX27*Premissas!$F$60+AX33*Premissas!$F$66</f>
        <v/>
      </c>
      <c r="AY40" s="27">
        <f>AY21*Premissas!$F$54+AY27*Premissas!$F$60+AY33*Premissas!$F$66</f>
        <v/>
      </c>
      <c r="AZ40" s="27">
        <f>AZ21*Premissas!$F$54+AZ27*Premissas!$F$60+AZ33*Premissas!$F$66</f>
        <v/>
      </c>
      <c r="BA40" s="27">
        <f>BA21*Premissas!$F$54+BA27*Premissas!$F$60+BA33*Premissas!$F$66</f>
        <v/>
      </c>
      <c r="BB40" s="27">
        <f>BB21*Premissas!$F$54+BB27*Premissas!$F$60+BB33*Premissas!$F$66</f>
        <v/>
      </c>
      <c r="BC40" s="27">
        <f>BC21*Premissas!$F$54+BC27*Premissas!$F$60+BC33*Premissas!$F$66</f>
        <v/>
      </c>
      <c r="BD40" s="27">
        <f>BD21*Premissas!$F$54+BD27*Premissas!$F$60+BD33*Premissas!$F$66</f>
        <v/>
      </c>
      <c r="BE40" s="27">
        <f>BE21*Premissas!$F$54+BE27*Premissas!$F$60+BE33*Premissas!$F$66</f>
        <v/>
      </c>
      <c r="BF40" s="27">
        <f>BF21*Premissas!$F$54+BF27*Premissas!$F$60+BF33*Premissas!$F$66</f>
        <v/>
      </c>
      <c r="BG40" s="27">
        <f>BG21*Premissas!$F$54+BG27*Premissas!$F$60+BG33*Premissas!$F$66</f>
        <v/>
      </c>
      <c r="BH40" s="27">
        <f>BH21*Premissas!$F$54+BH27*Premissas!$F$60+BH33*Premissas!$F$66</f>
        <v/>
      </c>
      <c r="BI40" s="27">
        <f>BI21*Premissas!$F$54+BI27*Premissas!$F$60+BI33*Premissas!$F$66</f>
        <v/>
      </c>
      <c r="BJ40" s="27">
        <f>BJ21*Premissas!$F$54+BJ27*Premissas!$F$60+BJ33*Premissas!$F$66</f>
        <v/>
      </c>
      <c r="BK40" s="27">
        <f>BK21*Premissas!$F$54+BK27*Premissas!$F$60+BK33*Premissas!$F$66</f>
        <v/>
      </c>
      <c r="BL40" s="27">
        <f>BL21*Premissas!$F$54+BL27*Premissas!$F$60+BL33*Premissas!$F$66</f>
        <v/>
      </c>
      <c r="BM40" s="27">
        <f>BM21*Premissas!$F$54+BM27*Premissas!$F$60+BM33*Premissas!$F$66</f>
        <v/>
      </c>
      <c r="BN40" s="27">
        <f>BN21*Premissas!$F$54+BN27*Premissas!$F$60+BN33*Premissas!$F$66</f>
        <v/>
      </c>
      <c r="BO40" s="27">
        <f>BO21*Premissas!$F$54+BO27*Premissas!$F$60+BO33*Premissas!$F$66</f>
        <v/>
      </c>
      <c r="BP40" s="27">
        <f>BP21*Premissas!$F$54+BP27*Premissas!$F$60+BP33*Premissas!$F$66</f>
        <v/>
      </c>
      <c r="BQ40" s="27">
        <f>BQ21*Premissas!$F$54+BQ27*Premissas!$F$60+BQ33*Premissas!$F$66</f>
        <v/>
      </c>
      <c r="BR40" s="27">
        <f>BR21*Premissas!$F$54+BR27*Premissas!$F$60+BR33*Premissas!$F$66</f>
        <v/>
      </c>
      <c r="BS40" s="27">
        <f>BS21*Premissas!$F$54+BS27*Premissas!$F$60+BS33*Premissas!$F$66</f>
        <v/>
      </c>
      <c r="BT40" s="27">
        <f>BT21*Premissas!$F$54+BT27*Premissas!$F$60+BT33*Premissas!$F$66</f>
        <v/>
      </c>
      <c r="BU40" s="27">
        <f>BU21*Premissas!$F$54+BU27*Premissas!$F$60+BU33*Premissas!$F$66</f>
        <v/>
      </c>
      <c r="BV40" s="27">
        <f>BV21*Premissas!$F$54+BV27*Premissas!$F$60+BV33*Premissas!$F$66</f>
        <v/>
      </c>
      <c r="BW40" s="27">
        <f>BW21*Premissas!$F$54+BW27*Premissas!$F$60+BW33*Premissas!$F$66</f>
        <v/>
      </c>
      <c r="BX40" s="27">
        <f>BX21*Premissas!$F$54+BX27*Premissas!$F$60+BX33*Premissas!$F$66</f>
        <v/>
      </c>
      <c r="BY40" s="27">
        <f>BY21*Premissas!$F$54+BY27*Premissas!$F$60+BY33*Premissas!$F$66</f>
        <v/>
      </c>
      <c r="BZ40" s="27">
        <f>BZ21*Premissas!$F$54+BZ27*Premissas!$F$60+BZ33*Premissas!$F$66</f>
        <v/>
      </c>
      <c r="CA40" s="27">
        <f>CA21*Premissas!$F$54+CA27*Premissas!$F$60+CA33*Premissas!$F$66</f>
        <v/>
      </c>
      <c r="CB40" s="27">
        <f>CB21*Premissas!$F$54+CB27*Premissas!$F$60+CB33*Premissas!$F$66</f>
        <v/>
      </c>
      <c r="CC40" s="27">
        <f>CC21*Premissas!$F$54+CC27*Premissas!$F$60+CC33*Premissas!$F$66</f>
        <v/>
      </c>
      <c r="CD40" s="27">
        <f>CD21*Premissas!$F$54+CD27*Premissas!$F$60+CD33*Premissas!$F$66</f>
        <v/>
      </c>
      <c r="CE40" s="27">
        <f>CE21*Premissas!$F$54+CE27*Premissas!$F$60+CE33*Premissas!$F$66</f>
        <v/>
      </c>
      <c r="CF40" s="27">
        <f>CF21*Premissas!$F$54+CF27*Premissas!$F$60+CF33*Premissas!$F$66</f>
        <v/>
      </c>
      <c r="CG40" s="27">
        <f>CG21*Premissas!$F$54+CG27*Premissas!$F$60+CG33*Premissas!$F$66</f>
        <v/>
      </c>
      <c r="CH40" s="27">
        <f>CH21*Premissas!$F$54+CH27*Premissas!$F$60+CH33*Premissas!$F$66</f>
        <v/>
      </c>
    </row>
    <row r="41">
      <c r="A41" s="3" t="inlineStr">
        <is>
          <t>Receita de expansão (médicos e unidades adicionais)</t>
        </is>
      </c>
      <c r="C41" s="27">
        <f>0</f>
        <v/>
      </c>
      <c r="D41" s="27">
        <f>C41*(1-IF(C36&gt;0,D37/C36,0))+C40*Premissas!$F$52</f>
        <v/>
      </c>
      <c r="E41" s="27">
        <f>D41*(1-IF(D36&gt;0,E37/D36,0))+D40*Premissas!$F$52</f>
        <v/>
      </c>
      <c r="F41" s="27">
        <f>E41*(1-IF(E36&gt;0,F37/E36,0))+E40*Premissas!$F$52</f>
        <v/>
      </c>
      <c r="G41" s="27">
        <f>F41*(1-IF(F36&gt;0,G37/F36,0))+F40*Premissas!$F$52</f>
        <v/>
      </c>
      <c r="H41" s="27">
        <f>G41*(1-IF(G36&gt;0,H37/G36,0))+G40*Premissas!$F$52</f>
        <v/>
      </c>
      <c r="I41" s="27">
        <f>H41*(1-IF(H36&gt;0,I37/H36,0))+H40*Premissas!$F$52</f>
        <v/>
      </c>
      <c r="J41" s="27">
        <f>I41*(1-IF(I36&gt;0,J37/I36,0))+I40*Premissas!$F$52</f>
        <v/>
      </c>
      <c r="K41" s="27">
        <f>J41*(1-IF(J36&gt;0,K37/J36,0))+J40*Premissas!$F$52</f>
        <v/>
      </c>
      <c r="L41" s="27">
        <f>K41*(1-IF(K36&gt;0,L37/K36,0))+K40*Premissas!$F$52</f>
        <v/>
      </c>
      <c r="M41" s="27">
        <f>L41*(1-IF(L36&gt;0,M37/L36,0))+L40*Premissas!$F$52</f>
        <v/>
      </c>
      <c r="N41" s="27">
        <f>M41*(1-IF(M36&gt;0,N37/M36,0))+M40*Premissas!$F$52</f>
        <v/>
      </c>
      <c r="O41" s="27">
        <f>N41*(1-IF(N36&gt;0,O37/N36,0))+N40*Premissas!$F$52</f>
        <v/>
      </c>
      <c r="P41" s="27">
        <f>O41*(1-IF(O36&gt;0,P37/O36,0))+O40*Premissas!$F$52</f>
        <v/>
      </c>
      <c r="Q41" s="27">
        <f>P41*(1-IF(P36&gt;0,Q37/P36,0))+P40*Premissas!$F$52</f>
        <v/>
      </c>
      <c r="R41" s="27">
        <f>Q41*(1-IF(Q36&gt;0,R37/Q36,0))+Q40*Premissas!$F$52</f>
        <v/>
      </c>
      <c r="S41" s="27">
        <f>R41*(1-IF(R36&gt;0,S37/R36,0))+R40*Premissas!$F$52</f>
        <v/>
      </c>
      <c r="T41" s="27">
        <f>S41*(1-IF(S36&gt;0,T37/S36,0))+S40*Premissas!$F$52</f>
        <v/>
      </c>
      <c r="U41" s="27">
        <f>T41*(1-IF(T36&gt;0,U37/T36,0))+T40*Premissas!$F$52</f>
        <v/>
      </c>
      <c r="V41" s="27">
        <f>U41*(1-IF(U36&gt;0,V37/U36,0))+U40*Premissas!$F$52</f>
        <v/>
      </c>
      <c r="W41" s="27">
        <f>V41*(1-IF(V36&gt;0,W37/V36,0))+V40*Premissas!$F$52</f>
        <v/>
      </c>
      <c r="X41" s="27">
        <f>W41*(1-IF(W36&gt;0,X37/W36,0))+W40*Premissas!$F$52</f>
        <v/>
      </c>
      <c r="Y41" s="27">
        <f>X41*(1-IF(X36&gt;0,Y37/X36,0))+X40*Premissas!$F$52</f>
        <v/>
      </c>
      <c r="Z41" s="27">
        <f>Y41*(1-IF(Y36&gt;0,Z37/Y36,0))+Y40*Premissas!$F$52</f>
        <v/>
      </c>
      <c r="AA41" s="27">
        <f>Z41*(1-IF(Z36&gt;0,AA37/Z36,0))+Z40*Premissas!$F$52</f>
        <v/>
      </c>
      <c r="AB41" s="27">
        <f>AA41*(1-IF(AA36&gt;0,AB37/AA36,0))+AA40*Premissas!$F$52</f>
        <v/>
      </c>
      <c r="AC41" s="27">
        <f>AB41*(1-IF(AB36&gt;0,AC37/AB36,0))+AB40*Premissas!$F$52</f>
        <v/>
      </c>
      <c r="AD41" s="27">
        <f>AC41*(1-IF(AC36&gt;0,AD37/AC36,0))+AC40*Premissas!$F$52</f>
        <v/>
      </c>
      <c r="AE41" s="27">
        <f>AD41*(1-IF(AD36&gt;0,AE37/AD36,0))+AD40*Premissas!$F$52</f>
        <v/>
      </c>
      <c r="AF41" s="27">
        <f>AE41*(1-IF(AE36&gt;0,AF37/AE36,0))+AE40*Premissas!$F$52</f>
        <v/>
      </c>
      <c r="AG41" s="27">
        <f>AF41*(1-IF(AF36&gt;0,AG37/AF36,0))+AF40*Premissas!$F$52</f>
        <v/>
      </c>
      <c r="AH41" s="27">
        <f>AG41*(1-IF(AG36&gt;0,AH37/AG36,0))+AG40*Premissas!$F$52</f>
        <v/>
      </c>
      <c r="AI41" s="27">
        <f>AH41*(1-IF(AH36&gt;0,AI37/AH36,0))+AH40*Premissas!$F$52</f>
        <v/>
      </c>
      <c r="AJ41" s="27">
        <f>AI41*(1-IF(AI36&gt;0,AJ37/AI36,0))+AI40*Premissas!$F$52</f>
        <v/>
      </c>
      <c r="AK41" s="27">
        <f>AJ41*(1-IF(AJ36&gt;0,AK37/AJ36,0))+AJ40*Premissas!$F$52</f>
        <v/>
      </c>
      <c r="AL41" s="27">
        <f>AK41*(1-IF(AK36&gt;0,AL37/AK36,0))+AK40*Premissas!$F$52</f>
        <v/>
      </c>
      <c r="AM41" s="27">
        <f>AL41*(1-IF(AL36&gt;0,AM37/AL36,0))+AL40*Premissas!$F$52</f>
        <v/>
      </c>
      <c r="AN41" s="27">
        <f>AM41*(1-IF(AM36&gt;0,AN37/AM36,0))+AM40*Premissas!$F$52</f>
        <v/>
      </c>
      <c r="AO41" s="27">
        <f>AN41*(1-IF(AN36&gt;0,AO37/AN36,0))+AN40*Premissas!$F$52</f>
        <v/>
      </c>
      <c r="AP41" s="27">
        <f>AO41*(1-IF(AO36&gt;0,AP37/AO36,0))+AO40*Premissas!$F$52</f>
        <v/>
      </c>
      <c r="AQ41" s="27">
        <f>AP41*(1-IF(AP36&gt;0,AQ37/AP36,0))+AP40*Premissas!$F$52</f>
        <v/>
      </c>
      <c r="AR41" s="27">
        <f>AQ41*(1-IF(AQ36&gt;0,AR37/AQ36,0))+AQ40*Premissas!$F$52</f>
        <v/>
      </c>
      <c r="AS41" s="27">
        <f>AR41*(1-IF(AR36&gt;0,AS37/AR36,0))+AR40*Premissas!$F$52</f>
        <v/>
      </c>
      <c r="AT41" s="27">
        <f>AS41*(1-IF(AS36&gt;0,AT37/AS36,0))+AS40*Premissas!$F$52</f>
        <v/>
      </c>
      <c r="AU41" s="27">
        <f>AT41*(1-IF(AT36&gt;0,AU37/AT36,0))+AT40*Premissas!$F$52</f>
        <v/>
      </c>
      <c r="AV41" s="27">
        <f>AU41*(1-IF(AU36&gt;0,AV37/AU36,0))+AU40*Premissas!$F$52</f>
        <v/>
      </c>
      <c r="AW41" s="27">
        <f>AV41*(1-IF(AV36&gt;0,AW37/AV36,0))+AV40*Premissas!$F$52</f>
        <v/>
      </c>
      <c r="AX41" s="27">
        <f>AW41*(1-IF(AW36&gt;0,AX37/AW36,0))+AW40*Premissas!$F$52</f>
        <v/>
      </c>
      <c r="AY41" s="27">
        <f>AX41*(1-IF(AX36&gt;0,AY37/AX36,0))+AX40*Premissas!$F$52</f>
        <v/>
      </c>
      <c r="AZ41" s="27">
        <f>AY41*(1-IF(AY36&gt;0,AZ37/AY36,0))+AY40*Premissas!$F$52</f>
        <v/>
      </c>
      <c r="BA41" s="27">
        <f>AZ41*(1-IF(AZ36&gt;0,BA37/AZ36,0))+AZ40*Premissas!$F$52</f>
        <v/>
      </c>
      <c r="BB41" s="27">
        <f>BA41*(1-IF(BA36&gt;0,BB37/BA36,0))+BA40*Premissas!$F$52</f>
        <v/>
      </c>
      <c r="BC41" s="27">
        <f>BB41*(1-IF(BB36&gt;0,BC37/BB36,0))+BB40*Premissas!$F$52</f>
        <v/>
      </c>
      <c r="BD41" s="27">
        <f>BC41*(1-IF(BC36&gt;0,BD37/BC36,0))+BC40*Premissas!$F$52</f>
        <v/>
      </c>
      <c r="BE41" s="27">
        <f>BD41*(1-IF(BD36&gt;0,BE37/BD36,0))+BD40*Premissas!$F$52</f>
        <v/>
      </c>
      <c r="BF41" s="27">
        <f>BE41*(1-IF(BE36&gt;0,BF37/BE36,0))+BE40*Premissas!$F$52</f>
        <v/>
      </c>
      <c r="BG41" s="27">
        <f>BF41*(1-IF(BF36&gt;0,BG37/BF36,0))+BF40*Premissas!$F$52</f>
        <v/>
      </c>
      <c r="BH41" s="27">
        <f>BG41*(1-IF(BG36&gt;0,BH37/BG36,0))+BG40*Premissas!$F$52</f>
        <v/>
      </c>
      <c r="BI41" s="27">
        <f>BH41*(1-IF(BH36&gt;0,BI37/BH36,0))+BH40*Premissas!$F$52</f>
        <v/>
      </c>
      <c r="BJ41" s="27">
        <f>BI41*(1-IF(BI36&gt;0,BJ37/BI36,0))+BI40*Premissas!$F$52</f>
        <v/>
      </c>
      <c r="BK41" s="27">
        <f>BJ41*(1-IF(BJ36&gt;0,BK37/BJ36,0))+BJ40*Premissas!$F$52</f>
        <v/>
      </c>
      <c r="BL41" s="27">
        <f>BK41*(1-IF(BK36&gt;0,BL37/BK36,0))+BK40*Premissas!$F$52</f>
        <v/>
      </c>
      <c r="BM41" s="27">
        <f>BL41*(1-IF(BL36&gt;0,BM37/BL36,0))+BL40*Premissas!$F$52</f>
        <v/>
      </c>
      <c r="BN41" s="27">
        <f>BM41*(1-IF(BM36&gt;0,BN37/BM36,0))+BM40*Premissas!$F$52</f>
        <v/>
      </c>
      <c r="BO41" s="27">
        <f>BN41*(1-IF(BN36&gt;0,BO37/BN36,0))+BN40*Premissas!$F$52</f>
        <v/>
      </c>
      <c r="BP41" s="27">
        <f>BO41*(1-IF(BO36&gt;0,BP37/BO36,0))+BO40*Premissas!$F$52</f>
        <v/>
      </c>
      <c r="BQ41" s="27">
        <f>BP41*(1-IF(BP36&gt;0,BQ37/BP36,0))+BP40*Premissas!$F$52</f>
        <v/>
      </c>
      <c r="BR41" s="27">
        <f>BQ41*(1-IF(BQ36&gt;0,BR37/BQ36,0))+BQ40*Premissas!$F$52</f>
        <v/>
      </c>
      <c r="BS41" s="27">
        <f>BR41*(1-IF(BR36&gt;0,BS37/BR36,0))+BR40*Premissas!$F$52</f>
        <v/>
      </c>
      <c r="BT41" s="27">
        <f>BS41*(1-IF(BS36&gt;0,BT37/BS36,0))+BS40*Premissas!$F$52</f>
        <v/>
      </c>
      <c r="BU41" s="27">
        <f>BT41*(1-IF(BT36&gt;0,BU37/BT36,0))+BT40*Premissas!$F$52</f>
        <v/>
      </c>
      <c r="BV41" s="27">
        <f>BU41*(1-IF(BU36&gt;0,BV37/BU36,0))+BU40*Premissas!$F$52</f>
        <v/>
      </c>
      <c r="BW41" s="27">
        <f>BV41*(1-IF(BV36&gt;0,BW37/BV36,0))+BV40*Premissas!$F$52</f>
        <v/>
      </c>
      <c r="BX41" s="27">
        <f>BW41*(1-IF(BW36&gt;0,BX37/BW36,0))+BW40*Premissas!$F$52</f>
        <v/>
      </c>
      <c r="BY41" s="27">
        <f>BX41*(1-IF(BX36&gt;0,BY37/BX36,0))+BX40*Premissas!$F$52</f>
        <v/>
      </c>
      <c r="BZ41" s="27">
        <f>BY41*(1-IF(BY36&gt;0,BZ37/BY36,0))+BY40*Premissas!$F$52</f>
        <v/>
      </c>
      <c r="CA41" s="27">
        <f>BZ41*(1-IF(BZ36&gt;0,CA37/BZ36,0))+BZ40*Premissas!$F$52</f>
        <v/>
      </c>
      <c r="CB41" s="27">
        <f>CA41*(1-IF(CA36&gt;0,CB37/CA36,0))+CA40*Premissas!$F$52</f>
        <v/>
      </c>
      <c r="CC41" s="27">
        <f>CB41*(1-IF(CB36&gt;0,CC37/CB36,0))+CB40*Premissas!$F$52</f>
        <v/>
      </c>
      <c r="CD41" s="27">
        <f>CC41*(1-IF(CC36&gt;0,CD37/CC36,0))+CC40*Premissas!$F$52</f>
        <v/>
      </c>
      <c r="CE41" s="27">
        <f>CD41*(1-IF(CD36&gt;0,CE37/CD36,0))+CD40*Premissas!$F$52</f>
        <v/>
      </c>
      <c r="CF41" s="27">
        <f>CE41*(1-IF(CE36&gt;0,CF37/CE36,0))+CE40*Premissas!$F$52</f>
        <v/>
      </c>
      <c r="CG41" s="27">
        <f>CF41*(1-IF(CF36&gt;0,CG37/CF36,0))+CF40*Premissas!$F$52</f>
        <v/>
      </c>
      <c r="CH41" s="27">
        <f>CG41*(1-IF(CG36&gt;0,CH37/CG36,0))+CG40*Premissas!$F$52</f>
        <v/>
      </c>
    </row>
    <row r="42">
      <c r="A42" s="3" t="inlineStr">
        <is>
          <t>Receita de implantação</t>
        </is>
      </c>
      <c r="C42" s="27">
        <f>C19*Premissas!$F$55+C25*Premissas!$F$61+C31*Premissas!$F$67</f>
        <v/>
      </c>
      <c r="D42" s="27">
        <f>D19*Premissas!$F$55+D25*Premissas!$F$61+D31*Premissas!$F$67</f>
        <v/>
      </c>
      <c r="E42" s="27">
        <f>E19*Premissas!$F$55+E25*Premissas!$F$61+E31*Premissas!$F$67</f>
        <v/>
      </c>
      <c r="F42" s="27">
        <f>F19*Premissas!$F$55+F25*Premissas!$F$61+F31*Premissas!$F$67</f>
        <v/>
      </c>
      <c r="G42" s="27">
        <f>G19*Premissas!$F$55+G25*Premissas!$F$61+G31*Premissas!$F$67</f>
        <v/>
      </c>
      <c r="H42" s="27">
        <f>H19*Premissas!$F$55+H25*Premissas!$F$61+H31*Premissas!$F$67</f>
        <v/>
      </c>
      <c r="I42" s="27">
        <f>I19*Premissas!$F$55+I25*Premissas!$F$61+I31*Premissas!$F$67</f>
        <v/>
      </c>
      <c r="J42" s="27">
        <f>J19*Premissas!$F$55+J25*Premissas!$F$61+J31*Premissas!$F$67</f>
        <v/>
      </c>
      <c r="K42" s="27">
        <f>K19*Premissas!$F$55+K25*Premissas!$F$61+K31*Premissas!$F$67</f>
        <v/>
      </c>
      <c r="L42" s="27">
        <f>L19*Premissas!$F$55+L25*Premissas!$F$61+L31*Premissas!$F$67</f>
        <v/>
      </c>
      <c r="M42" s="27">
        <f>M19*Premissas!$F$55+M25*Premissas!$F$61+M31*Premissas!$F$67</f>
        <v/>
      </c>
      <c r="N42" s="27">
        <f>N19*Premissas!$F$55+N25*Premissas!$F$61+N31*Premissas!$F$67</f>
        <v/>
      </c>
      <c r="O42" s="27">
        <f>O19*Premissas!$F$55+O25*Premissas!$F$61+O31*Premissas!$F$67</f>
        <v/>
      </c>
      <c r="P42" s="27">
        <f>P19*Premissas!$F$55+P25*Premissas!$F$61+P31*Premissas!$F$67</f>
        <v/>
      </c>
      <c r="Q42" s="27">
        <f>Q19*Premissas!$F$55+Q25*Premissas!$F$61+Q31*Premissas!$F$67</f>
        <v/>
      </c>
      <c r="R42" s="27">
        <f>R19*Premissas!$F$55+R25*Premissas!$F$61+R31*Premissas!$F$67</f>
        <v/>
      </c>
      <c r="S42" s="27">
        <f>S19*Premissas!$F$55+S25*Premissas!$F$61+S31*Premissas!$F$67</f>
        <v/>
      </c>
      <c r="T42" s="27">
        <f>T19*Premissas!$F$55+T25*Premissas!$F$61+T31*Premissas!$F$67</f>
        <v/>
      </c>
      <c r="U42" s="27">
        <f>U19*Premissas!$F$55+U25*Premissas!$F$61+U31*Premissas!$F$67</f>
        <v/>
      </c>
      <c r="V42" s="27">
        <f>V19*Premissas!$F$55+V25*Premissas!$F$61+V31*Premissas!$F$67</f>
        <v/>
      </c>
      <c r="W42" s="27">
        <f>W19*Premissas!$F$55+W25*Premissas!$F$61+W31*Premissas!$F$67</f>
        <v/>
      </c>
      <c r="X42" s="27">
        <f>X19*Premissas!$F$55+X25*Premissas!$F$61+X31*Premissas!$F$67</f>
        <v/>
      </c>
      <c r="Y42" s="27">
        <f>Y19*Premissas!$F$55+Y25*Premissas!$F$61+Y31*Premissas!$F$67</f>
        <v/>
      </c>
      <c r="Z42" s="27">
        <f>Z19*Premissas!$F$55+Z25*Premissas!$F$61+Z31*Premissas!$F$67</f>
        <v/>
      </c>
      <c r="AA42" s="27">
        <f>AA19*Premissas!$F$55+AA25*Premissas!$F$61+AA31*Premissas!$F$67</f>
        <v/>
      </c>
      <c r="AB42" s="27">
        <f>AB19*Premissas!$F$55+AB25*Premissas!$F$61+AB31*Premissas!$F$67</f>
        <v/>
      </c>
      <c r="AC42" s="27">
        <f>AC19*Premissas!$F$55+AC25*Premissas!$F$61+AC31*Premissas!$F$67</f>
        <v/>
      </c>
      <c r="AD42" s="27">
        <f>AD19*Premissas!$F$55+AD25*Premissas!$F$61+AD31*Premissas!$F$67</f>
        <v/>
      </c>
      <c r="AE42" s="27">
        <f>AE19*Premissas!$F$55+AE25*Premissas!$F$61+AE31*Premissas!$F$67</f>
        <v/>
      </c>
      <c r="AF42" s="27">
        <f>AF19*Premissas!$F$55+AF25*Premissas!$F$61+AF31*Premissas!$F$67</f>
        <v/>
      </c>
      <c r="AG42" s="27">
        <f>AG19*Premissas!$F$55+AG25*Premissas!$F$61+AG31*Premissas!$F$67</f>
        <v/>
      </c>
      <c r="AH42" s="27">
        <f>AH19*Premissas!$F$55+AH25*Premissas!$F$61+AH31*Premissas!$F$67</f>
        <v/>
      </c>
      <c r="AI42" s="27">
        <f>AI19*Premissas!$F$55+AI25*Premissas!$F$61+AI31*Premissas!$F$67</f>
        <v/>
      </c>
      <c r="AJ42" s="27">
        <f>AJ19*Premissas!$F$55+AJ25*Premissas!$F$61+AJ31*Premissas!$F$67</f>
        <v/>
      </c>
      <c r="AK42" s="27">
        <f>AK19*Premissas!$F$55+AK25*Premissas!$F$61+AK31*Premissas!$F$67</f>
        <v/>
      </c>
      <c r="AL42" s="27">
        <f>AL19*Premissas!$F$55+AL25*Premissas!$F$61+AL31*Premissas!$F$67</f>
        <v/>
      </c>
      <c r="AM42" s="27">
        <f>AM19*Premissas!$F$55+AM25*Premissas!$F$61+AM31*Premissas!$F$67</f>
        <v/>
      </c>
      <c r="AN42" s="27">
        <f>AN19*Premissas!$F$55+AN25*Premissas!$F$61+AN31*Premissas!$F$67</f>
        <v/>
      </c>
      <c r="AO42" s="27">
        <f>AO19*Premissas!$F$55+AO25*Premissas!$F$61+AO31*Premissas!$F$67</f>
        <v/>
      </c>
      <c r="AP42" s="27">
        <f>AP19*Premissas!$F$55+AP25*Premissas!$F$61+AP31*Premissas!$F$67</f>
        <v/>
      </c>
      <c r="AQ42" s="27">
        <f>AQ19*Premissas!$F$55+AQ25*Premissas!$F$61+AQ31*Premissas!$F$67</f>
        <v/>
      </c>
      <c r="AR42" s="27">
        <f>AR19*Premissas!$F$55+AR25*Premissas!$F$61+AR31*Premissas!$F$67</f>
        <v/>
      </c>
      <c r="AS42" s="27">
        <f>AS19*Premissas!$F$55+AS25*Premissas!$F$61+AS31*Premissas!$F$67</f>
        <v/>
      </c>
      <c r="AT42" s="27">
        <f>AT19*Premissas!$F$55+AT25*Premissas!$F$61+AT31*Premissas!$F$67</f>
        <v/>
      </c>
      <c r="AU42" s="27">
        <f>AU19*Premissas!$F$55+AU25*Premissas!$F$61+AU31*Premissas!$F$67</f>
        <v/>
      </c>
      <c r="AV42" s="27">
        <f>AV19*Premissas!$F$55+AV25*Premissas!$F$61+AV31*Premissas!$F$67</f>
        <v/>
      </c>
      <c r="AW42" s="27">
        <f>AW19*Premissas!$F$55+AW25*Premissas!$F$61+AW31*Premissas!$F$67</f>
        <v/>
      </c>
      <c r="AX42" s="27">
        <f>AX19*Premissas!$F$55+AX25*Premissas!$F$61+AX31*Premissas!$F$67</f>
        <v/>
      </c>
      <c r="AY42" s="27">
        <f>AY19*Premissas!$F$55+AY25*Premissas!$F$61+AY31*Premissas!$F$67</f>
        <v/>
      </c>
      <c r="AZ42" s="27">
        <f>AZ19*Premissas!$F$55+AZ25*Premissas!$F$61+AZ31*Premissas!$F$67</f>
        <v/>
      </c>
      <c r="BA42" s="27">
        <f>BA19*Premissas!$F$55+BA25*Premissas!$F$61+BA31*Premissas!$F$67</f>
        <v/>
      </c>
      <c r="BB42" s="27">
        <f>BB19*Premissas!$F$55+BB25*Premissas!$F$61+BB31*Premissas!$F$67</f>
        <v/>
      </c>
      <c r="BC42" s="27">
        <f>BC19*Premissas!$F$55+BC25*Premissas!$F$61+BC31*Premissas!$F$67</f>
        <v/>
      </c>
      <c r="BD42" s="27">
        <f>BD19*Premissas!$F$55+BD25*Premissas!$F$61+BD31*Premissas!$F$67</f>
        <v/>
      </c>
      <c r="BE42" s="27">
        <f>BE19*Premissas!$F$55+BE25*Premissas!$F$61+BE31*Premissas!$F$67</f>
        <v/>
      </c>
      <c r="BF42" s="27">
        <f>BF19*Premissas!$F$55+BF25*Premissas!$F$61+BF31*Premissas!$F$67</f>
        <v/>
      </c>
      <c r="BG42" s="27">
        <f>BG19*Premissas!$F$55+BG25*Premissas!$F$61+BG31*Premissas!$F$67</f>
        <v/>
      </c>
      <c r="BH42" s="27">
        <f>BH19*Premissas!$F$55+BH25*Premissas!$F$61+BH31*Premissas!$F$67</f>
        <v/>
      </c>
      <c r="BI42" s="27">
        <f>BI19*Premissas!$F$55+BI25*Premissas!$F$61+BI31*Premissas!$F$67</f>
        <v/>
      </c>
      <c r="BJ42" s="27">
        <f>BJ19*Premissas!$F$55+BJ25*Premissas!$F$61+BJ31*Premissas!$F$67</f>
        <v/>
      </c>
      <c r="BK42" s="27">
        <f>BK19*Premissas!$F$55+BK25*Premissas!$F$61+BK31*Premissas!$F$67</f>
        <v/>
      </c>
      <c r="BL42" s="27">
        <f>BL19*Premissas!$F$55+BL25*Premissas!$F$61+BL31*Premissas!$F$67</f>
        <v/>
      </c>
      <c r="BM42" s="27">
        <f>BM19*Premissas!$F$55+BM25*Premissas!$F$61+BM31*Premissas!$F$67</f>
        <v/>
      </c>
      <c r="BN42" s="27">
        <f>BN19*Premissas!$F$55+BN25*Premissas!$F$61+BN31*Premissas!$F$67</f>
        <v/>
      </c>
      <c r="BO42" s="27">
        <f>BO19*Premissas!$F$55+BO25*Premissas!$F$61+BO31*Premissas!$F$67</f>
        <v/>
      </c>
      <c r="BP42" s="27">
        <f>BP19*Premissas!$F$55+BP25*Premissas!$F$61+BP31*Premissas!$F$67</f>
        <v/>
      </c>
      <c r="BQ42" s="27">
        <f>BQ19*Premissas!$F$55+BQ25*Premissas!$F$61+BQ31*Premissas!$F$67</f>
        <v/>
      </c>
      <c r="BR42" s="27">
        <f>BR19*Premissas!$F$55+BR25*Premissas!$F$61+BR31*Premissas!$F$67</f>
        <v/>
      </c>
      <c r="BS42" s="27">
        <f>BS19*Premissas!$F$55+BS25*Premissas!$F$61+BS31*Premissas!$F$67</f>
        <v/>
      </c>
      <c r="BT42" s="27">
        <f>BT19*Premissas!$F$55+BT25*Premissas!$F$61+BT31*Premissas!$F$67</f>
        <v/>
      </c>
      <c r="BU42" s="27">
        <f>BU19*Premissas!$F$55+BU25*Premissas!$F$61+BU31*Premissas!$F$67</f>
        <v/>
      </c>
      <c r="BV42" s="27">
        <f>BV19*Premissas!$F$55+BV25*Premissas!$F$61+BV31*Premissas!$F$67</f>
        <v/>
      </c>
      <c r="BW42" s="27">
        <f>BW19*Premissas!$F$55+BW25*Premissas!$F$61+BW31*Premissas!$F$67</f>
        <v/>
      </c>
      <c r="BX42" s="27">
        <f>BX19*Premissas!$F$55+BX25*Premissas!$F$61+BX31*Premissas!$F$67</f>
        <v/>
      </c>
      <c r="BY42" s="27">
        <f>BY19*Premissas!$F$55+BY25*Premissas!$F$61+BY31*Premissas!$F$67</f>
        <v/>
      </c>
      <c r="BZ42" s="27">
        <f>BZ19*Premissas!$F$55+BZ25*Premissas!$F$61+BZ31*Premissas!$F$67</f>
        <v/>
      </c>
      <c r="CA42" s="27">
        <f>CA19*Premissas!$F$55+CA25*Premissas!$F$61+CA31*Premissas!$F$67</f>
        <v/>
      </c>
      <c r="CB42" s="27">
        <f>CB19*Premissas!$F$55+CB25*Premissas!$F$61+CB31*Premissas!$F$67</f>
        <v/>
      </c>
      <c r="CC42" s="27">
        <f>CC19*Premissas!$F$55+CC25*Premissas!$F$61+CC31*Premissas!$F$67</f>
        <v/>
      </c>
      <c r="CD42" s="27">
        <f>CD19*Premissas!$F$55+CD25*Premissas!$F$61+CD31*Premissas!$F$67</f>
        <v/>
      </c>
      <c r="CE42" s="27">
        <f>CE19*Premissas!$F$55+CE25*Premissas!$F$61+CE31*Premissas!$F$67</f>
        <v/>
      </c>
      <c r="CF42" s="27">
        <f>CF19*Premissas!$F$55+CF25*Premissas!$F$61+CF31*Premissas!$F$67</f>
        <v/>
      </c>
      <c r="CG42" s="27">
        <f>CG19*Premissas!$F$55+CG25*Premissas!$F$61+CG31*Premissas!$F$67</f>
        <v/>
      </c>
      <c r="CH42" s="27">
        <f>CH19*Premissas!$F$55+CH25*Premissas!$F$61+CH31*Premissas!$F$67</f>
        <v/>
      </c>
    </row>
    <row r="43">
      <c r="A43" s="2" t="inlineStr">
        <is>
          <t>Receita bruta</t>
        </is>
      </c>
      <c r="C43" s="31">
        <f>C40+C41+C42</f>
        <v/>
      </c>
      <c r="D43" s="31">
        <f>D40+D41+D42</f>
        <v/>
      </c>
      <c r="E43" s="31">
        <f>E40+E41+E42</f>
        <v/>
      </c>
      <c r="F43" s="31">
        <f>F40+F41+F42</f>
        <v/>
      </c>
      <c r="G43" s="31">
        <f>G40+G41+G42</f>
        <v/>
      </c>
      <c r="H43" s="31">
        <f>H40+H41+H42</f>
        <v/>
      </c>
      <c r="I43" s="31">
        <f>I40+I41+I42</f>
        <v/>
      </c>
      <c r="J43" s="31">
        <f>J40+J41+J42</f>
        <v/>
      </c>
      <c r="K43" s="31">
        <f>K40+K41+K42</f>
        <v/>
      </c>
      <c r="L43" s="31">
        <f>L40+L41+L42</f>
        <v/>
      </c>
      <c r="M43" s="31">
        <f>M40+M41+M42</f>
        <v/>
      </c>
      <c r="N43" s="31">
        <f>N40+N41+N42</f>
        <v/>
      </c>
      <c r="O43" s="31">
        <f>O40+O41+O42</f>
        <v/>
      </c>
      <c r="P43" s="31">
        <f>P40+P41+P42</f>
        <v/>
      </c>
      <c r="Q43" s="31">
        <f>Q40+Q41+Q42</f>
        <v/>
      </c>
      <c r="R43" s="31">
        <f>R40+R41+R42</f>
        <v/>
      </c>
      <c r="S43" s="31">
        <f>S40+S41+S42</f>
        <v/>
      </c>
      <c r="T43" s="31">
        <f>T40+T41+T42</f>
        <v/>
      </c>
      <c r="U43" s="31">
        <f>U40+U41+U42</f>
        <v/>
      </c>
      <c r="V43" s="31">
        <f>V40+V41+V42</f>
        <v/>
      </c>
      <c r="W43" s="31">
        <f>W40+W41+W42</f>
        <v/>
      </c>
      <c r="X43" s="31">
        <f>X40+X41+X42</f>
        <v/>
      </c>
      <c r="Y43" s="31">
        <f>Y40+Y41+Y42</f>
        <v/>
      </c>
      <c r="Z43" s="31">
        <f>Z40+Z41+Z42</f>
        <v/>
      </c>
      <c r="AA43" s="31">
        <f>AA40+AA41+AA42</f>
        <v/>
      </c>
      <c r="AB43" s="31">
        <f>AB40+AB41+AB42</f>
        <v/>
      </c>
      <c r="AC43" s="31">
        <f>AC40+AC41+AC42</f>
        <v/>
      </c>
      <c r="AD43" s="31">
        <f>AD40+AD41+AD42</f>
        <v/>
      </c>
      <c r="AE43" s="31">
        <f>AE40+AE41+AE42</f>
        <v/>
      </c>
      <c r="AF43" s="31">
        <f>AF40+AF41+AF42</f>
        <v/>
      </c>
      <c r="AG43" s="31">
        <f>AG40+AG41+AG42</f>
        <v/>
      </c>
      <c r="AH43" s="31">
        <f>AH40+AH41+AH42</f>
        <v/>
      </c>
      <c r="AI43" s="31">
        <f>AI40+AI41+AI42</f>
        <v/>
      </c>
      <c r="AJ43" s="31">
        <f>AJ40+AJ41+AJ42</f>
        <v/>
      </c>
      <c r="AK43" s="31">
        <f>AK40+AK41+AK42</f>
        <v/>
      </c>
      <c r="AL43" s="31">
        <f>AL40+AL41+AL42</f>
        <v/>
      </c>
      <c r="AM43" s="31">
        <f>AM40+AM41+AM42</f>
        <v/>
      </c>
      <c r="AN43" s="31">
        <f>AN40+AN41+AN42</f>
        <v/>
      </c>
      <c r="AO43" s="31">
        <f>AO40+AO41+AO42</f>
        <v/>
      </c>
      <c r="AP43" s="31">
        <f>AP40+AP41+AP42</f>
        <v/>
      </c>
      <c r="AQ43" s="31">
        <f>AQ40+AQ41+AQ42</f>
        <v/>
      </c>
      <c r="AR43" s="31">
        <f>AR40+AR41+AR42</f>
        <v/>
      </c>
      <c r="AS43" s="31">
        <f>AS40+AS41+AS42</f>
        <v/>
      </c>
      <c r="AT43" s="31">
        <f>AT40+AT41+AT42</f>
        <v/>
      </c>
      <c r="AU43" s="31">
        <f>AU40+AU41+AU42</f>
        <v/>
      </c>
      <c r="AV43" s="31">
        <f>AV40+AV41+AV42</f>
        <v/>
      </c>
      <c r="AW43" s="31">
        <f>AW40+AW41+AW42</f>
        <v/>
      </c>
      <c r="AX43" s="31">
        <f>AX40+AX41+AX42</f>
        <v/>
      </c>
      <c r="AY43" s="31">
        <f>AY40+AY41+AY42</f>
        <v/>
      </c>
      <c r="AZ43" s="31">
        <f>AZ40+AZ41+AZ42</f>
        <v/>
      </c>
      <c r="BA43" s="31">
        <f>BA40+BA41+BA42</f>
        <v/>
      </c>
      <c r="BB43" s="31">
        <f>BB40+BB41+BB42</f>
        <v/>
      </c>
      <c r="BC43" s="31">
        <f>BC40+BC41+BC42</f>
        <v/>
      </c>
      <c r="BD43" s="31">
        <f>BD40+BD41+BD42</f>
        <v/>
      </c>
      <c r="BE43" s="31">
        <f>BE40+BE41+BE42</f>
        <v/>
      </c>
      <c r="BF43" s="31">
        <f>BF40+BF41+BF42</f>
        <v/>
      </c>
      <c r="BG43" s="31">
        <f>BG40+BG41+BG42</f>
        <v/>
      </c>
      <c r="BH43" s="31">
        <f>BH40+BH41+BH42</f>
        <v/>
      </c>
      <c r="BI43" s="31">
        <f>BI40+BI41+BI42</f>
        <v/>
      </c>
      <c r="BJ43" s="31">
        <f>BJ40+BJ41+BJ42</f>
        <v/>
      </c>
      <c r="BK43" s="31">
        <f>BK40+BK41+BK42</f>
        <v/>
      </c>
      <c r="BL43" s="31">
        <f>BL40+BL41+BL42</f>
        <v/>
      </c>
      <c r="BM43" s="31">
        <f>BM40+BM41+BM42</f>
        <v/>
      </c>
      <c r="BN43" s="31">
        <f>BN40+BN41+BN42</f>
        <v/>
      </c>
      <c r="BO43" s="31">
        <f>BO40+BO41+BO42</f>
        <v/>
      </c>
      <c r="BP43" s="31">
        <f>BP40+BP41+BP42</f>
        <v/>
      </c>
      <c r="BQ43" s="31">
        <f>BQ40+BQ41+BQ42</f>
        <v/>
      </c>
      <c r="BR43" s="31">
        <f>BR40+BR41+BR42</f>
        <v/>
      </c>
      <c r="BS43" s="31">
        <f>BS40+BS41+BS42</f>
        <v/>
      </c>
      <c r="BT43" s="31">
        <f>BT40+BT41+BT42</f>
        <v/>
      </c>
      <c r="BU43" s="31">
        <f>BU40+BU41+BU42</f>
        <v/>
      </c>
      <c r="BV43" s="31">
        <f>BV40+BV41+BV42</f>
        <v/>
      </c>
      <c r="BW43" s="31">
        <f>BW40+BW41+BW42</f>
        <v/>
      </c>
      <c r="BX43" s="31">
        <f>BX40+BX41+BX42</f>
        <v/>
      </c>
      <c r="BY43" s="31">
        <f>BY40+BY41+BY42</f>
        <v/>
      </c>
      <c r="BZ43" s="31">
        <f>BZ40+BZ41+BZ42</f>
        <v/>
      </c>
      <c r="CA43" s="31">
        <f>CA40+CA41+CA42</f>
        <v/>
      </c>
      <c r="CB43" s="31">
        <f>CB40+CB41+CB42</f>
        <v/>
      </c>
      <c r="CC43" s="31">
        <f>CC40+CC41+CC42</f>
        <v/>
      </c>
      <c r="CD43" s="31">
        <f>CD40+CD41+CD42</f>
        <v/>
      </c>
      <c r="CE43" s="31">
        <f>CE40+CE41+CE42</f>
        <v/>
      </c>
      <c r="CF43" s="31">
        <f>CF40+CF41+CF42</f>
        <v/>
      </c>
      <c r="CG43" s="31">
        <f>CG40+CG41+CG42</f>
        <v/>
      </c>
      <c r="CH43" s="31">
        <f>CH40+CH41+CH42</f>
        <v/>
      </c>
    </row>
    <row r="44">
      <c r="A44" s="3" t="inlineStr">
        <is>
          <t>Receita recorrente mensal (mensalidades + expansão)</t>
        </is>
      </c>
      <c r="C44" s="27">
        <f>C40+C41</f>
        <v/>
      </c>
      <c r="D44" s="27">
        <f>D40+D41</f>
        <v/>
      </c>
      <c r="E44" s="27">
        <f>E40+E41</f>
        <v/>
      </c>
      <c r="F44" s="27">
        <f>F40+F41</f>
        <v/>
      </c>
      <c r="G44" s="27">
        <f>G40+G41</f>
        <v/>
      </c>
      <c r="H44" s="27">
        <f>H40+H41</f>
        <v/>
      </c>
      <c r="I44" s="27">
        <f>I40+I41</f>
        <v/>
      </c>
      <c r="J44" s="27">
        <f>J40+J41</f>
        <v/>
      </c>
      <c r="K44" s="27">
        <f>K40+K41</f>
        <v/>
      </c>
      <c r="L44" s="27">
        <f>L40+L41</f>
        <v/>
      </c>
      <c r="M44" s="27">
        <f>M40+M41</f>
        <v/>
      </c>
      <c r="N44" s="27">
        <f>N40+N41</f>
        <v/>
      </c>
      <c r="O44" s="27">
        <f>O40+O41</f>
        <v/>
      </c>
      <c r="P44" s="27">
        <f>P40+P41</f>
        <v/>
      </c>
      <c r="Q44" s="27">
        <f>Q40+Q41</f>
        <v/>
      </c>
      <c r="R44" s="27">
        <f>R40+R41</f>
        <v/>
      </c>
      <c r="S44" s="27">
        <f>S40+S41</f>
        <v/>
      </c>
      <c r="T44" s="27">
        <f>T40+T41</f>
        <v/>
      </c>
      <c r="U44" s="27">
        <f>U40+U41</f>
        <v/>
      </c>
      <c r="V44" s="27">
        <f>V40+V41</f>
        <v/>
      </c>
      <c r="W44" s="27">
        <f>W40+W41</f>
        <v/>
      </c>
      <c r="X44" s="27">
        <f>X40+X41</f>
        <v/>
      </c>
      <c r="Y44" s="27">
        <f>Y40+Y41</f>
        <v/>
      </c>
      <c r="Z44" s="27">
        <f>Z40+Z41</f>
        <v/>
      </c>
      <c r="AA44" s="27">
        <f>AA40+AA41</f>
        <v/>
      </c>
      <c r="AB44" s="27">
        <f>AB40+AB41</f>
        <v/>
      </c>
      <c r="AC44" s="27">
        <f>AC40+AC41</f>
        <v/>
      </c>
      <c r="AD44" s="27">
        <f>AD40+AD41</f>
        <v/>
      </c>
      <c r="AE44" s="27">
        <f>AE40+AE41</f>
        <v/>
      </c>
      <c r="AF44" s="27">
        <f>AF40+AF41</f>
        <v/>
      </c>
      <c r="AG44" s="27">
        <f>AG40+AG41</f>
        <v/>
      </c>
      <c r="AH44" s="27">
        <f>AH40+AH41</f>
        <v/>
      </c>
      <c r="AI44" s="27">
        <f>AI40+AI41</f>
        <v/>
      </c>
      <c r="AJ44" s="27">
        <f>AJ40+AJ41</f>
        <v/>
      </c>
      <c r="AK44" s="27">
        <f>AK40+AK41</f>
        <v/>
      </c>
      <c r="AL44" s="27">
        <f>AL40+AL41</f>
        <v/>
      </c>
      <c r="AM44" s="27">
        <f>AM40+AM41</f>
        <v/>
      </c>
      <c r="AN44" s="27">
        <f>AN40+AN41</f>
        <v/>
      </c>
      <c r="AO44" s="27">
        <f>AO40+AO41</f>
        <v/>
      </c>
      <c r="AP44" s="27">
        <f>AP40+AP41</f>
        <v/>
      </c>
      <c r="AQ44" s="27">
        <f>AQ40+AQ41</f>
        <v/>
      </c>
      <c r="AR44" s="27">
        <f>AR40+AR41</f>
        <v/>
      </c>
      <c r="AS44" s="27">
        <f>AS40+AS41</f>
        <v/>
      </c>
      <c r="AT44" s="27">
        <f>AT40+AT41</f>
        <v/>
      </c>
      <c r="AU44" s="27">
        <f>AU40+AU41</f>
        <v/>
      </c>
      <c r="AV44" s="27">
        <f>AV40+AV41</f>
        <v/>
      </c>
      <c r="AW44" s="27">
        <f>AW40+AW41</f>
        <v/>
      </c>
      <c r="AX44" s="27">
        <f>AX40+AX41</f>
        <v/>
      </c>
      <c r="AY44" s="27">
        <f>AY40+AY41</f>
        <v/>
      </c>
      <c r="AZ44" s="27">
        <f>AZ40+AZ41</f>
        <v/>
      </c>
      <c r="BA44" s="27">
        <f>BA40+BA41</f>
        <v/>
      </c>
      <c r="BB44" s="27">
        <f>BB40+BB41</f>
        <v/>
      </c>
      <c r="BC44" s="27">
        <f>BC40+BC41</f>
        <v/>
      </c>
      <c r="BD44" s="27">
        <f>BD40+BD41</f>
        <v/>
      </c>
      <c r="BE44" s="27">
        <f>BE40+BE41</f>
        <v/>
      </c>
      <c r="BF44" s="27">
        <f>BF40+BF41</f>
        <v/>
      </c>
      <c r="BG44" s="27">
        <f>BG40+BG41</f>
        <v/>
      </c>
      <c r="BH44" s="27">
        <f>BH40+BH41</f>
        <v/>
      </c>
      <c r="BI44" s="27">
        <f>BI40+BI41</f>
        <v/>
      </c>
      <c r="BJ44" s="27">
        <f>BJ40+BJ41</f>
        <v/>
      </c>
      <c r="BK44" s="27">
        <f>BK40+BK41</f>
        <v/>
      </c>
      <c r="BL44" s="27">
        <f>BL40+BL41</f>
        <v/>
      </c>
      <c r="BM44" s="27">
        <f>BM40+BM41</f>
        <v/>
      </c>
      <c r="BN44" s="27">
        <f>BN40+BN41</f>
        <v/>
      </c>
      <c r="BO44" s="27">
        <f>BO40+BO41</f>
        <v/>
      </c>
      <c r="BP44" s="27">
        <f>BP40+BP41</f>
        <v/>
      </c>
      <c r="BQ44" s="27">
        <f>BQ40+BQ41</f>
        <v/>
      </c>
      <c r="BR44" s="27">
        <f>BR40+BR41</f>
        <v/>
      </c>
      <c r="BS44" s="27">
        <f>BS40+BS41</f>
        <v/>
      </c>
      <c r="BT44" s="27">
        <f>BT40+BT41</f>
        <v/>
      </c>
      <c r="BU44" s="27">
        <f>BU40+BU41</f>
        <v/>
      </c>
      <c r="BV44" s="27">
        <f>BV40+BV41</f>
        <v/>
      </c>
      <c r="BW44" s="27">
        <f>BW40+BW41</f>
        <v/>
      </c>
      <c r="BX44" s="27">
        <f>BX40+BX41</f>
        <v/>
      </c>
      <c r="BY44" s="27">
        <f>BY40+BY41</f>
        <v/>
      </c>
      <c r="BZ44" s="27">
        <f>BZ40+BZ41</f>
        <v/>
      </c>
      <c r="CA44" s="27">
        <f>CA40+CA41</f>
        <v/>
      </c>
      <c r="CB44" s="27">
        <f>CB40+CB41</f>
        <v/>
      </c>
      <c r="CC44" s="27">
        <f>CC40+CC41</f>
        <v/>
      </c>
      <c r="CD44" s="27">
        <f>CD40+CD41</f>
        <v/>
      </c>
      <c r="CE44" s="27">
        <f>CE40+CE41</f>
        <v/>
      </c>
      <c r="CF44" s="27">
        <f>CF40+CF41</f>
        <v/>
      </c>
      <c r="CG44" s="27">
        <f>CG40+CG41</f>
        <v/>
      </c>
      <c r="CH44" s="27">
        <f>CH40+CH41</f>
        <v/>
      </c>
    </row>
    <row r="45">
      <c r="A45" s="2" t="inlineStr">
        <is>
          <t>Receita recorrente anualizada (MRR × 12)</t>
        </is>
      </c>
      <c r="C45" s="31">
        <f>C44*12</f>
        <v/>
      </c>
      <c r="D45" s="31">
        <f>D44*12</f>
        <v/>
      </c>
      <c r="E45" s="31">
        <f>E44*12</f>
        <v/>
      </c>
      <c r="F45" s="31">
        <f>F44*12</f>
        <v/>
      </c>
      <c r="G45" s="31">
        <f>G44*12</f>
        <v/>
      </c>
      <c r="H45" s="31">
        <f>H44*12</f>
        <v/>
      </c>
      <c r="I45" s="31">
        <f>I44*12</f>
        <v/>
      </c>
      <c r="J45" s="31">
        <f>J44*12</f>
        <v/>
      </c>
      <c r="K45" s="31">
        <f>K44*12</f>
        <v/>
      </c>
      <c r="L45" s="31">
        <f>L44*12</f>
        <v/>
      </c>
      <c r="M45" s="31">
        <f>M44*12</f>
        <v/>
      </c>
      <c r="N45" s="31">
        <f>N44*12</f>
        <v/>
      </c>
      <c r="O45" s="31">
        <f>O44*12</f>
        <v/>
      </c>
      <c r="P45" s="31">
        <f>P44*12</f>
        <v/>
      </c>
      <c r="Q45" s="31">
        <f>Q44*12</f>
        <v/>
      </c>
      <c r="R45" s="31">
        <f>R44*12</f>
        <v/>
      </c>
      <c r="S45" s="31">
        <f>S44*12</f>
        <v/>
      </c>
      <c r="T45" s="31">
        <f>T44*12</f>
        <v/>
      </c>
      <c r="U45" s="31">
        <f>U44*12</f>
        <v/>
      </c>
      <c r="V45" s="31">
        <f>V44*12</f>
        <v/>
      </c>
      <c r="W45" s="31">
        <f>W44*12</f>
        <v/>
      </c>
      <c r="X45" s="31">
        <f>X44*12</f>
        <v/>
      </c>
      <c r="Y45" s="31">
        <f>Y44*12</f>
        <v/>
      </c>
      <c r="Z45" s="31">
        <f>Z44*12</f>
        <v/>
      </c>
      <c r="AA45" s="31">
        <f>AA44*12</f>
        <v/>
      </c>
      <c r="AB45" s="31">
        <f>AB44*12</f>
        <v/>
      </c>
      <c r="AC45" s="31">
        <f>AC44*12</f>
        <v/>
      </c>
      <c r="AD45" s="31">
        <f>AD44*12</f>
        <v/>
      </c>
      <c r="AE45" s="31">
        <f>AE44*12</f>
        <v/>
      </c>
      <c r="AF45" s="31">
        <f>AF44*12</f>
        <v/>
      </c>
      <c r="AG45" s="31">
        <f>AG44*12</f>
        <v/>
      </c>
      <c r="AH45" s="31">
        <f>AH44*12</f>
        <v/>
      </c>
      <c r="AI45" s="31">
        <f>AI44*12</f>
        <v/>
      </c>
      <c r="AJ45" s="31">
        <f>AJ44*12</f>
        <v/>
      </c>
      <c r="AK45" s="31">
        <f>AK44*12</f>
        <v/>
      </c>
      <c r="AL45" s="31">
        <f>AL44*12</f>
        <v/>
      </c>
      <c r="AM45" s="31">
        <f>AM44*12</f>
        <v/>
      </c>
      <c r="AN45" s="31">
        <f>AN44*12</f>
        <v/>
      </c>
      <c r="AO45" s="31">
        <f>AO44*12</f>
        <v/>
      </c>
      <c r="AP45" s="31">
        <f>AP44*12</f>
        <v/>
      </c>
      <c r="AQ45" s="31">
        <f>AQ44*12</f>
        <v/>
      </c>
      <c r="AR45" s="31">
        <f>AR44*12</f>
        <v/>
      </c>
      <c r="AS45" s="31">
        <f>AS44*12</f>
        <v/>
      </c>
      <c r="AT45" s="31">
        <f>AT44*12</f>
        <v/>
      </c>
      <c r="AU45" s="31">
        <f>AU44*12</f>
        <v/>
      </c>
      <c r="AV45" s="31">
        <f>AV44*12</f>
        <v/>
      </c>
      <c r="AW45" s="31">
        <f>AW44*12</f>
        <v/>
      </c>
      <c r="AX45" s="31">
        <f>AX44*12</f>
        <v/>
      </c>
      <c r="AY45" s="31">
        <f>AY44*12</f>
        <v/>
      </c>
      <c r="AZ45" s="31">
        <f>AZ44*12</f>
        <v/>
      </c>
      <c r="BA45" s="31">
        <f>BA44*12</f>
        <v/>
      </c>
      <c r="BB45" s="31">
        <f>BB44*12</f>
        <v/>
      </c>
      <c r="BC45" s="31">
        <f>BC44*12</f>
        <v/>
      </c>
      <c r="BD45" s="31">
        <f>BD44*12</f>
        <v/>
      </c>
      <c r="BE45" s="31">
        <f>BE44*12</f>
        <v/>
      </c>
      <c r="BF45" s="31">
        <f>BF44*12</f>
        <v/>
      </c>
      <c r="BG45" s="31">
        <f>BG44*12</f>
        <v/>
      </c>
      <c r="BH45" s="31">
        <f>BH44*12</f>
        <v/>
      </c>
      <c r="BI45" s="31">
        <f>BI44*12</f>
        <v/>
      </c>
      <c r="BJ45" s="31">
        <f>BJ44*12</f>
        <v/>
      </c>
      <c r="BK45" s="31">
        <f>BK44*12</f>
        <v/>
      </c>
      <c r="BL45" s="31">
        <f>BL44*12</f>
        <v/>
      </c>
      <c r="BM45" s="31">
        <f>BM44*12</f>
        <v/>
      </c>
      <c r="BN45" s="31">
        <f>BN44*12</f>
        <v/>
      </c>
      <c r="BO45" s="31">
        <f>BO44*12</f>
        <v/>
      </c>
      <c r="BP45" s="31">
        <f>BP44*12</f>
        <v/>
      </c>
      <c r="BQ45" s="31">
        <f>BQ44*12</f>
        <v/>
      </c>
      <c r="BR45" s="31">
        <f>BR44*12</f>
        <v/>
      </c>
      <c r="BS45" s="31">
        <f>BS44*12</f>
        <v/>
      </c>
      <c r="BT45" s="31">
        <f>BT44*12</f>
        <v/>
      </c>
      <c r="BU45" s="31">
        <f>BU44*12</f>
        <v/>
      </c>
      <c r="BV45" s="31">
        <f>BV44*12</f>
        <v/>
      </c>
      <c r="BW45" s="31">
        <f>BW44*12</f>
        <v/>
      </c>
      <c r="BX45" s="31">
        <f>BX44*12</f>
        <v/>
      </c>
      <c r="BY45" s="31">
        <f>BY44*12</f>
        <v/>
      </c>
      <c r="BZ45" s="31">
        <f>BZ44*12</f>
        <v/>
      </c>
      <c r="CA45" s="31">
        <f>CA44*12</f>
        <v/>
      </c>
      <c r="CB45" s="31">
        <f>CB44*12</f>
        <v/>
      </c>
      <c r="CC45" s="31">
        <f>CC44*12</f>
        <v/>
      </c>
      <c r="CD45" s="31">
        <f>CD44*12</f>
        <v/>
      </c>
      <c r="CE45" s="31">
        <f>CE44*12</f>
        <v/>
      </c>
      <c r="CF45" s="31">
        <f>CF44*12</f>
        <v/>
      </c>
      <c r="CG45" s="31">
        <f>CG44*12</f>
        <v/>
      </c>
      <c r="CH45" s="31">
        <f>CH44*12</f>
        <v/>
      </c>
    </row>
    <row r="46">
      <c r="A46" s="3" t="inlineStr">
        <is>
          <t>Mensalidade média por clínica</t>
        </is>
      </c>
      <c r="C46" s="27">
        <f>IF(C36&gt;0,C44/C36,0)</f>
        <v/>
      </c>
      <c r="D46" s="27">
        <f>IF(D36&gt;0,D44/D36,0)</f>
        <v/>
      </c>
      <c r="E46" s="27">
        <f>IF(E36&gt;0,E44/E36,0)</f>
        <v/>
      </c>
      <c r="F46" s="27">
        <f>IF(F36&gt;0,F44/F36,0)</f>
        <v/>
      </c>
      <c r="G46" s="27">
        <f>IF(G36&gt;0,G44/G36,0)</f>
        <v/>
      </c>
      <c r="H46" s="27">
        <f>IF(H36&gt;0,H44/H36,0)</f>
        <v/>
      </c>
      <c r="I46" s="27">
        <f>IF(I36&gt;0,I44/I36,0)</f>
        <v/>
      </c>
      <c r="J46" s="27">
        <f>IF(J36&gt;0,J44/J36,0)</f>
        <v/>
      </c>
      <c r="K46" s="27">
        <f>IF(K36&gt;0,K44/K36,0)</f>
        <v/>
      </c>
      <c r="L46" s="27">
        <f>IF(L36&gt;0,L44/L36,0)</f>
        <v/>
      </c>
      <c r="M46" s="27">
        <f>IF(M36&gt;0,M44/M36,0)</f>
        <v/>
      </c>
      <c r="N46" s="27">
        <f>IF(N36&gt;0,N44/N36,0)</f>
        <v/>
      </c>
      <c r="O46" s="27">
        <f>IF(O36&gt;0,O44/O36,0)</f>
        <v/>
      </c>
      <c r="P46" s="27">
        <f>IF(P36&gt;0,P44/P36,0)</f>
        <v/>
      </c>
      <c r="Q46" s="27">
        <f>IF(Q36&gt;0,Q44/Q36,0)</f>
        <v/>
      </c>
      <c r="R46" s="27">
        <f>IF(R36&gt;0,R44/R36,0)</f>
        <v/>
      </c>
      <c r="S46" s="27">
        <f>IF(S36&gt;0,S44/S36,0)</f>
        <v/>
      </c>
      <c r="T46" s="27">
        <f>IF(T36&gt;0,T44/T36,0)</f>
        <v/>
      </c>
      <c r="U46" s="27">
        <f>IF(U36&gt;0,U44/U36,0)</f>
        <v/>
      </c>
      <c r="V46" s="27">
        <f>IF(V36&gt;0,V44/V36,0)</f>
        <v/>
      </c>
      <c r="W46" s="27">
        <f>IF(W36&gt;0,W44/W36,0)</f>
        <v/>
      </c>
      <c r="X46" s="27">
        <f>IF(X36&gt;0,X44/X36,0)</f>
        <v/>
      </c>
      <c r="Y46" s="27">
        <f>IF(Y36&gt;0,Y44/Y36,0)</f>
        <v/>
      </c>
      <c r="Z46" s="27">
        <f>IF(Z36&gt;0,Z44/Z36,0)</f>
        <v/>
      </c>
      <c r="AA46" s="27">
        <f>IF(AA36&gt;0,AA44/AA36,0)</f>
        <v/>
      </c>
      <c r="AB46" s="27">
        <f>IF(AB36&gt;0,AB44/AB36,0)</f>
        <v/>
      </c>
      <c r="AC46" s="27">
        <f>IF(AC36&gt;0,AC44/AC36,0)</f>
        <v/>
      </c>
      <c r="AD46" s="27">
        <f>IF(AD36&gt;0,AD44/AD36,0)</f>
        <v/>
      </c>
      <c r="AE46" s="27">
        <f>IF(AE36&gt;0,AE44/AE36,0)</f>
        <v/>
      </c>
      <c r="AF46" s="27">
        <f>IF(AF36&gt;0,AF44/AF36,0)</f>
        <v/>
      </c>
      <c r="AG46" s="27">
        <f>IF(AG36&gt;0,AG44/AG36,0)</f>
        <v/>
      </c>
      <c r="AH46" s="27">
        <f>IF(AH36&gt;0,AH44/AH36,0)</f>
        <v/>
      </c>
      <c r="AI46" s="27">
        <f>IF(AI36&gt;0,AI44/AI36,0)</f>
        <v/>
      </c>
      <c r="AJ46" s="27">
        <f>IF(AJ36&gt;0,AJ44/AJ36,0)</f>
        <v/>
      </c>
      <c r="AK46" s="27">
        <f>IF(AK36&gt;0,AK44/AK36,0)</f>
        <v/>
      </c>
      <c r="AL46" s="27">
        <f>IF(AL36&gt;0,AL44/AL36,0)</f>
        <v/>
      </c>
      <c r="AM46" s="27">
        <f>IF(AM36&gt;0,AM44/AM36,0)</f>
        <v/>
      </c>
      <c r="AN46" s="27">
        <f>IF(AN36&gt;0,AN44/AN36,0)</f>
        <v/>
      </c>
      <c r="AO46" s="27">
        <f>IF(AO36&gt;0,AO44/AO36,0)</f>
        <v/>
      </c>
      <c r="AP46" s="27">
        <f>IF(AP36&gt;0,AP44/AP36,0)</f>
        <v/>
      </c>
      <c r="AQ46" s="27">
        <f>IF(AQ36&gt;0,AQ44/AQ36,0)</f>
        <v/>
      </c>
      <c r="AR46" s="27">
        <f>IF(AR36&gt;0,AR44/AR36,0)</f>
        <v/>
      </c>
      <c r="AS46" s="27">
        <f>IF(AS36&gt;0,AS44/AS36,0)</f>
        <v/>
      </c>
      <c r="AT46" s="27">
        <f>IF(AT36&gt;0,AT44/AT36,0)</f>
        <v/>
      </c>
      <c r="AU46" s="27">
        <f>IF(AU36&gt;0,AU44/AU36,0)</f>
        <v/>
      </c>
      <c r="AV46" s="27">
        <f>IF(AV36&gt;0,AV44/AV36,0)</f>
        <v/>
      </c>
      <c r="AW46" s="27">
        <f>IF(AW36&gt;0,AW44/AW36,0)</f>
        <v/>
      </c>
      <c r="AX46" s="27">
        <f>IF(AX36&gt;0,AX44/AX36,0)</f>
        <v/>
      </c>
      <c r="AY46" s="27">
        <f>IF(AY36&gt;0,AY44/AY36,0)</f>
        <v/>
      </c>
      <c r="AZ46" s="27">
        <f>IF(AZ36&gt;0,AZ44/AZ36,0)</f>
        <v/>
      </c>
      <c r="BA46" s="27">
        <f>IF(BA36&gt;0,BA44/BA36,0)</f>
        <v/>
      </c>
      <c r="BB46" s="27">
        <f>IF(BB36&gt;0,BB44/BB36,0)</f>
        <v/>
      </c>
      <c r="BC46" s="27">
        <f>IF(BC36&gt;0,BC44/BC36,0)</f>
        <v/>
      </c>
      <c r="BD46" s="27">
        <f>IF(BD36&gt;0,BD44/BD36,0)</f>
        <v/>
      </c>
      <c r="BE46" s="27">
        <f>IF(BE36&gt;0,BE44/BE36,0)</f>
        <v/>
      </c>
      <c r="BF46" s="27">
        <f>IF(BF36&gt;0,BF44/BF36,0)</f>
        <v/>
      </c>
      <c r="BG46" s="27">
        <f>IF(BG36&gt;0,BG44/BG36,0)</f>
        <v/>
      </c>
      <c r="BH46" s="27">
        <f>IF(BH36&gt;0,BH44/BH36,0)</f>
        <v/>
      </c>
      <c r="BI46" s="27">
        <f>IF(BI36&gt;0,BI44/BI36,0)</f>
        <v/>
      </c>
      <c r="BJ46" s="27">
        <f>IF(BJ36&gt;0,BJ44/BJ36,0)</f>
        <v/>
      </c>
      <c r="BK46" s="27">
        <f>IF(BK36&gt;0,BK44/BK36,0)</f>
        <v/>
      </c>
      <c r="BL46" s="27">
        <f>IF(BL36&gt;0,BL44/BL36,0)</f>
        <v/>
      </c>
      <c r="BM46" s="27">
        <f>IF(BM36&gt;0,BM44/BM36,0)</f>
        <v/>
      </c>
      <c r="BN46" s="27">
        <f>IF(BN36&gt;0,BN44/BN36,0)</f>
        <v/>
      </c>
      <c r="BO46" s="27">
        <f>IF(BO36&gt;0,BO44/BO36,0)</f>
        <v/>
      </c>
      <c r="BP46" s="27">
        <f>IF(BP36&gt;0,BP44/BP36,0)</f>
        <v/>
      </c>
      <c r="BQ46" s="27">
        <f>IF(BQ36&gt;0,BQ44/BQ36,0)</f>
        <v/>
      </c>
      <c r="BR46" s="27">
        <f>IF(BR36&gt;0,BR44/BR36,0)</f>
        <v/>
      </c>
      <c r="BS46" s="27">
        <f>IF(BS36&gt;0,BS44/BS36,0)</f>
        <v/>
      </c>
      <c r="BT46" s="27">
        <f>IF(BT36&gt;0,BT44/BT36,0)</f>
        <v/>
      </c>
      <c r="BU46" s="27">
        <f>IF(BU36&gt;0,BU44/BU36,0)</f>
        <v/>
      </c>
      <c r="BV46" s="27">
        <f>IF(BV36&gt;0,BV44/BV36,0)</f>
        <v/>
      </c>
      <c r="BW46" s="27">
        <f>IF(BW36&gt;0,BW44/BW36,0)</f>
        <v/>
      </c>
      <c r="BX46" s="27">
        <f>IF(BX36&gt;0,BX44/BX36,0)</f>
        <v/>
      </c>
      <c r="BY46" s="27">
        <f>IF(BY36&gt;0,BY44/BY36,0)</f>
        <v/>
      </c>
      <c r="BZ46" s="27">
        <f>IF(BZ36&gt;0,BZ44/BZ36,0)</f>
        <v/>
      </c>
      <c r="CA46" s="27">
        <f>IF(CA36&gt;0,CA44/CA36,0)</f>
        <v/>
      </c>
      <c r="CB46" s="27">
        <f>IF(CB36&gt;0,CB44/CB36,0)</f>
        <v/>
      </c>
      <c r="CC46" s="27">
        <f>IF(CC36&gt;0,CC44/CC36,0)</f>
        <v/>
      </c>
      <c r="CD46" s="27">
        <f>IF(CD36&gt;0,CD44/CD36,0)</f>
        <v/>
      </c>
      <c r="CE46" s="27">
        <f>IF(CE36&gt;0,CE44/CE36,0)</f>
        <v/>
      </c>
      <c r="CF46" s="27">
        <f>IF(CF36&gt;0,CF44/CF36,0)</f>
        <v/>
      </c>
      <c r="CG46" s="27">
        <f>IF(CG36&gt;0,CG44/CG36,0)</f>
        <v/>
      </c>
      <c r="CH46" s="27">
        <f>IF(CH36&gt;0,CH44/CH36,0)</f>
        <v/>
      </c>
    </row>
    <row r="47">
      <c r="A47" s="3" t="inlineStr">
        <is>
          <t>Impostos sobre a receita</t>
        </is>
      </c>
      <c r="C47" s="27">
        <f>C43*IF(SUMIFS($C$43:$CH$43,$C$2:$CH$2,"&gt;="&amp;(C2-12),$C$2:$CH$2,"&lt;"&amp;C2)&gt;4800000,Premissas!$F$10,Premissas!$F$9)</f>
        <v/>
      </c>
      <c r="D47" s="27">
        <f>D43*IF(SUMIFS($C$43:$CH$43,$C$2:$CH$2,"&gt;="&amp;(D2-12),$C$2:$CH$2,"&lt;"&amp;D2)&gt;4800000,Premissas!$F$10,Premissas!$F$9)</f>
        <v/>
      </c>
      <c r="E47" s="27">
        <f>E43*IF(SUMIFS($C$43:$CH$43,$C$2:$CH$2,"&gt;="&amp;(E2-12),$C$2:$CH$2,"&lt;"&amp;E2)&gt;4800000,Premissas!$F$10,Premissas!$F$9)</f>
        <v/>
      </c>
      <c r="F47" s="27">
        <f>F43*IF(SUMIFS($C$43:$CH$43,$C$2:$CH$2,"&gt;="&amp;(F2-12),$C$2:$CH$2,"&lt;"&amp;F2)&gt;4800000,Premissas!$F$10,Premissas!$F$9)</f>
        <v/>
      </c>
      <c r="G47" s="27">
        <f>G43*IF(SUMIFS($C$43:$CH$43,$C$2:$CH$2,"&gt;="&amp;(G2-12),$C$2:$CH$2,"&lt;"&amp;G2)&gt;4800000,Premissas!$F$10,Premissas!$F$9)</f>
        <v/>
      </c>
      <c r="H47" s="27">
        <f>H43*IF(SUMIFS($C$43:$CH$43,$C$2:$CH$2,"&gt;="&amp;(H2-12),$C$2:$CH$2,"&lt;"&amp;H2)&gt;4800000,Premissas!$F$10,Premissas!$F$9)</f>
        <v/>
      </c>
      <c r="I47" s="27">
        <f>I43*IF(SUMIFS($C$43:$CH$43,$C$2:$CH$2,"&gt;="&amp;(I2-12),$C$2:$CH$2,"&lt;"&amp;I2)&gt;4800000,Premissas!$F$10,Premissas!$F$9)</f>
        <v/>
      </c>
      <c r="J47" s="27">
        <f>J43*IF(SUMIFS($C$43:$CH$43,$C$2:$CH$2,"&gt;="&amp;(J2-12),$C$2:$CH$2,"&lt;"&amp;J2)&gt;4800000,Premissas!$F$10,Premissas!$F$9)</f>
        <v/>
      </c>
      <c r="K47" s="27">
        <f>K43*IF(SUMIFS($C$43:$CH$43,$C$2:$CH$2,"&gt;="&amp;(K2-12),$C$2:$CH$2,"&lt;"&amp;K2)&gt;4800000,Premissas!$F$10,Premissas!$F$9)</f>
        <v/>
      </c>
      <c r="L47" s="27">
        <f>L43*IF(SUMIFS($C$43:$CH$43,$C$2:$CH$2,"&gt;="&amp;(L2-12),$C$2:$CH$2,"&lt;"&amp;L2)&gt;4800000,Premissas!$F$10,Premissas!$F$9)</f>
        <v/>
      </c>
      <c r="M47" s="27">
        <f>M43*IF(SUMIFS($C$43:$CH$43,$C$2:$CH$2,"&gt;="&amp;(M2-12),$C$2:$CH$2,"&lt;"&amp;M2)&gt;4800000,Premissas!$F$10,Premissas!$F$9)</f>
        <v/>
      </c>
      <c r="N47" s="27">
        <f>N43*IF(SUMIFS($C$43:$CH$43,$C$2:$CH$2,"&gt;="&amp;(N2-12),$C$2:$CH$2,"&lt;"&amp;N2)&gt;4800000,Premissas!$F$10,Premissas!$F$9)</f>
        <v/>
      </c>
      <c r="O47" s="27">
        <f>O43*IF(SUMIFS($C$43:$CH$43,$C$2:$CH$2,"&gt;="&amp;(O2-12),$C$2:$CH$2,"&lt;"&amp;O2)&gt;4800000,Premissas!$F$10,Premissas!$F$9)</f>
        <v/>
      </c>
      <c r="P47" s="27">
        <f>P43*IF(SUMIFS($C$43:$CH$43,$C$2:$CH$2,"&gt;="&amp;(P2-12),$C$2:$CH$2,"&lt;"&amp;P2)&gt;4800000,Premissas!$F$10,Premissas!$F$9)</f>
        <v/>
      </c>
      <c r="Q47" s="27">
        <f>Q43*IF(SUMIFS($C$43:$CH$43,$C$2:$CH$2,"&gt;="&amp;(Q2-12),$C$2:$CH$2,"&lt;"&amp;Q2)&gt;4800000,Premissas!$F$10,Premissas!$F$9)</f>
        <v/>
      </c>
      <c r="R47" s="27">
        <f>R43*IF(SUMIFS($C$43:$CH$43,$C$2:$CH$2,"&gt;="&amp;(R2-12),$C$2:$CH$2,"&lt;"&amp;R2)&gt;4800000,Premissas!$F$10,Premissas!$F$9)</f>
        <v/>
      </c>
      <c r="S47" s="27">
        <f>S43*IF(SUMIFS($C$43:$CH$43,$C$2:$CH$2,"&gt;="&amp;(S2-12),$C$2:$CH$2,"&lt;"&amp;S2)&gt;4800000,Premissas!$F$10,Premissas!$F$9)</f>
        <v/>
      </c>
      <c r="T47" s="27">
        <f>T43*IF(SUMIFS($C$43:$CH$43,$C$2:$CH$2,"&gt;="&amp;(T2-12),$C$2:$CH$2,"&lt;"&amp;T2)&gt;4800000,Premissas!$F$10,Premissas!$F$9)</f>
        <v/>
      </c>
      <c r="U47" s="27">
        <f>U43*IF(SUMIFS($C$43:$CH$43,$C$2:$CH$2,"&gt;="&amp;(U2-12),$C$2:$CH$2,"&lt;"&amp;U2)&gt;4800000,Premissas!$F$10,Premissas!$F$9)</f>
        <v/>
      </c>
      <c r="V47" s="27">
        <f>V43*IF(SUMIFS($C$43:$CH$43,$C$2:$CH$2,"&gt;="&amp;(V2-12),$C$2:$CH$2,"&lt;"&amp;V2)&gt;4800000,Premissas!$F$10,Premissas!$F$9)</f>
        <v/>
      </c>
      <c r="W47" s="27">
        <f>W43*IF(SUMIFS($C$43:$CH$43,$C$2:$CH$2,"&gt;="&amp;(W2-12),$C$2:$CH$2,"&lt;"&amp;W2)&gt;4800000,Premissas!$F$10,Premissas!$F$9)</f>
        <v/>
      </c>
      <c r="X47" s="27">
        <f>X43*IF(SUMIFS($C$43:$CH$43,$C$2:$CH$2,"&gt;="&amp;(X2-12),$C$2:$CH$2,"&lt;"&amp;X2)&gt;4800000,Premissas!$F$10,Premissas!$F$9)</f>
        <v/>
      </c>
      <c r="Y47" s="27">
        <f>Y43*IF(SUMIFS($C$43:$CH$43,$C$2:$CH$2,"&gt;="&amp;(Y2-12),$C$2:$CH$2,"&lt;"&amp;Y2)&gt;4800000,Premissas!$F$10,Premissas!$F$9)</f>
        <v/>
      </c>
      <c r="Z47" s="27">
        <f>Z43*IF(SUMIFS($C$43:$CH$43,$C$2:$CH$2,"&gt;="&amp;(Z2-12),$C$2:$CH$2,"&lt;"&amp;Z2)&gt;4800000,Premissas!$F$10,Premissas!$F$9)</f>
        <v/>
      </c>
      <c r="AA47" s="27">
        <f>AA43*IF(SUMIFS($C$43:$CH$43,$C$2:$CH$2,"&gt;="&amp;(AA2-12),$C$2:$CH$2,"&lt;"&amp;AA2)&gt;4800000,Premissas!$F$10,Premissas!$F$9)</f>
        <v/>
      </c>
      <c r="AB47" s="27">
        <f>AB43*IF(SUMIFS($C$43:$CH$43,$C$2:$CH$2,"&gt;="&amp;(AB2-12),$C$2:$CH$2,"&lt;"&amp;AB2)&gt;4800000,Premissas!$F$10,Premissas!$F$9)</f>
        <v/>
      </c>
      <c r="AC47" s="27">
        <f>AC43*IF(SUMIFS($C$43:$CH$43,$C$2:$CH$2,"&gt;="&amp;(AC2-12),$C$2:$CH$2,"&lt;"&amp;AC2)&gt;4800000,Premissas!$F$10,Premissas!$F$9)</f>
        <v/>
      </c>
      <c r="AD47" s="27">
        <f>AD43*IF(SUMIFS($C$43:$CH$43,$C$2:$CH$2,"&gt;="&amp;(AD2-12),$C$2:$CH$2,"&lt;"&amp;AD2)&gt;4800000,Premissas!$F$10,Premissas!$F$9)</f>
        <v/>
      </c>
      <c r="AE47" s="27">
        <f>AE43*IF(SUMIFS($C$43:$CH$43,$C$2:$CH$2,"&gt;="&amp;(AE2-12),$C$2:$CH$2,"&lt;"&amp;AE2)&gt;4800000,Premissas!$F$10,Premissas!$F$9)</f>
        <v/>
      </c>
      <c r="AF47" s="27">
        <f>AF43*IF(SUMIFS($C$43:$CH$43,$C$2:$CH$2,"&gt;="&amp;(AF2-12),$C$2:$CH$2,"&lt;"&amp;AF2)&gt;4800000,Premissas!$F$10,Premissas!$F$9)</f>
        <v/>
      </c>
      <c r="AG47" s="27">
        <f>AG43*IF(SUMIFS($C$43:$CH$43,$C$2:$CH$2,"&gt;="&amp;(AG2-12),$C$2:$CH$2,"&lt;"&amp;AG2)&gt;4800000,Premissas!$F$10,Premissas!$F$9)</f>
        <v/>
      </c>
      <c r="AH47" s="27">
        <f>AH43*IF(SUMIFS($C$43:$CH$43,$C$2:$CH$2,"&gt;="&amp;(AH2-12),$C$2:$CH$2,"&lt;"&amp;AH2)&gt;4800000,Premissas!$F$10,Premissas!$F$9)</f>
        <v/>
      </c>
      <c r="AI47" s="27">
        <f>AI43*IF(SUMIFS($C$43:$CH$43,$C$2:$CH$2,"&gt;="&amp;(AI2-12),$C$2:$CH$2,"&lt;"&amp;AI2)&gt;4800000,Premissas!$F$10,Premissas!$F$9)</f>
        <v/>
      </c>
      <c r="AJ47" s="27">
        <f>AJ43*IF(SUMIFS($C$43:$CH$43,$C$2:$CH$2,"&gt;="&amp;(AJ2-12),$C$2:$CH$2,"&lt;"&amp;AJ2)&gt;4800000,Premissas!$F$10,Premissas!$F$9)</f>
        <v/>
      </c>
      <c r="AK47" s="27">
        <f>AK43*IF(SUMIFS($C$43:$CH$43,$C$2:$CH$2,"&gt;="&amp;(AK2-12),$C$2:$CH$2,"&lt;"&amp;AK2)&gt;4800000,Premissas!$F$10,Premissas!$F$9)</f>
        <v/>
      </c>
      <c r="AL47" s="27">
        <f>AL43*IF(SUMIFS($C$43:$CH$43,$C$2:$CH$2,"&gt;="&amp;(AL2-12),$C$2:$CH$2,"&lt;"&amp;AL2)&gt;4800000,Premissas!$F$10,Premissas!$F$9)</f>
        <v/>
      </c>
      <c r="AM47" s="27">
        <f>AM43*IF(SUMIFS($C$43:$CH$43,$C$2:$CH$2,"&gt;="&amp;(AM2-12),$C$2:$CH$2,"&lt;"&amp;AM2)&gt;4800000,Premissas!$F$10,Premissas!$F$9)</f>
        <v/>
      </c>
      <c r="AN47" s="27">
        <f>AN43*IF(SUMIFS($C$43:$CH$43,$C$2:$CH$2,"&gt;="&amp;(AN2-12),$C$2:$CH$2,"&lt;"&amp;AN2)&gt;4800000,Premissas!$F$10,Premissas!$F$9)</f>
        <v/>
      </c>
      <c r="AO47" s="27">
        <f>AO43*IF(SUMIFS($C$43:$CH$43,$C$2:$CH$2,"&gt;="&amp;(AO2-12),$C$2:$CH$2,"&lt;"&amp;AO2)&gt;4800000,Premissas!$F$10,Premissas!$F$9)</f>
        <v/>
      </c>
      <c r="AP47" s="27">
        <f>AP43*IF(SUMIFS($C$43:$CH$43,$C$2:$CH$2,"&gt;="&amp;(AP2-12),$C$2:$CH$2,"&lt;"&amp;AP2)&gt;4800000,Premissas!$F$10,Premissas!$F$9)</f>
        <v/>
      </c>
      <c r="AQ47" s="27">
        <f>AQ43*IF(SUMIFS($C$43:$CH$43,$C$2:$CH$2,"&gt;="&amp;(AQ2-12),$C$2:$CH$2,"&lt;"&amp;AQ2)&gt;4800000,Premissas!$F$10,Premissas!$F$9)</f>
        <v/>
      </c>
      <c r="AR47" s="27">
        <f>AR43*IF(SUMIFS($C$43:$CH$43,$C$2:$CH$2,"&gt;="&amp;(AR2-12),$C$2:$CH$2,"&lt;"&amp;AR2)&gt;4800000,Premissas!$F$10,Premissas!$F$9)</f>
        <v/>
      </c>
      <c r="AS47" s="27">
        <f>AS43*IF(SUMIFS($C$43:$CH$43,$C$2:$CH$2,"&gt;="&amp;(AS2-12),$C$2:$CH$2,"&lt;"&amp;AS2)&gt;4800000,Premissas!$F$10,Premissas!$F$9)</f>
        <v/>
      </c>
      <c r="AT47" s="27">
        <f>AT43*IF(SUMIFS($C$43:$CH$43,$C$2:$CH$2,"&gt;="&amp;(AT2-12),$C$2:$CH$2,"&lt;"&amp;AT2)&gt;4800000,Premissas!$F$10,Premissas!$F$9)</f>
        <v/>
      </c>
      <c r="AU47" s="27">
        <f>AU43*IF(SUMIFS($C$43:$CH$43,$C$2:$CH$2,"&gt;="&amp;(AU2-12),$C$2:$CH$2,"&lt;"&amp;AU2)&gt;4800000,Premissas!$F$10,Premissas!$F$9)</f>
        <v/>
      </c>
      <c r="AV47" s="27">
        <f>AV43*IF(SUMIFS($C$43:$CH$43,$C$2:$CH$2,"&gt;="&amp;(AV2-12),$C$2:$CH$2,"&lt;"&amp;AV2)&gt;4800000,Premissas!$F$10,Premissas!$F$9)</f>
        <v/>
      </c>
      <c r="AW47" s="27">
        <f>AW43*IF(SUMIFS($C$43:$CH$43,$C$2:$CH$2,"&gt;="&amp;(AW2-12),$C$2:$CH$2,"&lt;"&amp;AW2)&gt;4800000,Premissas!$F$10,Premissas!$F$9)</f>
        <v/>
      </c>
      <c r="AX47" s="27">
        <f>AX43*IF(SUMIFS($C$43:$CH$43,$C$2:$CH$2,"&gt;="&amp;(AX2-12),$C$2:$CH$2,"&lt;"&amp;AX2)&gt;4800000,Premissas!$F$10,Premissas!$F$9)</f>
        <v/>
      </c>
      <c r="AY47" s="27">
        <f>AY43*IF(SUMIFS($C$43:$CH$43,$C$2:$CH$2,"&gt;="&amp;(AY2-12),$C$2:$CH$2,"&lt;"&amp;AY2)&gt;4800000,Premissas!$F$10,Premissas!$F$9)</f>
        <v/>
      </c>
      <c r="AZ47" s="27">
        <f>AZ43*IF(SUMIFS($C$43:$CH$43,$C$2:$CH$2,"&gt;="&amp;(AZ2-12),$C$2:$CH$2,"&lt;"&amp;AZ2)&gt;4800000,Premissas!$F$10,Premissas!$F$9)</f>
        <v/>
      </c>
      <c r="BA47" s="27">
        <f>BA43*IF(SUMIFS($C$43:$CH$43,$C$2:$CH$2,"&gt;="&amp;(BA2-12),$C$2:$CH$2,"&lt;"&amp;BA2)&gt;4800000,Premissas!$F$10,Premissas!$F$9)</f>
        <v/>
      </c>
      <c r="BB47" s="27">
        <f>BB43*IF(SUMIFS($C$43:$CH$43,$C$2:$CH$2,"&gt;="&amp;(BB2-12),$C$2:$CH$2,"&lt;"&amp;BB2)&gt;4800000,Premissas!$F$10,Premissas!$F$9)</f>
        <v/>
      </c>
      <c r="BC47" s="27">
        <f>BC43*IF(SUMIFS($C$43:$CH$43,$C$2:$CH$2,"&gt;="&amp;(BC2-12),$C$2:$CH$2,"&lt;"&amp;BC2)&gt;4800000,Premissas!$F$10,Premissas!$F$9)</f>
        <v/>
      </c>
      <c r="BD47" s="27">
        <f>BD43*IF(SUMIFS($C$43:$CH$43,$C$2:$CH$2,"&gt;="&amp;(BD2-12),$C$2:$CH$2,"&lt;"&amp;BD2)&gt;4800000,Premissas!$F$10,Premissas!$F$9)</f>
        <v/>
      </c>
      <c r="BE47" s="27">
        <f>BE43*IF(SUMIFS($C$43:$CH$43,$C$2:$CH$2,"&gt;="&amp;(BE2-12),$C$2:$CH$2,"&lt;"&amp;BE2)&gt;4800000,Premissas!$F$10,Premissas!$F$9)</f>
        <v/>
      </c>
      <c r="BF47" s="27">
        <f>BF43*IF(SUMIFS($C$43:$CH$43,$C$2:$CH$2,"&gt;="&amp;(BF2-12),$C$2:$CH$2,"&lt;"&amp;BF2)&gt;4800000,Premissas!$F$10,Premissas!$F$9)</f>
        <v/>
      </c>
      <c r="BG47" s="27">
        <f>BG43*IF(SUMIFS($C$43:$CH$43,$C$2:$CH$2,"&gt;="&amp;(BG2-12),$C$2:$CH$2,"&lt;"&amp;BG2)&gt;4800000,Premissas!$F$10,Premissas!$F$9)</f>
        <v/>
      </c>
      <c r="BH47" s="27">
        <f>BH43*IF(SUMIFS($C$43:$CH$43,$C$2:$CH$2,"&gt;="&amp;(BH2-12),$C$2:$CH$2,"&lt;"&amp;BH2)&gt;4800000,Premissas!$F$10,Premissas!$F$9)</f>
        <v/>
      </c>
      <c r="BI47" s="27">
        <f>BI43*IF(SUMIFS($C$43:$CH$43,$C$2:$CH$2,"&gt;="&amp;(BI2-12),$C$2:$CH$2,"&lt;"&amp;BI2)&gt;4800000,Premissas!$F$10,Premissas!$F$9)</f>
        <v/>
      </c>
      <c r="BJ47" s="27">
        <f>BJ43*IF(SUMIFS($C$43:$CH$43,$C$2:$CH$2,"&gt;="&amp;(BJ2-12),$C$2:$CH$2,"&lt;"&amp;BJ2)&gt;4800000,Premissas!$F$10,Premissas!$F$9)</f>
        <v/>
      </c>
      <c r="BK47" s="27">
        <f>BK43*IF(SUMIFS($C$43:$CH$43,$C$2:$CH$2,"&gt;="&amp;(BK2-12),$C$2:$CH$2,"&lt;"&amp;BK2)&gt;4800000,Premissas!$F$10,Premissas!$F$9)</f>
        <v/>
      </c>
      <c r="BL47" s="27">
        <f>BL43*IF(SUMIFS($C$43:$CH$43,$C$2:$CH$2,"&gt;="&amp;(BL2-12),$C$2:$CH$2,"&lt;"&amp;BL2)&gt;4800000,Premissas!$F$10,Premissas!$F$9)</f>
        <v/>
      </c>
      <c r="BM47" s="27">
        <f>BM43*IF(SUMIFS($C$43:$CH$43,$C$2:$CH$2,"&gt;="&amp;(BM2-12),$C$2:$CH$2,"&lt;"&amp;BM2)&gt;4800000,Premissas!$F$10,Premissas!$F$9)</f>
        <v/>
      </c>
      <c r="BN47" s="27">
        <f>BN43*IF(SUMIFS($C$43:$CH$43,$C$2:$CH$2,"&gt;="&amp;(BN2-12),$C$2:$CH$2,"&lt;"&amp;BN2)&gt;4800000,Premissas!$F$10,Premissas!$F$9)</f>
        <v/>
      </c>
      <c r="BO47" s="27">
        <f>BO43*IF(SUMIFS($C$43:$CH$43,$C$2:$CH$2,"&gt;="&amp;(BO2-12),$C$2:$CH$2,"&lt;"&amp;BO2)&gt;4800000,Premissas!$F$10,Premissas!$F$9)</f>
        <v/>
      </c>
      <c r="BP47" s="27">
        <f>BP43*IF(SUMIFS($C$43:$CH$43,$C$2:$CH$2,"&gt;="&amp;(BP2-12),$C$2:$CH$2,"&lt;"&amp;BP2)&gt;4800000,Premissas!$F$10,Premissas!$F$9)</f>
        <v/>
      </c>
      <c r="BQ47" s="27">
        <f>BQ43*IF(SUMIFS($C$43:$CH$43,$C$2:$CH$2,"&gt;="&amp;(BQ2-12),$C$2:$CH$2,"&lt;"&amp;BQ2)&gt;4800000,Premissas!$F$10,Premissas!$F$9)</f>
        <v/>
      </c>
      <c r="BR47" s="27">
        <f>BR43*IF(SUMIFS($C$43:$CH$43,$C$2:$CH$2,"&gt;="&amp;(BR2-12),$C$2:$CH$2,"&lt;"&amp;BR2)&gt;4800000,Premissas!$F$10,Premissas!$F$9)</f>
        <v/>
      </c>
      <c r="BS47" s="27">
        <f>BS43*IF(SUMIFS($C$43:$CH$43,$C$2:$CH$2,"&gt;="&amp;(BS2-12),$C$2:$CH$2,"&lt;"&amp;BS2)&gt;4800000,Premissas!$F$10,Premissas!$F$9)</f>
        <v/>
      </c>
      <c r="BT47" s="27">
        <f>BT43*IF(SUMIFS($C$43:$CH$43,$C$2:$CH$2,"&gt;="&amp;(BT2-12),$C$2:$CH$2,"&lt;"&amp;BT2)&gt;4800000,Premissas!$F$10,Premissas!$F$9)</f>
        <v/>
      </c>
      <c r="BU47" s="27">
        <f>BU43*IF(SUMIFS($C$43:$CH$43,$C$2:$CH$2,"&gt;="&amp;(BU2-12),$C$2:$CH$2,"&lt;"&amp;BU2)&gt;4800000,Premissas!$F$10,Premissas!$F$9)</f>
        <v/>
      </c>
      <c r="BV47" s="27">
        <f>BV43*IF(SUMIFS($C$43:$CH$43,$C$2:$CH$2,"&gt;="&amp;(BV2-12),$C$2:$CH$2,"&lt;"&amp;BV2)&gt;4800000,Premissas!$F$10,Premissas!$F$9)</f>
        <v/>
      </c>
      <c r="BW47" s="27">
        <f>BW43*IF(SUMIFS($C$43:$CH$43,$C$2:$CH$2,"&gt;="&amp;(BW2-12),$C$2:$CH$2,"&lt;"&amp;BW2)&gt;4800000,Premissas!$F$10,Premissas!$F$9)</f>
        <v/>
      </c>
      <c r="BX47" s="27">
        <f>BX43*IF(SUMIFS($C$43:$CH$43,$C$2:$CH$2,"&gt;="&amp;(BX2-12),$C$2:$CH$2,"&lt;"&amp;BX2)&gt;4800000,Premissas!$F$10,Premissas!$F$9)</f>
        <v/>
      </c>
      <c r="BY47" s="27">
        <f>BY43*IF(SUMIFS($C$43:$CH$43,$C$2:$CH$2,"&gt;="&amp;(BY2-12),$C$2:$CH$2,"&lt;"&amp;BY2)&gt;4800000,Premissas!$F$10,Premissas!$F$9)</f>
        <v/>
      </c>
      <c r="BZ47" s="27">
        <f>BZ43*IF(SUMIFS($C$43:$CH$43,$C$2:$CH$2,"&gt;="&amp;(BZ2-12),$C$2:$CH$2,"&lt;"&amp;BZ2)&gt;4800000,Premissas!$F$10,Premissas!$F$9)</f>
        <v/>
      </c>
      <c r="CA47" s="27">
        <f>CA43*IF(SUMIFS($C$43:$CH$43,$C$2:$CH$2,"&gt;="&amp;(CA2-12),$C$2:$CH$2,"&lt;"&amp;CA2)&gt;4800000,Premissas!$F$10,Premissas!$F$9)</f>
        <v/>
      </c>
      <c r="CB47" s="27">
        <f>CB43*IF(SUMIFS($C$43:$CH$43,$C$2:$CH$2,"&gt;="&amp;(CB2-12),$C$2:$CH$2,"&lt;"&amp;CB2)&gt;4800000,Premissas!$F$10,Premissas!$F$9)</f>
        <v/>
      </c>
      <c r="CC47" s="27">
        <f>CC43*IF(SUMIFS($C$43:$CH$43,$C$2:$CH$2,"&gt;="&amp;(CC2-12),$C$2:$CH$2,"&lt;"&amp;CC2)&gt;4800000,Premissas!$F$10,Premissas!$F$9)</f>
        <v/>
      </c>
      <c r="CD47" s="27">
        <f>CD43*IF(SUMIFS($C$43:$CH$43,$C$2:$CH$2,"&gt;="&amp;(CD2-12),$C$2:$CH$2,"&lt;"&amp;CD2)&gt;4800000,Premissas!$F$10,Premissas!$F$9)</f>
        <v/>
      </c>
      <c r="CE47" s="27">
        <f>CE43*IF(SUMIFS($C$43:$CH$43,$C$2:$CH$2,"&gt;="&amp;(CE2-12),$C$2:$CH$2,"&lt;"&amp;CE2)&gt;4800000,Premissas!$F$10,Premissas!$F$9)</f>
        <v/>
      </c>
      <c r="CF47" s="27">
        <f>CF43*IF(SUMIFS($C$43:$CH$43,$C$2:$CH$2,"&gt;="&amp;(CF2-12),$C$2:$CH$2,"&lt;"&amp;CF2)&gt;4800000,Premissas!$F$10,Premissas!$F$9)</f>
        <v/>
      </c>
      <c r="CG47" s="27">
        <f>CG43*IF(SUMIFS($C$43:$CH$43,$C$2:$CH$2,"&gt;="&amp;(CG2-12),$C$2:$CH$2,"&lt;"&amp;CG2)&gt;4800000,Premissas!$F$10,Premissas!$F$9)</f>
        <v/>
      </c>
      <c r="CH47" s="27">
        <f>CH43*IF(SUMIFS($C$43:$CH$43,$C$2:$CH$2,"&gt;="&amp;(CH2-12),$C$2:$CH$2,"&lt;"&amp;CH2)&gt;4800000,Premissas!$F$10,Premissas!$F$9)</f>
        <v/>
      </c>
    </row>
    <row r="48">
      <c r="A48" s="3" t="inlineStr">
        <is>
          <t>Meios de pagamento e inadimplência</t>
        </is>
      </c>
      <c r="C48" s="27">
        <f>C43*Premissas!$F$11</f>
        <v/>
      </c>
      <c r="D48" s="27">
        <f>D43*Premissas!$F$11</f>
        <v/>
      </c>
      <c r="E48" s="27">
        <f>E43*Premissas!$F$11</f>
        <v/>
      </c>
      <c r="F48" s="27">
        <f>F43*Premissas!$F$11</f>
        <v/>
      </c>
      <c r="G48" s="27">
        <f>G43*Premissas!$F$11</f>
        <v/>
      </c>
      <c r="H48" s="27">
        <f>H43*Premissas!$F$11</f>
        <v/>
      </c>
      <c r="I48" s="27">
        <f>I43*Premissas!$F$11</f>
        <v/>
      </c>
      <c r="J48" s="27">
        <f>J43*Premissas!$F$11</f>
        <v/>
      </c>
      <c r="K48" s="27">
        <f>K43*Premissas!$F$11</f>
        <v/>
      </c>
      <c r="L48" s="27">
        <f>L43*Premissas!$F$11</f>
        <v/>
      </c>
      <c r="M48" s="27">
        <f>M43*Premissas!$F$11</f>
        <v/>
      </c>
      <c r="N48" s="27">
        <f>N43*Premissas!$F$11</f>
        <v/>
      </c>
      <c r="O48" s="27">
        <f>O43*Premissas!$F$11</f>
        <v/>
      </c>
      <c r="P48" s="27">
        <f>P43*Premissas!$F$11</f>
        <v/>
      </c>
      <c r="Q48" s="27">
        <f>Q43*Premissas!$F$11</f>
        <v/>
      </c>
      <c r="R48" s="27">
        <f>R43*Premissas!$F$11</f>
        <v/>
      </c>
      <c r="S48" s="27">
        <f>S43*Premissas!$F$11</f>
        <v/>
      </c>
      <c r="T48" s="27">
        <f>T43*Premissas!$F$11</f>
        <v/>
      </c>
      <c r="U48" s="27">
        <f>U43*Premissas!$F$11</f>
        <v/>
      </c>
      <c r="V48" s="27">
        <f>V43*Premissas!$F$11</f>
        <v/>
      </c>
      <c r="W48" s="27">
        <f>W43*Premissas!$F$11</f>
        <v/>
      </c>
      <c r="X48" s="27">
        <f>X43*Premissas!$F$11</f>
        <v/>
      </c>
      <c r="Y48" s="27">
        <f>Y43*Premissas!$F$11</f>
        <v/>
      </c>
      <c r="Z48" s="27">
        <f>Z43*Premissas!$F$11</f>
        <v/>
      </c>
      <c r="AA48" s="27">
        <f>AA43*Premissas!$F$11</f>
        <v/>
      </c>
      <c r="AB48" s="27">
        <f>AB43*Premissas!$F$11</f>
        <v/>
      </c>
      <c r="AC48" s="27">
        <f>AC43*Premissas!$F$11</f>
        <v/>
      </c>
      <c r="AD48" s="27">
        <f>AD43*Premissas!$F$11</f>
        <v/>
      </c>
      <c r="AE48" s="27">
        <f>AE43*Premissas!$F$11</f>
        <v/>
      </c>
      <c r="AF48" s="27">
        <f>AF43*Premissas!$F$11</f>
        <v/>
      </c>
      <c r="AG48" s="27">
        <f>AG43*Premissas!$F$11</f>
        <v/>
      </c>
      <c r="AH48" s="27">
        <f>AH43*Premissas!$F$11</f>
        <v/>
      </c>
      <c r="AI48" s="27">
        <f>AI43*Premissas!$F$11</f>
        <v/>
      </c>
      <c r="AJ48" s="27">
        <f>AJ43*Premissas!$F$11</f>
        <v/>
      </c>
      <c r="AK48" s="27">
        <f>AK43*Premissas!$F$11</f>
        <v/>
      </c>
      <c r="AL48" s="27">
        <f>AL43*Premissas!$F$11</f>
        <v/>
      </c>
      <c r="AM48" s="27">
        <f>AM43*Premissas!$F$11</f>
        <v/>
      </c>
      <c r="AN48" s="27">
        <f>AN43*Premissas!$F$11</f>
        <v/>
      </c>
      <c r="AO48" s="27">
        <f>AO43*Premissas!$F$11</f>
        <v/>
      </c>
      <c r="AP48" s="27">
        <f>AP43*Premissas!$F$11</f>
        <v/>
      </c>
      <c r="AQ48" s="27">
        <f>AQ43*Premissas!$F$11</f>
        <v/>
      </c>
      <c r="AR48" s="27">
        <f>AR43*Premissas!$F$11</f>
        <v/>
      </c>
      <c r="AS48" s="27">
        <f>AS43*Premissas!$F$11</f>
        <v/>
      </c>
      <c r="AT48" s="27">
        <f>AT43*Premissas!$F$11</f>
        <v/>
      </c>
      <c r="AU48" s="27">
        <f>AU43*Premissas!$F$11</f>
        <v/>
      </c>
      <c r="AV48" s="27">
        <f>AV43*Premissas!$F$11</f>
        <v/>
      </c>
      <c r="AW48" s="27">
        <f>AW43*Premissas!$F$11</f>
        <v/>
      </c>
      <c r="AX48" s="27">
        <f>AX43*Premissas!$F$11</f>
        <v/>
      </c>
      <c r="AY48" s="27">
        <f>AY43*Premissas!$F$11</f>
        <v/>
      </c>
      <c r="AZ48" s="27">
        <f>AZ43*Premissas!$F$11</f>
        <v/>
      </c>
      <c r="BA48" s="27">
        <f>BA43*Premissas!$F$11</f>
        <v/>
      </c>
      <c r="BB48" s="27">
        <f>BB43*Premissas!$F$11</f>
        <v/>
      </c>
      <c r="BC48" s="27">
        <f>BC43*Premissas!$F$11</f>
        <v/>
      </c>
      <c r="BD48" s="27">
        <f>BD43*Premissas!$F$11</f>
        <v/>
      </c>
      <c r="BE48" s="27">
        <f>BE43*Premissas!$F$11</f>
        <v/>
      </c>
      <c r="BF48" s="27">
        <f>BF43*Premissas!$F$11</f>
        <v/>
      </c>
      <c r="BG48" s="27">
        <f>BG43*Premissas!$F$11</f>
        <v/>
      </c>
      <c r="BH48" s="27">
        <f>BH43*Premissas!$F$11</f>
        <v/>
      </c>
      <c r="BI48" s="27">
        <f>BI43*Premissas!$F$11</f>
        <v/>
      </c>
      <c r="BJ48" s="27">
        <f>BJ43*Premissas!$F$11</f>
        <v/>
      </c>
      <c r="BK48" s="27">
        <f>BK43*Premissas!$F$11</f>
        <v/>
      </c>
      <c r="BL48" s="27">
        <f>BL43*Premissas!$F$11</f>
        <v/>
      </c>
      <c r="BM48" s="27">
        <f>BM43*Premissas!$F$11</f>
        <v/>
      </c>
      <c r="BN48" s="27">
        <f>BN43*Premissas!$F$11</f>
        <v/>
      </c>
      <c r="BO48" s="27">
        <f>BO43*Premissas!$F$11</f>
        <v/>
      </c>
      <c r="BP48" s="27">
        <f>BP43*Premissas!$F$11</f>
        <v/>
      </c>
      <c r="BQ48" s="27">
        <f>BQ43*Premissas!$F$11</f>
        <v/>
      </c>
      <c r="BR48" s="27">
        <f>BR43*Premissas!$F$11</f>
        <v/>
      </c>
      <c r="BS48" s="27">
        <f>BS43*Premissas!$F$11</f>
        <v/>
      </c>
      <c r="BT48" s="27">
        <f>BT43*Premissas!$F$11</f>
        <v/>
      </c>
      <c r="BU48" s="27">
        <f>BU43*Premissas!$F$11</f>
        <v/>
      </c>
      <c r="BV48" s="27">
        <f>BV43*Premissas!$F$11</f>
        <v/>
      </c>
      <c r="BW48" s="27">
        <f>BW43*Premissas!$F$11</f>
        <v/>
      </c>
      <c r="BX48" s="27">
        <f>BX43*Premissas!$F$11</f>
        <v/>
      </c>
      <c r="BY48" s="27">
        <f>BY43*Premissas!$F$11</f>
        <v/>
      </c>
      <c r="BZ48" s="27">
        <f>BZ43*Premissas!$F$11</f>
        <v/>
      </c>
      <c r="CA48" s="27">
        <f>CA43*Premissas!$F$11</f>
        <v/>
      </c>
      <c r="CB48" s="27">
        <f>CB43*Premissas!$F$11</f>
        <v/>
      </c>
      <c r="CC48" s="27">
        <f>CC43*Premissas!$F$11</f>
        <v/>
      </c>
      <c r="CD48" s="27">
        <f>CD43*Premissas!$F$11</f>
        <v/>
      </c>
      <c r="CE48" s="27">
        <f>CE43*Premissas!$F$11</f>
        <v/>
      </c>
      <c r="CF48" s="27">
        <f>CF43*Premissas!$F$11</f>
        <v/>
      </c>
      <c r="CG48" s="27">
        <f>CG43*Premissas!$F$11</f>
        <v/>
      </c>
      <c r="CH48" s="27">
        <f>CH43*Premissas!$F$11</f>
        <v/>
      </c>
    </row>
    <row r="49">
      <c r="A49" s="2" t="inlineStr">
        <is>
          <t>Receita líquida</t>
        </is>
      </c>
      <c r="C49" s="31">
        <f>C43-C47-C48</f>
        <v/>
      </c>
      <c r="D49" s="31">
        <f>D43-D47-D48</f>
        <v/>
      </c>
      <c r="E49" s="31">
        <f>E43-E47-E48</f>
        <v/>
      </c>
      <c r="F49" s="31">
        <f>F43-F47-F48</f>
        <v/>
      </c>
      <c r="G49" s="31">
        <f>G43-G47-G48</f>
        <v/>
      </c>
      <c r="H49" s="31">
        <f>H43-H47-H48</f>
        <v/>
      </c>
      <c r="I49" s="31">
        <f>I43-I47-I48</f>
        <v/>
      </c>
      <c r="J49" s="31">
        <f>J43-J47-J48</f>
        <v/>
      </c>
      <c r="K49" s="31">
        <f>K43-K47-K48</f>
        <v/>
      </c>
      <c r="L49" s="31">
        <f>L43-L47-L48</f>
        <v/>
      </c>
      <c r="M49" s="31">
        <f>M43-M47-M48</f>
        <v/>
      </c>
      <c r="N49" s="31">
        <f>N43-N47-N48</f>
        <v/>
      </c>
      <c r="O49" s="31">
        <f>O43-O47-O48</f>
        <v/>
      </c>
      <c r="P49" s="31">
        <f>P43-P47-P48</f>
        <v/>
      </c>
      <c r="Q49" s="31">
        <f>Q43-Q47-Q48</f>
        <v/>
      </c>
      <c r="R49" s="31">
        <f>R43-R47-R48</f>
        <v/>
      </c>
      <c r="S49" s="31">
        <f>S43-S47-S48</f>
        <v/>
      </c>
      <c r="T49" s="31">
        <f>T43-T47-T48</f>
        <v/>
      </c>
      <c r="U49" s="31">
        <f>U43-U47-U48</f>
        <v/>
      </c>
      <c r="V49" s="31">
        <f>V43-V47-V48</f>
        <v/>
      </c>
      <c r="W49" s="31">
        <f>W43-W47-W48</f>
        <v/>
      </c>
      <c r="X49" s="31">
        <f>X43-X47-X48</f>
        <v/>
      </c>
      <c r="Y49" s="31">
        <f>Y43-Y47-Y48</f>
        <v/>
      </c>
      <c r="Z49" s="31">
        <f>Z43-Z47-Z48</f>
        <v/>
      </c>
      <c r="AA49" s="31">
        <f>AA43-AA47-AA48</f>
        <v/>
      </c>
      <c r="AB49" s="31">
        <f>AB43-AB47-AB48</f>
        <v/>
      </c>
      <c r="AC49" s="31">
        <f>AC43-AC47-AC48</f>
        <v/>
      </c>
      <c r="AD49" s="31">
        <f>AD43-AD47-AD48</f>
        <v/>
      </c>
      <c r="AE49" s="31">
        <f>AE43-AE47-AE48</f>
        <v/>
      </c>
      <c r="AF49" s="31">
        <f>AF43-AF47-AF48</f>
        <v/>
      </c>
      <c r="AG49" s="31">
        <f>AG43-AG47-AG48</f>
        <v/>
      </c>
      <c r="AH49" s="31">
        <f>AH43-AH47-AH48</f>
        <v/>
      </c>
      <c r="AI49" s="31">
        <f>AI43-AI47-AI48</f>
        <v/>
      </c>
      <c r="AJ49" s="31">
        <f>AJ43-AJ47-AJ48</f>
        <v/>
      </c>
      <c r="AK49" s="31">
        <f>AK43-AK47-AK48</f>
        <v/>
      </c>
      <c r="AL49" s="31">
        <f>AL43-AL47-AL48</f>
        <v/>
      </c>
      <c r="AM49" s="31">
        <f>AM43-AM47-AM48</f>
        <v/>
      </c>
      <c r="AN49" s="31">
        <f>AN43-AN47-AN48</f>
        <v/>
      </c>
      <c r="AO49" s="31">
        <f>AO43-AO47-AO48</f>
        <v/>
      </c>
      <c r="AP49" s="31">
        <f>AP43-AP47-AP48</f>
        <v/>
      </c>
      <c r="AQ49" s="31">
        <f>AQ43-AQ47-AQ48</f>
        <v/>
      </c>
      <c r="AR49" s="31">
        <f>AR43-AR47-AR48</f>
        <v/>
      </c>
      <c r="AS49" s="31">
        <f>AS43-AS47-AS48</f>
        <v/>
      </c>
      <c r="AT49" s="31">
        <f>AT43-AT47-AT48</f>
        <v/>
      </c>
      <c r="AU49" s="31">
        <f>AU43-AU47-AU48</f>
        <v/>
      </c>
      <c r="AV49" s="31">
        <f>AV43-AV47-AV48</f>
        <v/>
      </c>
      <c r="AW49" s="31">
        <f>AW43-AW47-AW48</f>
        <v/>
      </c>
      <c r="AX49" s="31">
        <f>AX43-AX47-AX48</f>
        <v/>
      </c>
      <c r="AY49" s="31">
        <f>AY43-AY47-AY48</f>
        <v/>
      </c>
      <c r="AZ49" s="31">
        <f>AZ43-AZ47-AZ48</f>
        <v/>
      </c>
      <c r="BA49" s="31">
        <f>BA43-BA47-BA48</f>
        <v/>
      </c>
      <c r="BB49" s="31">
        <f>BB43-BB47-BB48</f>
        <v/>
      </c>
      <c r="BC49" s="31">
        <f>BC43-BC47-BC48</f>
        <v/>
      </c>
      <c r="BD49" s="31">
        <f>BD43-BD47-BD48</f>
        <v/>
      </c>
      <c r="BE49" s="31">
        <f>BE43-BE47-BE48</f>
        <v/>
      </c>
      <c r="BF49" s="31">
        <f>BF43-BF47-BF48</f>
        <v/>
      </c>
      <c r="BG49" s="31">
        <f>BG43-BG47-BG48</f>
        <v/>
      </c>
      <c r="BH49" s="31">
        <f>BH43-BH47-BH48</f>
        <v/>
      </c>
      <c r="BI49" s="31">
        <f>BI43-BI47-BI48</f>
        <v/>
      </c>
      <c r="BJ49" s="31">
        <f>BJ43-BJ47-BJ48</f>
        <v/>
      </c>
      <c r="BK49" s="31">
        <f>BK43-BK47-BK48</f>
        <v/>
      </c>
      <c r="BL49" s="31">
        <f>BL43-BL47-BL48</f>
        <v/>
      </c>
      <c r="BM49" s="31">
        <f>BM43-BM47-BM48</f>
        <v/>
      </c>
      <c r="BN49" s="31">
        <f>BN43-BN47-BN48</f>
        <v/>
      </c>
      <c r="BO49" s="31">
        <f>BO43-BO47-BO48</f>
        <v/>
      </c>
      <c r="BP49" s="31">
        <f>BP43-BP47-BP48</f>
        <v/>
      </c>
      <c r="BQ49" s="31">
        <f>BQ43-BQ47-BQ48</f>
        <v/>
      </c>
      <c r="BR49" s="31">
        <f>BR43-BR47-BR48</f>
        <v/>
      </c>
      <c r="BS49" s="31">
        <f>BS43-BS47-BS48</f>
        <v/>
      </c>
      <c r="BT49" s="31">
        <f>BT43-BT47-BT48</f>
        <v/>
      </c>
      <c r="BU49" s="31">
        <f>BU43-BU47-BU48</f>
        <v/>
      </c>
      <c r="BV49" s="31">
        <f>BV43-BV47-BV48</f>
        <v/>
      </c>
      <c r="BW49" s="31">
        <f>BW43-BW47-BW48</f>
        <v/>
      </c>
      <c r="BX49" s="31">
        <f>BX43-BX47-BX48</f>
        <v/>
      </c>
      <c r="BY49" s="31">
        <f>BY43-BY47-BY48</f>
        <v/>
      </c>
      <c r="BZ49" s="31">
        <f>BZ43-BZ47-BZ48</f>
        <v/>
      </c>
      <c r="CA49" s="31">
        <f>CA43-CA47-CA48</f>
        <v/>
      </c>
      <c r="CB49" s="31">
        <f>CB43-CB47-CB48</f>
        <v/>
      </c>
      <c r="CC49" s="31">
        <f>CC43-CC47-CC48</f>
        <v/>
      </c>
      <c r="CD49" s="31">
        <f>CD43-CD47-CD48</f>
        <v/>
      </c>
      <c r="CE49" s="31">
        <f>CE43-CE47-CE48</f>
        <v/>
      </c>
      <c r="CF49" s="31">
        <f>CF43-CF47-CF48</f>
        <v/>
      </c>
      <c r="CG49" s="31">
        <f>CG43-CG47-CG48</f>
        <v/>
      </c>
      <c r="CH49" s="31">
        <f>CH43-CH47-CH48</f>
        <v/>
      </c>
    </row>
    <row r="51">
      <c r="A51" s="4" t="inlineStr">
        <is>
          <t>Custo do serviço</t>
        </is>
      </c>
      <c r="B51" s="5" t="n"/>
    </row>
    <row r="52">
      <c r="A52" s="3" t="inlineStr">
        <is>
          <t>Custo direto (agentes, WhatsApp, ferramentas, implantação)</t>
        </is>
      </c>
      <c r="C52" s="27">
        <f>C21*Premissas!$F$58+C27*Premissas!$F$64+C33*Premissas!$F$70+C15*Premissas!$F$51</f>
        <v/>
      </c>
      <c r="D52" s="27">
        <f>D21*Premissas!$F$58+D27*Premissas!$F$64+D33*Premissas!$F$70+D15*Premissas!$F$51</f>
        <v/>
      </c>
      <c r="E52" s="27">
        <f>E21*Premissas!$F$58+E27*Premissas!$F$64+E33*Premissas!$F$70+E15*Premissas!$F$51</f>
        <v/>
      </c>
      <c r="F52" s="27">
        <f>F21*Premissas!$F$58+F27*Premissas!$F$64+F33*Premissas!$F$70+F15*Premissas!$F$51</f>
        <v/>
      </c>
      <c r="G52" s="27">
        <f>G21*Premissas!$F$58+G27*Premissas!$F$64+G33*Premissas!$F$70+G15*Premissas!$F$51</f>
        <v/>
      </c>
      <c r="H52" s="27">
        <f>H21*Premissas!$F$58+H27*Premissas!$F$64+H33*Premissas!$F$70+H15*Premissas!$F$51</f>
        <v/>
      </c>
      <c r="I52" s="27">
        <f>I21*Premissas!$F$58+I27*Premissas!$F$64+I33*Premissas!$F$70+I15*Premissas!$F$51</f>
        <v/>
      </c>
      <c r="J52" s="27">
        <f>J21*Premissas!$F$58+J27*Premissas!$F$64+J33*Premissas!$F$70+J15*Premissas!$F$51</f>
        <v/>
      </c>
      <c r="K52" s="27">
        <f>K21*Premissas!$F$58+K27*Premissas!$F$64+K33*Premissas!$F$70+K15*Premissas!$F$51</f>
        <v/>
      </c>
      <c r="L52" s="27">
        <f>L21*Premissas!$F$58+L27*Premissas!$F$64+L33*Premissas!$F$70+L15*Premissas!$F$51</f>
        <v/>
      </c>
      <c r="M52" s="27">
        <f>M21*Premissas!$F$58+M27*Premissas!$F$64+M33*Premissas!$F$70+M15*Premissas!$F$51</f>
        <v/>
      </c>
      <c r="N52" s="27">
        <f>N21*Premissas!$F$58+N27*Premissas!$F$64+N33*Premissas!$F$70+N15*Premissas!$F$51</f>
        <v/>
      </c>
      <c r="O52" s="27">
        <f>O21*Premissas!$F$58+O27*Premissas!$F$64+O33*Premissas!$F$70+O15*Premissas!$F$51</f>
        <v/>
      </c>
      <c r="P52" s="27">
        <f>P21*Premissas!$F$58+P27*Premissas!$F$64+P33*Premissas!$F$70+P15*Premissas!$F$51</f>
        <v/>
      </c>
      <c r="Q52" s="27">
        <f>Q21*Premissas!$F$58+Q27*Premissas!$F$64+Q33*Premissas!$F$70+Q15*Premissas!$F$51</f>
        <v/>
      </c>
      <c r="R52" s="27">
        <f>R21*Premissas!$F$58+R27*Premissas!$F$64+R33*Premissas!$F$70+R15*Premissas!$F$51</f>
        <v/>
      </c>
      <c r="S52" s="27">
        <f>S21*Premissas!$F$58+S27*Premissas!$F$64+S33*Premissas!$F$70+S15*Premissas!$F$51</f>
        <v/>
      </c>
      <c r="T52" s="27">
        <f>T21*Premissas!$F$58+T27*Premissas!$F$64+T33*Premissas!$F$70+T15*Premissas!$F$51</f>
        <v/>
      </c>
      <c r="U52" s="27">
        <f>U21*Premissas!$F$58+U27*Premissas!$F$64+U33*Premissas!$F$70+U15*Premissas!$F$51</f>
        <v/>
      </c>
      <c r="V52" s="27">
        <f>V21*Premissas!$F$58+V27*Premissas!$F$64+V33*Premissas!$F$70+V15*Premissas!$F$51</f>
        <v/>
      </c>
      <c r="W52" s="27">
        <f>W21*Premissas!$F$58+W27*Premissas!$F$64+W33*Premissas!$F$70+W15*Premissas!$F$51</f>
        <v/>
      </c>
      <c r="X52" s="27">
        <f>X21*Premissas!$F$58+X27*Premissas!$F$64+X33*Premissas!$F$70+X15*Premissas!$F$51</f>
        <v/>
      </c>
      <c r="Y52" s="27">
        <f>Y21*Premissas!$F$58+Y27*Premissas!$F$64+Y33*Premissas!$F$70+Y15*Premissas!$F$51</f>
        <v/>
      </c>
      <c r="Z52" s="27">
        <f>Z21*Premissas!$F$58+Z27*Premissas!$F$64+Z33*Premissas!$F$70+Z15*Premissas!$F$51</f>
        <v/>
      </c>
      <c r="AA52" s="27">
        <f>AA21*Premissas!$F$58+AA27*Premissas!$F$64+AA33*Premissas!$F$70+AA15*Premissas!$F$51</f>
        <v/>
      </c>
      <c r="AB52" s="27">
        <f>AB21*Premissas!$F$58+AB27*Premissas!$F$64+AB33*Premissas!$F$70+AB15*Premissas!$F$51</f>
        <v/>
      </c>
      <c r="AC52" s="27">
        <f>AC21*Premissas!$F$58+AC27*Premissas!$F$64+AC33*Premissas!$F$70+AC15*Premissas!$F$51</f>
        <v/>
      </c>
      <c r="AD52" s="27">
        <f>AD21*Premissas!$F$58+AD27*Premissas!$F$64+AD33*Premissas!$F$70+AD15*Premissas!$F$51</f>
        <v/>
      </c>
      <c r="AE52" s="27">
        <f>AE21*Premissas!$F$58+AE27*Premissas!$F$64+AE33*Premissas!$F$70+AE15*Premissas!$F$51</f>
        <v/>
      </c>
      <c r="AF52" s="27">
        <f>AF21*Premissas!$F$58+AF27*Premissas!$F$64+AF33*Premissas!$F$70+AF15*Premissas!$F$51</f>
        <v/>
      </c>
      <c r="AG52" s="27">
        <f>AG21*Premissas!$F$58+AG27*Premissas!$F$64+AG33*Premissas!$F$70+AG15*Premissas!$F$51</f>
        <v/>
      </c>
      <c r="AH52" s="27">
        <f>AH21*Premissas!$F$58+AH27*Premissas!$F$64+AH33*Premissas!$F$70+AH15*Premissas!$F$51</f>
        <v/>
      </c>
      <c r="AI52" s="27">
        <f>AI21*Premissas!$F$58+AI27*Premissas!$F$64+AI33*Premissas!$F$70+AI15*Premissas!$F$51</f>
        <v/>
      </c>
      <c r="AJ52" s="27">
        <f>AJ21*Premissas!$F$58+AJ27*Premissas!$F$64+AJ33*Premissas!$F$70+AJ15*Premissas!$F$51</f>
        <v/>
      </c>
      <c r="AK52" s="27">
        <f>AK21*Premissas!$F$58+AK27*Premissas!$F$64+AK33*Premissas!$F$70+AK15*Premissas!$F$51</f>
        <v/>
      </c>
      <c r="AL52" s="27">
        <f>AL21*Premissas!$F$58+AL27*Premissas!$F$64+AL33*Premissas!$F$70+AL15*Premissas!$F$51</f>
        <v/>
      </c>
      <c r="AM52" s="27">
        <f>AM21*Premissas!$F$58+AM27*Premissas!$F$64+AM33*Premissas!$F$70+AM15*Premissas!$F$51</f>
        <v/>
      </c>
      <c r="AN52" s="27">
        <f>AN21*Premissas!$F$58+AN27*Premissas!$F$64+AN33*Premissas!$F$70+AN15*Premissas!$F$51</f>
        <v/>
      </c>
      <c r="AO52" s="27">
        <f>AO21*Premissas!$F$58+AO27*Premissas!$F$64+AO33*Premissas!$F$70+AO15*Premissas!$F$51</f>
        <v/>
      </c>
      <c r="AP52" s="27">
        <f>AP21*Premissas!$F$58+AP27*Premissas!$F$64+AP33*Premissas!$F$70+AP15*Premissas!$F$51</f>
        <v/>
      </c>
      <c r="AQ52" s="27">
        <f>AQ21*Premissas!$F$58+AQ27*Premissas!$F$64+AQ33*Premissas!$F$70+AQ15*Premissas!$F$51</f>
        <v/>
      </c>
      <c r="AR52" s="27">
        <f>AR21*Premissas!$F$58+AR27*Premissas!$F$64+AR33*Premissas!$F$70+AR15*Premissas!$F$51</f>
        <v/>
      </c>
      <c r="AS52" s="27">
        <f>AS21*Premissas!$F$58+AS27*Premissas!$F$64+AS33*Premissas!$F$70+AS15*Premissas!$F$51</f>
        <v/>
      </c>
      <c r="AT52" s="27">
        <f>AT21*Premissas!$F$58+AT27*Premissas!$F$64+AT33*Premissas!$F$70+AT15*Premissas!$F$51</f>
        <v/>
      </c>
      <c r="AU52" s="27">
        <f>AU21*Premissas!$F$58+AU27*Premissas!$F$64+AU33*Premissas!$F$70+AU15*Premissas!$F$51</f>
        <v/>
      </c>
      <c r="AV52" s="27">
        <f>AV21*Premissas!$F$58+AV27*Premissas!$F$64+AV33*Premissas!$F$70+AV15*Premissas!$F$51</f>
        <v/>
      </c>
      <c r="AW52" s="27">
        <f>AW21*Premissas!$F$58+AW27*Premissas!$F$64+AW33*Premissas!$F$70+AW15*Premissas!$F$51</f>
        <v/>
      </c>
      <c r="AX52" s="27">
        <f>AX21*Premissas!$F$58+AX27*Premissas!$F$64+AX33*Premissas!$F$70+AX15*Premissas!$F$51</f>
        <v/>
      </c>
      <c r="AY52" s="27">
        <f>AY21*Premissas!$F$58+AY27*Premissas!$F$64+AY33*Premissas!$F$70+AY15*Premissas!$F$51</f>
        <v/>
      </c>
      <c r="AZ52" s="27">
        <f>AZ21*Premissas!$F$58+AZ27*Premissas!$F$64+AZ33*Premissas!$F$70+AZ15*Premissas!$F$51</f>
        <v/>
      </c>
      <c r="BA52" s="27">
        <f>BA21*Premissas!$F$58+BA27*Premissas!$F$64+BA33*Premissas!$F$70+BA15*Premissas!$F$51</f>
        <v/>
      </c>
      <c r="BB52" s="27">
        <f>BB21*Premissas!$F$58+BB27*Premissas!$F$64+BB33*Premissas!$F$70+BB15*Premissas!$F$51</f>
        <v/>
      </c>
      <c r="BC52" s="27">
        <f>BC21*Premissas!$F$58+BC27*Premissas!$F$64+BC33*Premissas!$F$70+BC15*Premissas!$F$51</f>
        <v/>
      </c>
      <c r="BD52" s="27">
        <f>BD21*Premissas!$F$58+BD27*Premissas!$F$64+BD33*Premissas!$F$70+BD15*Premissas!$F$51</f>
        <v/>
      </c>
      <c r="BE52" s="27">
        <f>BE21*Premissas!$F$58+BE27*Premissas!$F$64+BE33*Premissas!$F$70+BE15*Premissas!$F$51</f>
        <v/>
      </c>
      <c r="BF52" s="27">
        <f>BF21*Premissas!$F$58+BF27*Premissas!$F$64+BF33*Premissas!$F$70+BF15*Premissas!$F$51</f>
        <v/>
      </c>
      <c r="BG52" s="27">
        <f>BG21*Premissas!$F$58+BG27*Premissas!$F$64+BG33*Premissas!$F$70+BG15*Premissas!$F$51</f>
        <v/>
      </c>
      <c r="BH52" s="27">
        <f>BH21*Premissas!$F$58+BH27*Premissas!$F$64+BH33*Premissas!$F$70+BH15*Premissas!$F$51</f>
        <v/>
      </c>
      <c r="BI52" s="27">
        <f>BI21*Premissas!$F$58+BI27*Premissas!$F$64+BI33*Premissas!$F$70+BI15*Premissas!$F$51</f>
        <v/>
      </c>
      <c r="BJ52" s="27">
        <f>BJ21*Premissas!$F$58+BJ27*Premissas!$F$64+BJ33*Premissas!$F$70+BJ15*Premissas!$F$51</f>
        <v/>
      </c>
      <c r="BK52" s="27">
        <f>BK21*Premissas!$F$58+BK27*Premissas!$F$64+BK33*Premissas!$F$70+BK15*Premissas!$F$51</f>
        <v/>
      </c>
      <c r="BL52" s="27">
        <f>BL21*Premissas!$F$58+BL27*Premissas!$F$64+BL33*Premissas!$F$70+BL15*Premissas!$F$51</f>
        <v/>
      </c>
      <c r="BM52" s="27">
        <f>BM21*Premissas!$F$58+BM27*Premissas!$F$64+BM33*Premissas!$F$70+BM15*Premissas!$F$51</f>
        <v/>
      </c>
      <c r="BN52" s="27">
        <f>BN21*Premissas!$F$58+BN27*Premissas!$F$64+BN33*Premissas!$F$70+BN15*Premissas!$F$51</f>
        <v/>
      </c>
      <c r="BO52" s="27">
        <f>BO21*Premissas!$F$58+BO27*Premissas!$F$64+BO33*Premissas!$F$70+BO15*Premissas!$F$51</f>
        <v/>
      </c>
      <c r="BP52" s="27">
        <f>BP21*Premissas!$F$58+BP27*Premissas!$F$64+BP33*Premissas!$F$70+BP15*Premissas!$F$51</f>
        <v/>
      </c>
      <c r="BQ52" s="27">
        <f>BQ21*Premissas!$F$58+BQ27*Premissas!$F$64+BQ33*Premissas!$F$70+BQ15*Premissas!$F$51</f>
        <v/>
      </c>
      <c r="BR52" s="27">
        <f>BR21*Premissas!$F$58+BR27*Premissas!$F$64+BR33*Premissas!$F$70+BR15*Premissas!$F$51</f>
        <v/>
      </c>
      <c r="BS52" s="27">
        <f>BS21*Premissas!$F$58+BS27*Premissas!$F$64+BS33*Premissas!$F$70+BS15*Premissas!$F$51</f>
        <v/>
      </c>
      <c r="BT52" s="27">
        <f>BT21*Premissas!$F$58+BT27*Premissas!$F$64+BT33*Premissas!$F$70+BT15*Premissas!$F$51</f>
        <v/>
      </c>
      <c r="BU52" s="27">
        <f>BU21*Premissas!$F$58+BU27*Premissas!$F$64+BU33*Premissas!$F$70+BU15*Premissas!$F$51</f>
        <v/>
      </c>
      <c r="BV52" s="27">
        <f>BV21*Premissas!$F$58+BV27*Premissas!$F$64+BV33*Premissas!$F$70+BV15*Premissas!$F$51</f>
        <v/>
      </c>
      <c r="BW52" s="27">
        <f>BW21*Premissas!$F$58+BW27*Premissas!$F$64+BW33*Premissas!$F$70+BW15*Premissas!$F$51</f>
        <v/>
      </c>
      <c r="BX52" s="27">
        <f>BX21*Premissas!$F$58+BX27*Premissas!$F$64+BX33*Premissas!$F$70+BX15*Premissas!$F$51</f>
        <v/>
      </c>
      <c r="BY52" s="27">
        <f>BY21*Premissas!$F$58+BY27*Premissas!$F$64+BY33*Premissas!$F$70+BY15*Premissas!$F$51</f>
        <v/>
      </c>
      <c r="BZ52" s="27">
        <f>BZ21*Premissas!$F$58+BZ27*Premissas!$F$64+BZ33*Premissas!$F$70+BZ15*Premissas!$F$51</f>
        <v/>
      </c>
      <c r="CA52" s="27">
        <f>CA21*Premissas!$F$58+CA27*Premissas!$F$64+CA33*Premissas!$F$70+CA15*Premissas!$F$51</f>
        <v/>
      </c>
      <c r="CB52" s="27">
        <f>CB21*Premissas!$F$58+CB27*Premissas!$F$64+CB33*Premissas!$F$70+CB15*Premissas!$F$51</f>
        <v/>
      </c>
      <c r="CC52" s="27">
        <f>CC21*Premissas!$F$58+CC27*Premissas!$F$64+CC33*Premissas!$F$70+CC15*Premissas!$F$51</f>
        <v/>
      </c>
      <c r="CD52" s="27">
        <f>CD21*Premissas!$F$58+CD27*Premissas!$F$64+CD33*Premissas!$F$70+CD15*Premissas!$F$51</f>
        <v/>
      </c>
      <c r="CE52" s="27">
        <f>CE21*Premissas!$F$58+CE27*Premissas!$F$64+CE33*Premissas!$F$70+CE15*Premissas!$F$51</f>
        <v/>
      </c>
      <c r="CF52" s="27">
        <f>CF21*Premissas!$F$58+CF27*Premissas!$F$64+CF33*Premissas!$F$70+CF15*Premissas!$F$51</f>
        <v/>
      </c>
      <c r="CG52" s="27">
        <f>CG21*Premissas!$F$58+CG27*Premissas!$F$64+CG33*Premissas!$F$70+CG15*Premissas!$F$51</f>
        <v/>
      </c>
      <c r="CH52" s="27">
        <f>CH21*Premissas!$F$58+CH27*Premissas!$F$64+CH33*Premissas!$F$70+CH15*Premissas!$F$51</f>
        <v/>
      </c>
    </row>
    <row r="53">
      <c r="A53" s="3" t="inlineStr">
        <is>
          <t>Especialistas humanos nas contas (pessoas)</t>
        </is>
      </c>
      <c r="C53" s="12">
        <f>C21/Premissas!$F$59+C27/Premissas!$F$65+C33/Premissas!$F$71</f>
        <v/>
      </c>
      <c r="D53" s="12">
        <f>D21/Premissas!$F$59+D27/Premissas!$F$65+D33/Premissas!$F$71</f>
        <v/>
      </c>
      <c r="E53" s="12">
        <f>E21/Premissas!$F$59+E27/Premissas!$F$65+E33/Premissas!$F$71</f>
        <v/>
      </c>
      <c r="F53" s="12">
        <f>F21/Premissas!$F$59+F27/Premissas!$F$65+F33/Premissas!$F$71</f>
        <v/>
      </c>
      <c r="G53" s="12">
        <f>G21/Premissas!$F$59+G27/Premissas!$F$65+G33/Premissas!$F$71</f>
        <v/>
      </c>
      <c r="H53" s="12">
        <f>H21/Premissas!$F$59+H27/Premissas!$F$65+H33/Premissas!$F$71</f>
        <v/>
      </c>
      <c r="I53" s="12">
        <f>I21/Premissas!$F$59+I27/Premissas!$F$65+I33/Premissas!$F$71</f>
        <v/>
      </c>
      <c r="J53" s="12">
        <f>J21/Premissas!$F$59+J27/Premissas!$F$65+J33/Premissas!$F$71</f>
        <v/>
      </c>
      <c r="K53" s="12">
        <f>K21/Premissas!$F$59+K27/Premissas!$F$65+K33/Premissas!$F$71</f>
        <v/>
      </c>
      <c r="L53" s="12">
        <f>L21/Premissas!$F$59+L27/Premissas!$F$65+L33/Premissas!$F$71</f>
        <v/>
      </c>
      <c r="M53" s="12">
        <f>M21/Premissas!$F$59+M27/Premissas!$F$65+M33/Premissas!$F$71</f>
        <v/>
      </c>
      <c r="N53" s="12">
        <f>N21/Premissas!$F$59+N27/Premissas!$F$65+N33/Premissas!$F$71</f>
        <v/>
      </c>
      <c r="O53" s="12">
        <f>O21/Premissas!$F$59+O27/Premissas!$F$65+O33/Premissas!$F$71</f>
        <v/>
      </c>
      <c r="P53" s="12">
        <f>P21/Premissas!$F$59+P27/Premissas!$F$65+P33/Premissas!$F$71</f>
        <v/>
      </c>
      <c r="Q53" s="12">
        <f>Q21/Premissas!$F$59+Q27/Premissas!$F$65+Q33/Premissas!$F$71</f>
        <v/>
      </c>
      <c r="R53" s="12">
        <f>R21/Premissas!$F$59+R27/Premissas!$F$65+R33/Premissas!$F$71</f>
        <v/>
      </c>
      <c r="S53" s="12">
        <f>S21/Premissas!$F$59+S27/Premissas!$F$65+S33/Premissas!$F$71</f>
        <v/>
      </c>
      <c r="T53" s="12">
        <f>T21/Premissas!$F$59+T27/Premissas!$F$65+T33/Premissas!$F$71</f>
        <v/>
      </c>
      <c r="U53" s="12">
        <f>U21/Premissas!$F$59+U27/Premissas!$F$65+U33/Premissas!$F$71</f>
        <v/>
      </c>
      <c r="V53" s="12">
        <f>V21/Premissas!$F$59+V27/Premissas!$F$65+V33/Premissas!$F$71</f>
        <v/>
      </c>
      <c r="W53" s="12">
        <f>W21/Premissas!$F$59+W27/Premissas!$F$65+W33/Premissas!$F$71</f>
        <v/>
      </c>
      <c r="X53" s="12">
        <f>X21/Premissas!$F$59+X27/Premissas!$F$65+X33/Premissas!$F$71</f>
        <v/>
      </c>
      <c r="Y53" s="12">
        <f>Y21/Premissas!$F$59+Y27/Premissas!$F$65+Y33/Premissas!$F$71</f>
        <v/>
      </c>
      <c r="Z53" s="12">
        <f>Z21/Premissas!$F$59+Z27/Premissas!$F$65+Z33/Premissas!$F$71</f>
        <v/>
      </c>
      <c r="AA53" s="12">
        <f>AA21/Premissas!$F$59+AA27/Premissas!$F$65+AA33/Premissas!$F$71</f>
        <v/>
      </c>
      <c r="AB53" s="12">
        <f>AB21/Premissas!$F$59+AB27/Premissas!$F$65+AB33/Premissas!$F$71</f>
        <v/>
      </c>
      <c r="AC53" s="12">
        <f>AC21/Premissas!$F$59+AC27/Premissas!$F$65+AC33/Premissas!$F$71</f>
        <v/>
      </c>
      <c r="AD53" s="12">
        <f>AD21/Premissas!$F$59+AD27/Premissas!$F$65+AD33/Premissas!$F$71</f>
        <v/>
      </c>
      <c r="AE53" s="12">
        <f>AE21/Premissas!$F$59+AE27/Premissas!$F$65+AE33/Premissas!$F$71</f>
        <v/>
      </c>
      <c r="AF53" s="12">
        <f>AF21/Premissas!$F$59+AF27/Premissas!$F$65+AF33/Premissas!$F$71</f>
        <v/>
      </c>
      <c r="AG53" s="12">
        <f>AG21/Premissas!$F$59+AG27/Premissas!$F$65+AG33/Premissas!$F$71</f>
        <v/>
      </c>
      <c r="AH53" s="12">
        <f>AH21/Premissas!$F$59+AH27/Premissas!$F$65+AH33/Premissas!$F$71</f>
        <v/>
      </c>
      <c r="AI53" s="12">
        <f>AI21/Premissas!$F$59+AI27/Premissas!$F$65+AI33/Premissas!$F$71</f>
        <v/>
      </c>
      <c r="AJ53" s="12">
        <f>AJ21/Premissas!$F$59+AJ27/Premissas!$F$65+AJ33/Premissas!$F$71</f>
        <v/>
      </c>
      <c r="AK53" s="12">
        <f>AK21/Premissas!$F$59+AK27/Premissas!$F$65+AK33/Premissas!$F$71</f>
        <v/>
      </c>
      <c r="AL53" s="12">
        <f>AL21/Premissas!$F$59+AL27/Premissas!$F$65+AL33/Premissas!$F$71</f>
        <v/>
      </c>
      <c r="AM53" s="12">
        <f>AM21/Premissas!$F$59+AM27/Premissas!$F$65+AM33/Premissas!$F$71</f>
        <v/>
      </c>
      <c r="AN53" s="12">
        <f>AN21/Premissas!$F$59+AN27/Premissas!$F$65+AN33/Premissas!$F$71</f>
        <v/>
      </c>
      <c r="AO53" s="12">
        <f>AO21/Premissas!$F$59+AO27/Premissas!$F$65+AO33/Premissas!$F$71</f>
        <v/>
      </c>
      <c r="AP53" s="12">
        <f>AP21/Premissas!$F$59+AP27/Premissas!$F$65+AP33/Premissas!$F$71</f>
        <v/>
      </c>
      <c r="AQ53" s="12">
        <f>AQ21/Premissas!$F$59+AQ27/Premissas!$F$65+AQ33/Premissas!$F$71</f>
        <v/>
      </c>
      <c r="AR53" s="12">
        <f>AR21/Premissas!$F$59+AR27/Premissas!$F$65+AR33/Premissas!$F$71</f>
        <v/>
      </c>
      <c r="AS53" s="12">
        <f>AS21/Premissas!$F$59+AS27/Premissas!$F$65+AS33/Premissas!$F$71</f>
        <v/>
      </c>
      <c r="AT53" s="12">
        <f>AT21/Premissas!$F$59+AT27/Premissas!$F$65+AT33/Premissas!$F$71</f>
        <v/>
      </c>
      <c r="AU53" s="12">
        <f>AU21/Premissas!$F$59+AU27/Premissas!$F$65+AU33/Premissas!$F$71</f>
        <v/>
      </c>
      <c r="AV53" s="12">
        <f>AV21/Premissas!$F$59+AV27/Premissas!$F$65+AV33/Premissas!$F$71</f>
        <v/>
      </c>
      <c r="AW53" s="12">
        <f>AW21/Premissas!$F$59+AW27/Premissas!$F$65+AW33/Premissas!$F$71</f>
        <v/>
      </c>
      <c r="AX53" s="12">
        <f>AX21/Premissas!$F$59+AX27/Premissas!$F$65+AX33/Premissas!$F$71</f>
        <v/>
      </c>
      <c r="AY53" s="12">
        <f>AY21/Premissas!$F$59+AY27/Premissas!$F$65+AY33/Premissas!$F$71</f>
        <v/>
      </c>
      <c r="AZ53" s="12">
        <f>AZ21/Premissas!$F$59+AZ27/Premissas!$F$65+AZ33/Premissas!$F$71</f>
        <v/>
      </c>
      <c r="BA53" s="12">
        <f>BA21/Premissas!$F$59+BA27/Premissas!$F$65+BA33/Premissas!$F$71</f>
        <v/>
      </c>
      <c r="BB53" s="12">
        <f>BB21/Premissas!$F$59+BB27/Premissas!$F$65+BB33/Premissas!$F$71</f>
        <v/>
      </c>
      <c r="BC53" s="12">
        <f>BC21/Premissas!$F$59+BC27/Premissas!$F$65+BC33/Premissas!$F$71</f>
        <v/>
      </c>
      <c r="BD53" s="12">
        <f>BD21/Premissas!$F$59+BD27/Premissas!$F$65+BD33/Premissas!$F$71</f>
        <v/>
      </c>
      <c r="BE53" s="12">
        <f>BE21/Premissas!$F$59+BE27/Premissas!$F$65+BE33/Premissas!$F$71</f>
        <v/>
      </c>
      <c r="BF53" s="12">
        <f>BF21/Premissas!$F$59+BF27/Premissas!$F$65+BF33/Premissas!$F$71</f>
        <v/>
      </c>
      <c r="BG53" s="12">
        <f>BG21/Premissas!$F$59+BG27/Premissas!$F$65+BG33/Premissas!$F$71</f>
        <v/>
      </c>
      <c r="BH53" s="12">
        <f>BH21/Premissas!$F$59+BH27/Premissas!$F$65+BH33/Premissas!$F$71</f>
        <v/>
      </c>
      <c r="BI53" s="12">
        <f>BI21/Premissas!$F$59+BI27/Premissas!$F$65+BI33/Premissas!$F$71</f>
        <v/>
      </c>
      <c r="BJ53" s="12">
        <f>BJ21/Premissas!$F$59+BJ27/Premissas!$F$65+BJ33/Premissas!$F$71</f>
        <v/>
      </c>
      <c r="BK53" s="12">
        <f>BK21/Premissas!$F$59+BK27/Premissas!$F$65+BK33/Premissas!$F$71</f>
        <v/>
      </c>
      <c r="BL53" s="12">
        <f>BL21/Premissas!$F$59+BL27/Premissas!$F$65+BL33/Premissas!$F$71</f>
        <v/>
      </c>
      <c r="BM53" s="12">
        <f>BM21/Premissas!$F$59+BM27/Premissas!$F$65+BM33/Premissas!$F$71</f>
        <v/>
      </c>
      <c r="BN53" s="12">
        <f>BN21/Premissas!$F$59+BN27/Premissas!$F$65+BN33/Premissas!$F$71</f>
        <v/>
      </c>
      <c r="BO53" s="12">
        <f>BO21/Premissas!$F$59+BO27/Premissas!$F$65+BO33/Premissas!$F$71</f>
        <v/>
      </c>
      <c r="BP53" s="12">
        <f>BP21/Premissas!$F$59+BP27/Premissas!$F$65+BP33/Premissas!$F$71</f>
        <v/>
      </c>
      <c r="BQ53" s="12">
        <f>BQ21/Premissas!$F$59+BQ27/Premissas!$F$65+BQ33/Premissas!$F$71</f>
        <v/>
      </c>
      <c r="BR53" s="12">
        <f>BR21/Premissas!$F$59+BR27/Premissas!$F$65+BR33/Premissas!$F$71</f>
        <v/>
      </c>
      <c r="BS53" s="12">
        <f>BS21/Premissas!$F$59+BS27/Premissas!$F$65+BS33/Premissas!$F$71</f>
        <v/>
      </c>
      <c r="BT53" s="12">
        <f>BT21/Premissas!$F$59+BT27/Premissas!$F$65+BT33/Premissas!$F$71</f>
        <v/>
      </c>
      <c r="BU53" s="12">
        <f>BU21/Premissas!$F$59+BU27/Premissas!$F$65+BU33/Premissas!$F$71</f>
        <v/>
      </c>
      <c r="BV53" s="12">
        <f>BV21/Premissas!$F$59+BV27/Premissas!$F$65+BV33/Premissas!$F$71</f>
        <v/>
      </c>
      <c r="BW53" s="12">
        <f>BW21/Premissas!$F$59+BW27/Premissas!$F$65+BW33/Premissas!$F$71</f>
        <v/>
      </c>
      <c r="BX53" s="12">
        <f>BX21/Premissas!$F$59+BX27/Premissas!$F$65+BX33/Premissas!$F$71</f>
        <v/>
      </c>
      <c r="BY53" s="12">
        <f>BY21/Premissas!$F$59+BY27/Premissas!$F$65+BY33/Premissas!$F$71</f>
        <v/>
      </c>
      <c r="BZ53" s="12">
        <f>BZ21/Premissas!$F$59+BZ27/Premissas!$F$65+BZ33/Premissas!$F$71</f>
        <v/>
      </c>
      <c r="CA53" s="12">
        <f>CA21/Premissas!$F$59+CA27/Premissas!$F$65+CA33/Premissas!$F$71</f>
        <v/>
      </c>
      <c r="CB53" s="12">
        <f>CB21/Premissas!$F$59+CB27/Premissas!$F$65+CB33/Premissas!$F$71</f>
        <v/>
      </c>
      <c r="CC53" s="12">
        <f>CC21/Premissas!$F$59+CC27/Premissas!$F$65+CC33/Premissas!$F$71</f>
        <v/>
      </c>
      <c r="CD53" s="12">
        <f>CD21/Premissas!$F$59+CD27/Premissas!$F$65+CD33/Premissas!$F$71</f>
        <v/>
      </c>
      <c r="CE53" s="12">
        <f>CE21/Premissas!$F$59+CE27/Premissas!$F$65+CE33/Premissas!$F$71</f>
        <v/>
      </c>
      <c r="CF53" s="12">
        <f>CF21/Premissas!$F$59+CF27/Premissas!$F$65+CF33/Premissas!$F$71</f>
        <v/>
      </c>
      <c r="CG53" s="12">
        <f>CG21/Premissas!$F$59+CG27/Premissas!$F$65+CG33/Premissas!$F$71</f>
        <v/>
      </c>
      <c r="CH53" s="12">
        <f>CH21/Premissas!$F$59+CH27/Premissas!$F$65+CH33/Premissas!$F$71</f>
        <v/>
      </c>
    </row>
    <row r="54">
      <c r="A54" s="3" t="inlineStr">
        <is>
          <t>Custo dos especialistas</t>
        </is>
      </c>
      <c r="C54" s="27">
        <f>C53*Premissas!$F$50</f>
        <v/>
      </c>
      <c r="D54" s="27">
        <f>D53*Premissas!$F$50</f>
        <v/>
      </c>
      <c r="E54" s="27">
        <f>E53*Premissas!$F$50</f>
        <v/>
      </c>
      <c r="F54" s="27">
        <f>F53*Premissas!$F$50</f>
        <v/>
      </c>
      <c r="G54" s="27">
        <f>G53*Premissas!$F$50</f>
        <v/>
      </c>
      <c r="H54" s="27">
        <f>H53*Premissas!$F$50</f>
        <v/>
      </c>
      <c r="I54" s="27">
        <f>I53*Premissas!$F$50</f>
        <v/>
      </c>
      <c r="J54" s="27">
        <f>J53*Premissas!$F$50</f>
        <v/>
      </c>
      <c r="K54" s="27">
        <f>K53*Premissas!$F$50</f>
        <v/>
      </c>
      <c r="L54" s="27">
        <f>L53*Premissas!$F$50</f>
        <v/>
      </c>
      <c r="M54" s="27">
        <f>M53*Premissas!$F$50</f>
        <v/>
      </c>
      <c r="N54" s="27">
        <f>N53*Premissas!$F$50</f>
        <v/>
      </c>
      <c r="O54" s="27">
        <f>O53*Premissas!$F$50</f>
        <v/>
      </c>
      <c r="P54" s="27">
        <f>P53*Premissas!$F$50</f>
        <v/>
      </c>
      <c r="Q54" s="27">
        <f>Q53*Premissas!$F$50</f>
        <v/>
      </c>
      <c r="R54" s="27">
        <f>R53*Premissas!$F$50</f>
        <v/>
      </c>
      <c r="S54" s="27">
        <f>S53*Premissas!$F$50</f>
        <v/>
      </c>
      <c r="T54" s="27">
        <f>T53*Premissas!$F$50</f>
        <v/>
      </c>
      <c r="U54" s="27">
        <f>U53*Premissas!$F$50</f>
        <v/>
      </c>
      <c r="V54" s="27">
        <f>V53*Premissas!$F$50</f>
        <v/>
      </c>
      <c r="W54" s="27">
        <f>W53*Premissas!$F$50</f>
        <v/>
      </c>
      <c r="X54" s="27">
        <f>X53*Premissas!$F$50</f>
        <v/>
      </c>
      <c r="Y54" s="27">
        <f>Y53*Premissas!$F$50</f>
        <v/>
      </c>
      <c r="Z54" s="27">
        <f>Z53*Premissas!$F$50</f>
        <v/>
      </c>
      <c r="AA54" s="27">
        <f>AA53*Premissas!$F$50</f>
        <v/>
      </c>
      <c r="AB54" s="27">
        <f>AB53*Premissas!$F$50</f>
        <v/>
      </c>
      <c r="AC54" s="27">
        <f>AC53*Premissas!$F$50</f>
        <v/>
      </c>
      <c r="AD54" s="27">
        <f>AD53*Premissas!$F$50</f>
        <v/>
      </c>
      <c r="AE54" s="27">
        <f>AE53*Premissas!$F$50</f>
        <v/>
      </c>
      <c r="AF54" s="27">
        <f>AF53*Premissas!$F$50</f>
        <v/>
      </c>
      <c r="AG54" s="27">
        <f>AG53*Premissas!$F$50</f>
        <v/>
      </c>
      <c r="AH54" s="27">
        <f>AH53*Premissas!$F$50</f>
        <v/>
      </c>
      <c r="AI54" s="27">
        <f>AI53*Premissas!$F$50</f>
        <v/>
      </c>
      <c r="AJ54" s="27">
        <f>AJ53*Premissas!$F$50</f>
        <v/>
      </c>
      <c r="AK54" s="27">
        <f>AK53*Premissas!$F$50</f>
        <v/>
      </c>
      <c r="AL54" s="27">
        <f>AL53*Premissas!$F$50</f>
        <v/>
      </c>
      <c r="AM54" s="27">
        <f>AM53*Premissas!$F$50</f>
        <v/>
      </c>
      <c r="AN54" s="27">
        <f>AN53*Premissas!$F$50</f>
        <v/>
      </c>
      <c r="AO54" s="27">
        <f>AO53*Premissas!$F$50</f>
        <v/>
      </c>
      <c r="AP54" s="27">
        <f>AP53*Premissas!$F$50</f>
        <v/>
      </c>
      <c r="AQ54" s="27">
        <f>AQ53*Premissas!$F$50</f>
        <v/>
      </c>
      <c r="AR54" s="27">
        <f>AR53*Premissas!$F$50</f>
        <v/>
      </c>
      <c r="AS54" s="27">
        <f>AS53*Premissas!$F$50</f>
        <v/>
      </c>
      <c r="AT54" s="27">
        <f>AT53*Premissas!$F$50</f>
        <v/>
      </c>
      <c r="AU54" s="27">
        <f>AU53*Premissas!$F$50</f>
        <v/>
      </c>
      <c r="AV54" s="27">
        <f>AV53*Premissas!$F$50</f>
        <v/>
      </c>
      <c r="AW54" s="27">
        <f>AW53*Premissas!$F$50</f>
        <v/>
      </c>
      <c r="AX54" s="27">
        <f>AX53*Premissas!$F$50</f>
        <v/>
      </c>
      <c r="AY54" s="27">
        <f>AY53*Premissas!$F$50</f>
        <v/>
      </c>
      <c r="AZ54" s="27">
        <f>AZ53*Premissas!$F$50</f>
        <v/>
      </c>
      <c r="BA54" s="27">
        <f>BA53*Premissas!$F$50</f>
        <v/>
      </c>
      <c r="BB54" s="27">
        <f>BB53*Premissas!$F$50</f>
        <v/>
      </c>
      <c r="BC54" s="27">
        <f>BC53*Premissas!$F$50</f>
        <v/>
      </c>
      <c r="BD54" s="27">
        <f>BD53*Premissas!$F$50</f>
        <v/>
      </c>
      <c r="BE54" s="27">
        <f>BE53*Premissas!$F$50</f>
        <v/>
      </c>
      <c r="BF54" s="27">
        <f>BF53*Premissas!$F$50</f>
        <v/>
      </c>
      <c r="BG54" s="27">
        <f>BG53*Premissas!$F$50</f>
        <v/>
      </c>
      <c r="BH54" s="27">
        <f>BH53*Premissas!$F$50</f>
        <v/>
      </c>
      <c r="BI54" s="27">
        <f>BI53*Premissas!$F$50</f>
        <v/>
      </c>
      <c r="BJ54" s="27">
        <f>BJ53*Premissas!$F$50</f>
        <v/>
      </c>
      <c r="BK54" s="27">
        <f>BK53*Premissas!$F$50</f>
        <v/>
      </c>
      <c r="BL54" s="27">
        <f>BL53*Premissas!$F$50</f>
        <v/>
      </c>
      <c r="BM54" s="27">
        <f>BM53*Premissas!$F$50</f>
        <v/>
      </c>
      <c r="BN54" s="27">
        <f>BN53*Premissas!$F$50</f>
        <v/>
      </c>
      <c r="BO54" s="27">
        <f>BO53*Premissas!$F$50</f>
        <v/>
      </c>
      <c r="BP54" s="27">
        <f>BP53*Premissas!$F$50</f>
        <v/>
      </c>
      <c r="BQ54" s="27">
        <f>BQ53*Premissas!$F$50</f>
        <v/>
      </c>
      <c r="BR54" s="27">
        <f>BR53*Premissas!$F$50</f>
        <v/>
      </c>
      <c r="BS54" s="27">
        <f>BS53*Premissas!$F$50</f>
        <v/>
      </c>
      <c r="BT54" s="27">
        <f>BT53*Premissas!$F$50</f>
        <v/>
      </c>
      <c r="BU54" s="27">
        <f>BU53*Premissas!$F$50</f>
        <v/>
      </c>
      <c r="BV54" s="27">
        <f>BV53*Premissas!$F$50</f>
        <v/>
      </c>
      <c r="BW54" s="27">
        <f>BW53*Premissas!$F$50</f>
        <v/>
      </c>
      <c r="BX54" s="27">
        <f>BX53*Premissas!$F$50</f>
        <v/>
      </c>
      <c r="BY54" s="27">
        <f>BY53*Premissas!$F$50</f>
        <v/>
      </c>
      <c r="BZ54" s="27">
        <f>BZ53*Premissas!$F$50</f>
        <v/>
      </c>
      <c r="CA54" s="27">
        <f>CA53*Premissas!$F$50</f>
        <v/>
      </c>
      <c r="CB54" s="27">
        <f>CB53*Premissas!$F$50</f>
        <v/>
      </c>
      <c r="CC54" s="27">
        <f>CC53*Premissas!$F$50</f>
        <v/>
      </c>
      <c r="CD54" s="27">
        <f>CD53*Premissas!$F$50</f>
        <v/>
      </c>
      <c r="CE54" s="27">
        <f>CE53*Premissas!$F$50</f>
        <v/>
      </c>
      <c r="CF54" s="27">
        <f>CF53*Premissas!$F$50</f>
        <v/>
      </c>
      <c r="CG54" s="27">
        <f>CG53*Premissas!$F$50</f>
        <v/>
      </c>
      <c r="CH54" s="27">
        <f>CH53*Premissas!$F$50</f>
        <v/>
      </c>
    </row>
    <row r="55">
      <c r="A55" s="3" t="inlineStr">
        <is>
          <t>Custo do serviço da receita de expansão</t>
        </is>
      </c>
      <c r="C55" s="27">
        <f>C41*Premissas!$F$53</f>
        <v/>
      </c>
      <c r="D55" s="27">
        <f>D41*Premissas!$F$53</f>
        <v/>
      </c>
      <c r="E55" s="27">
        <f>E41*Premissas!$F$53</f>
        <v/>
      </c>
      <c r="F55" s="27">
        <f>F41*Premissas!$F$53</f>
        <v/>
      </c>
      <c r="G55" s="27">
        <f>G41*Premissas!$F$53</f>
        <v/>
      </c>
      <c r="H55" s="27">
        <f>H41*Premissas!$F$53</f>
        <v/>
      </c>
      <c r="I55" s="27">
        <f>I41*Premissas!$F$53</f>
        <v/>
      </c>
      <c r="J55" s="27">
        <f>J41*Premissas!$F$53</f>
        <v/>
      </c>
      <c r="K55" s="27">
        <f>K41*Premissas!$F$53</f>
        <v/>
      </c>
      <c r="L55" s="27">
        <f>L41*Premissas!$F$53</f>
        <v/>
      </c>
      <c r="M55" s="27">
        <f>M41*Premissas!$F$53</f>
        <v/>
      </c>
      <c r="N55" s="27">
        <f>N41*Premissas!$F$53</f>
        <v/>
      </c>
      <c r="O55" s="27">
        <f>O41*Premissas!$F$53</f>
        <v/>
      </c>
      <c r="P55" s="27">
        <f>P41*Premissas!$F$53</f>
        <v/>
      </c>
      <c r="Q55" s="27">
        <f>Q41*Premissas!$F$53</f>
        <v/>
      </c>
      <c r="R55" s="27">
        <f>R41*Premissas!$F$53</f>
        <v/>
      </c>
      <c r="S55" s="27">
        <f>S41*Premissas!$F$53</f>
        <v/>
      </c>
      <c r="T55" s="27">
        <f>T41*Premissas!$F$53</f>
        <v/>
      </c>
      <c r="U55" s="27">
        <f>U41*Premissas!$F$53</f>
        <v/>
      </c>
      <c r="V55" s="27">
        <f>V41*Premissas!$F$53</f>
        <v/>
      </c>
      <c r="W55" s="27">
        <f>W41*Premissas!$F$53</f>
        <v/>
      </c>
      <c r="X55" s="27">
        <f>X41*Premissas!$F$53</f>
        <v/>
      </c>
      <c r="Y55" s="27">
        <f>Y41*Premissas!$F$53</f>
        <v/>
      </c>
      <c r="Z55" s="27">
        <f>Z41*Premissas!$F$53</f>
        <v/>
      </c>
      <c r="AA55" s="27">
        <f>AA41*Premissas!$F$53</f>
        <v/>
      </c>
      <c r="AB55" s="27">
        <f>AB41*Premissas!$F$53</f>
        <v/>
      </c>
      <c r="AC55" s="27">
        <f>AC41*Premissas!$F$53</f>
        <v/>
      </c>
      <c r="AD55" s="27">
        <f>AD41*Premissas!$F$53</f>
        <v/>
      </c>
      <c r="AE55" s="27">
        <f>AE41*Premissas!$F$53</f>
        <v/>
      </c>
      <c r="AF55" s="27">
        <f>AF41*Premissas!$F$53</f>
        <v/>
      </c>
      <c r="AG55" s="27">
        <f>AG41*Premissas!$F$53</f>
        <v/>
      </c>
      <c r="AH55" s="27">
        <f>AH41*Premissas!$F$53</f>
        <v/>
      </c>
      <c r="AI55" s="27">
        <f>AI41*Premissas!$F$53</f>
        <v/>
      </c>
      <c r="AJ55" s="27">
        <f>AJ41*Premissas!$F$53</f>
        <v/>
      </c>
      <c r="AK55" s="27">
        <f>AK41*Premissas!$F$53</f>
        <v/>
      </c>
      <c r="AL55" s="27">
        <f>AL41*Premissas!$F$53</f>
        <v/>
      </c>
      <c r="AM55" s="27">
        <f>AM41*Premissas!$F$53</f>
        <v/>
      </c>
      <c r="AN55" s="27">
        <f>AN41*Premissas!$F$53</f>
        <v/>
      </c>
      <c r="AO55" s="27">
        <f>AO41*Premissas!$F$53</f>
        <v/>
      </c>
      <c r="AP55" s="27">
        <f>AP41*Premissas!$F$53</f>
        <v/>
      </c>
      <c r="AQ55" s="27">
        <f>AQ41*Premissas!$F$53</f>
        <v/>
      </c>
      <c r="AR55" s="27">
        <f>AR41*Premissas!$F$53</f>
        <v/>
      </c>
      <c r="AS55" s="27">
        <f>AS41*Premissas!$F$53</f>
        <v/>
      </c>
      <c r="AT55" s="27">
        <f>AT41*Premissas!$F$53</f>
        <v/>
      </c>
      <c r="AU55" s="27">
        <f>AU41*Premissas!$F$53</f>
        <v/>
      </c>
      <c r="AV55" s="27">
        <f>AV41*Premissas!$F$53</f>
        <v/>
      </c>
      <c r="AW55" s="27">
        <f>AW41*Premissas!$F$53</f>
        <v/>
      </c>
      <c r="AX55" s="27">
        <f>AX41*Premissas!$F$53</f>
        <v/>
      </c>
      <c r="AY55" s="27">
        <f>AY41*Premissas!$F$53</f>
        <v/>
      </c>
      <c r="AZ55" s="27">
        <f>AZ41*Premissas!$F$53</f>
        <v/>
      </c>
      <c r="BA55" s="27">
        <f>BA41*Premissas!$F$53</f>
        <v/>
      </c>
      <c r="BB55" s="27">
        <f>BB41*Premissas!$F$53</f>
        <v/>
      </c>
      <c r="BC55" s="27">
        <f>BC41*Premissas!$F$53</f>
        <v/>
      </c>
      <c r="BD55" s="27">
        <f>BD41*Premissas!$F$53</f>
        <v/>
      </c>
      <c r="BE55" s="27">
        <f>BE41*Premissas!$F$53</f>
        <v/>
      </c>
      <c r="BF55" s="27">
        <f>BF41*Premissas!$F$53</f>
        <v/>
      </c>
      <c r="BG55" s="27">
        <f>BG41*Premissas!$F$53</f>
        <v/>
      </c>
      <c r="BH55" s="27">
        <f>BH41*Premissas!$F$53</f>
        <v/>
      </c>
      <c r="BI55" s="27">
        <f>BI41*Premissas!$F$53</f>
        <v/>
      </c>
      <c r="BJ55" s="27">
        <f>BJ41*Premissas!$F$53</f>
        <v/>
      </c>
      <c r="BK55" s="27">
        <f>BK41*Premissas!$F$53</f>
        <v/>
      </c>
      <c r="BL55" s="27">
        <f>BL41*Premissas!$F$53</f>
        <v/>
      </c>
      <c r="BM55" s="27">
        <f>BM41*Premissas!$F$53</f>
        <v/>
      </c>
      <c r="BN55" s="27">
        <f>BN41*Premissas!$F$53</f>
        <v/>
      </c>
      <c r="BO55" s="27">
        <f>BO41*Premissas!$F$53</f>
        <v/>
      </c>
      <c r="BP55" s="27">
        <f>BP41*Premissas!$F$53</f>
        <v/>
      </c>
      <c r="BQ55" s="27">
        <f>BQ41*Premissas!$F$53</f>
        <v/>
      </c>
      <c r="BR55" s="27">
        <f>BR41*Premissas!$F$53</f>
        <v/>
      </c>
      <c r="BS55" s="27">
        <f>BS41*Premissas!$F$53</f>
        <v/>
      </c>
      <c r="BT55" s="27">
        <f>BT41*Premissas!$F$53</f>
        <v/>
      </c>
      <c r="BU55" s="27">
        <f>BU41*Premissas!$F$53</f>
        <v/>
      </c>
      <c r="BV55" s="27">
        <f>BV41*Premissas!$F$53</f>
        <v/>
      </c>
      <c r="BW55" s="27">
        <f>BW41*Premissas!$F$53</f>
        <v/>
      </c>
      <c r="BX55" s="27">
        <f>BX41*Premissas!$F$53</f>
        <v/>
      </c>
      <c r="BY55" s="27">
        <f>BY41*Premissas!$F$53</f>
        <v/>
      </c>
      <c r="BZ55" s="27">
        <f>BZ41*Premissas!$F$53</f>
        <v/>
      </c>
      <c r="CA55" s="27">
        <f>CA41*Premissas!$F$53</f>
        <v/>
      </c>
      <c r="CB55" s="27">
        <f>CB41*Premissas!$F$53</f>
        <v/>
      </c>
      <c r="CC55" s="27">
        <f>CC41*Premissas!$F$53</f>
        <v/>
      </c>
      <c r="CD55" s="27">
        <f>CD41*Premissas!$F$53</f>
        <v/>
      </c>
      <c r="CE55" s="27">
        <f>CE41*Premissas!$F$53</f>
        <v/>
      </c>
      <c r="CF55" s="27">
        <f>CF41*Premissas!$F$53</f>
        <v/>
      </c>
      <c r="CG55" s="27">
        <f>CG41*Premissas!$F$53</f>
        <v/>
      </c>
      <c r="CH55" s="27">
        <f>CH41*Premissas!$F$53</f>
        <v/>
      </c>
    </row>
    <row r="56">
      <c r="A56" s="2" t="inlineStr">
        <is>
          <t>Custo do serviço total</t>
        </is>
      </c>
      <c r="C56" s="31">
        <f>C52+C54+C55</f>
        <v/>
      </c>
      <c r="D56" s="31">
        <f>D52+D54+D55</f>
        <v/>
      </c>
      <c r="E56" s="31">
        <f>E52+E54+E55</f>
        <v/>
      </c>
      <c r="F56" s="31">
        <f>F52+F54+F55</f>
        <v/>
      </c>
      <c r="G56" s="31">
        <f>G52+G54+G55</f>
        <v/>
      </c>
      <c r="H56" s="31">
        <f>H52+H54+H55</f>
        <v/>
      </c>
      <c r="I56" s="31">
        <f>I52+I54+I55</f>
        <v/>
      </c>
      <c r="J56" s="31">
        <f>J52+J54+J55</f>
        <v/>
      </c>
      <c r="K56" s="31">
        <f>K52+K54+K55</f>
        <v/>
      </c>
      <c r="L56" s="31">
        <f>L52+L54+L55</f>
        <v/>
      </c>
      <c r="M56" s="31">
        <f>M52+M54+M55</f>
        <v/>
      </c>
      <c r="N56" s="31">
        <f>N52+N54+N55</f>
        <v/>
      </c>
      <c r="O56" s="31">
        <f>O52+O54+O55</f>
        <v/>
      </c>
      <c r="P56" s="31">
        <f>P52+P54+P55</f>
        <v/>
      </c>
      <c r="Q56" s="31">
        <f>Q52+Q54+Q55</f>
        <v/>
      </c>
      <c r="R56" s="31">
        <f>R52+R54+R55</f>
        <v/>
      </c>
      <c r="S56" s="31">
        <f>S52+S54+S55</f>
        <v/>
      </c>
      <c r="T56" s="31">
        <f>T52+T54+T55</f>
        <v/>
      </c>
      <c r="U56" s="31">
        <f>U52+U54+U55</f>
        <v/>
      </c>
      <c r="V56" s="31">
        <f>V52+V54+V55</f>
        <v/>
      </c>
      <c r="W56" s="31">
        <f>W52+W54+W55</f>
        <v/>
      </c>
      <c r="X56" s="31">
        <f>X52+X54+X55</f>
        <v/>
      </c>
      <c r="Y56" s="31">
        <f>Y52+Y54+Y55</f>
        <v/>
      </c>
      <c r="Z56" s="31">
        <f>Z52+Z54+Z55</f>
        <v/>
      </c>
      <c r="AA56" s="31">
        <f>AA52+AA54+AA55</f>
        <v/>
      </c>
      <c r="AB56" s="31">
        <f>AB52+AB54+AB55</f>
        <v/>
      </c>
      <c r="AC56" s="31">
        <f>AC52+AC54+AC55</f>
        <v/>
      </c>
      <c r="AD56" s="31">
        <f>AD52+AD54+AD55</f>
        <v/>
      </c>
      <c r="AE56" s="31">
        <f>AE52+AE54+AE55</f>
        <v/>
      </c>
      <c r="AF56" s="31">
        <f>AF52+AF54+AF55</f>
        <v/>
      </c>
      <c r="AG56" s="31">
        <f>AG52+AG54+AG55</f>
        <v/>
      </c>
      <c r="AH56" s="31">
        <f>AH52+AH54+AH55</f>
        <v/>
      </c>
      <c r="AI56" s="31">
        <f>AI52+AI54+AI55</f>
        <v/>
      </c>
      <c r="AJ56" s="31">
        <f>AJ52+AJ54+AJ55</f>
        <v/>
      </c>
      <c r="AK56" s="31">
        <f>AK52+AK54+AK55</f>
        <v/>
      </c>
      <c r="AL56" s="31">
        <f>AL52+AL54+AL55</f>
        <v/>
      </c>
      <c r="AM56" s="31">
        <f>AM52+AM54+AM55</f>
        <v/>
      </c>
      <c r="AN56" s="31">
        <f>AN52+AN54+AN55</f>
        <v/>
      </c>
      <c r="AO56" s="31">
        <f>AO52+AO54+AO55</f>
        <v/>
      </c>
      <c r="AP56" s="31">
        <f>AP52+AP54+AP55</f>
        <v/>
      </c>
      <c r="AQ56" s="31">
        <f>AQ52+AQ54+AQ55</f>
        <v/>
      </c>
      <c r="AR56" s="31">
        <f>AR52+AR54+AR55</f>
        <v/>
      </c>
      <c r="AS56" s="31">
        <f>AS52+AS54+AS55</f>
        <v/>
      </c>
      <c r="AT56" s="31">
        <f>AT52+AT54+AT55</f>
        <v/>
      </c>
      <c r="AU56" s="31">
        <f>AU52+AU54+AU55</f>
        <v/>
      </c>
      <c r="AV56" s="31">
        <f>AV52+AV54+AV55</f>
        <v/>
      </c>
      <c r="AW56" s="31">
        <f>AW52+AW54+AW55</f>
        <v/>
      </c>
      <c r="AX56" s="31">
        <f>AX52+AX54+AX55</f>
        <v/>
      </c>
      <c r="AY56" s="31">
        <f>AY52+AY54+AY55</f>
        <v/>
      </c>
      <c r="AZ56" s="31">
        <f>AZ52+AZ54+AZ55</f>
        <v/>
      </c>
      <c r="BA56" s="31">
        <f>BA52+BA54+BA55</f>
        <v/>
      </c>
      <c r="BB56" s="31">
        <f>BB52+BB54+BB55</f>
        <v/>
      </c>
      <c r="BC56" s="31">
        <f>BC52+BC54+BC55</f>
        <v/>
      </c>
      <c r="BD56" s="31">
        <f>BD52+BD54+BD55</f>
        <v/>
      </c>
      <c r="BE56" s="31">
        <f>BE52+BE54+BE55</f>
        <v/>
      </c>
      <c r="BF56" s="31">
        <f>BF52+BF54+BF55</f>
        <v/>
      </c>
      <c r="BG56" s="31">
        <f>BG52+BG54+BG55</f>
        <v/>
      </c>
      <c r="BH56" s="31">
        <f>BH52+BH54+BH55</f>
        <v/>
      </c>
      <c r="BI56" s="31">
        <f>BI52+BI54+BI55</f>
        <v/>
      </c>
      <c r="BJ56" s="31">
        <f>BJ52+BJ54+BJ55</f>
        <v/>
      </c>
      <c r="BK56" s="31">
        <f>BK52+BK54+BK55</f>
        <v/>
      </c>
      <c r="BL56" s="31">
        <f>BL52+BL54+BL55</f>
        <v/>
      </c>
      <c r="BM56" s="31">
        <f>BM52+BM54+BM55</f>
        <v/>
      </c>
      <c r="BN56" s="31">
        <f>BN52+BN54+BN55</f>
        <v/>
      </c>
      <c r="BO56" s="31">
        <f>BO52+BO54+BO55</f>
        <v/>
      </c>
      <c r="BP56" s="31">
        <f>BP52+BP54+BP55</f>
        <v/>
      </c>
      <c r="BQ56" s="31">
        <f>BQ52+BQ54+BQ55</f>
        <v/>
      </c>
      <c r="BR56" s="31">
        <f>BR52+BR54+BR55</f>
        <v/>
      </c>
      <c r="BS56" s="31">
        <f>BS52+BS54+BS55</f>
        <v/>
      </c>
      <c r="BT56" s="31">
        <f>BT52+BT54+BT55</f>
        <v/>
      </c>
      <c r="BU56" s="31">
        <f>BU52+BU54+BU55</f>
        <v/>
      </c>
      <c r="BV56" s="31">
        <f>BV52+BV54+BV55</f>
        <v/>
      </c>
      <c r="BW56" s="31">
        <f>BW52+BW54+BW55</f>
        <v/>
      </c>
      <c r="BX56" s="31">
        <f>BX52+BX54+BX55</f>
        <v/>
      </c>
      <c r="BY56" s="31">
        <f>BY52+BY54+BY55</f>
        <v/>
      </c>
      <c r="BZ56" s="31">
        <f>BZ52+BZ54+BZ55</f>
        <v/>
      </c>
      <c r="CA56" s="31">
        <f>CA52+CA54+CA55</f>
        <v/>
      </c>
      <c r="CB56" s="31">
        <f>CB52+CB54+CB55</f>
        <v/>
      </c>
      <c r="CC56" s="31">
        <f>CC52+CC54+CC55</f>
        <v/>
      </c>
      <c r="CD56" s="31">
        <f>CD52+CD54+CD55</f>
        <v/>
      </c>
      <c r="CE56" s="31">
        <f>CE52+CE54+CE55</f>
        <v/>
      </c>
      <c r="CF56" s="31">
        <f>CF52+CF54+CF55</f>
        <v/>
      </c>
      <c r="CG56" s="31">
        <f>CG52+CG54+CG55</f>
        <v/>
      </c>
      <c r="CH56" s="31">
        <f>CH52+CH54+CH55</f>
        <v/>
      </c>
    </row>
    <row r="57">
      <c r="A57" s="2" t="inlineStr">
        <is>
          <t>Lucro bruto</t>
        </is>
      </c>
      <c r="C57" s="31">
        <f>C49-C56</f>
        <v/>
      </c>
      <c r="D57" s="31">
        <f>D49-D56</f>
        <v/>
      </c>
      <c r="E57" s="31">
        <f>E49-E56</f>
        <v/>
      </c>
      <c r="F57" s="31">
        <f>F49-F56</f>
        <v/>
      </c>
      <c r="G57" s="31">
        <f>G49-G56</f>
        <v/>
      </c>
      <c r="H57" s="31">
        <f>H49-H56</f>
        <v/>
      </c>
      <c r="I57" s="31">
        <f>I49-I56</f>
        <v/>
      </c>
      <c r="J57" s="31">
        <f>J49-J56</f>
        <v/>
      </c>
      <c r="K57" s="31">
        <f>K49-K56</f>
        <v/>
      </c>
      <c r="L57" s="31">
        <f>L49-L56</f>
        <v/>
      </c>
      <c r="M57" s="31">
        <f>M49-M56</f>
        <v/>
      </c>
      <c r="N57" s="31">
        <f>N49-N56</f>
        <v/>
      </c>
      <c r="O57" s="31">
        <f>O49-O56</f>
        <v/>
      </c>
      <c r="P57" s="31">
        <f>P49-P56</f>
        <v/>
      </c>
      <c r="Q57" s="31">
        <f>Q49-Q56</f>
        <v/>
      </c>
      <c r="R57" s="31">
        <f>R49-R56</f>
        <v/>
      </c>
      <c r="S57" s="31">
        <f>S49-S56</f>
        <v/>
      </c>
      <c r="T57" s="31">
        <f>T49-T56</f>
        <v/>
      </c>
      <c r="U57" s="31">
        <f>U49-U56</f>
        <v/>
      </c>
      <c r="V57" s="31">
        <f>V49-V56</f>
        <v/>
      </c>
      <c r="W57" s="31">
        <f>W49-W56</f>
        <v/>
      </c>
      <c r="X57" s="31">
        <f>X49-X56</f>
        <v/>
      </c>
      <c r="Y57" s="31">
        <f>Y49-Y56</f>
        <v/>
      </c>
      <c r="Z57" s="31">
        <f>Z49-Z56</f>
        <v/>
      </c>
      <c r="AA57" s="31">
        <f>AA49-AA56</f>
        <v/>
      </c>
      <c r="AB57" s="31">
        <f>AB49-AB56</f>
        <v/>
      </c>
      <c r="AC57" s="31">
        <f>AC49-AC56</f>
        <v/>
      </c>
      <c r="AD57" s="31">
        <f>AD49-AD56</f>
        <v/>
      </c>
      <c r="AE57" s="31">
        <f>AE49-AE56</f>
        <v/>
      </c>
      <c r="AF57" s="31">
        <f>AF49-AF56</f>
        <v/>
      </c>
      <c r="AG57" s="31">
        <f>AG49-AG56</f>
        <v/>
      </c>
      <c r="AH57" s="31">
        <f>AH49-AH56</f>
        <v/>
      </c>
      <c r="AI57" s="31">
        <f>AI49-AI56</f>
        <v/>
      </c>
      <c r="AJ57" s="31">
        <f>AJ49-AJ56</f>
        <v/>
      </c>
      <c r="AK57" s="31">
        <f>AK49-AK56</f>
        <v/>
      </c>
      <c r="AL57" s="31">
        <f>AL49-AL56</f>
        <v/>
      </c>
      <c r="AM57" s="31">
        <f>AM49-AM56</f>
        <v/>
      </c>
      <c r="AN57" s="31">
        <f>AN49-AN56</f>
        <v/>
      </c>
      <c r="AO57" s="31">
        <f>AO49-AO56</f>
        <v/>
      </c>
      <c r="AP57" s="31">
        <f>AP49-AP56</f>
        <v/>
      </c>
      <c r="AQ57" s="31">
        <f>AQ49-AQ56</f>
        <v/>
      </c>
      <c r="AR57" s="31">
        <f>AR49-AR56</f>
        <v/>
      </c>
      <c r="AS57" s="31">
        <f>AS49-AS56</f>
        <v/>
      </c>
      <c r="AT57" s="31">
        <f>AT49-AT56</f>
        <v/>
      </c>
      <c r="AU57" s="31">
        <f>AU49-AU56</f>
        <v/>
      </c>
      <c r="AV57" s="31">
        <f>AV49-AV56</f>
        <v/>
      </c>
      <c r="AW57" s="31">
        <f>AW49-AW56</f>
        <v/>
      </c>
      <c r="AX57" s="31">
        <f>AX49-AX56</f>
        <v/>
      </c>
      <c r="AY57" s="31">
        <f>AY49-AY56</f>
        <v/>
      </c>
      <c r="AZ57" s="31">
        <f>AZ49-AZ56</f>
        <v/>
      </c>
      <c r="BA57" s="31">
        <f>BA49-BA56</f>
        <v/>
      </c>
      <c r="BB57" s="31">
        <f>BB49-BB56</f>
        <v/>
      </c>
      <c r="BC57" s="31">
        <f>BC49-BC56</f>
        <v/>
      </c>
      <c r="BD57" s="31">
        <f>BD49-BD56</f>
        <v/>
      </c>
      <c r="BE57" s="31">
        <f>BE49-BE56</f>
        <v/>
      </c>
      <c r="BF57" s="31">
        <f>BF49-BF56</f>
        <v/>
      </c>
      <c r="BG57" s="31">
        <f>BG49-BG56</f>
        <v/>
      </c>
      <c r="BH57" s="31">
        <f>BH49-BH56</f>
        <v/>
      </c>
      <c r="BI57" s="31">
        <f>BI49-BI56</f>
        <v/>
      </c>
      <c r="BJ57" s="31">
        <f>BJ49-BJ56</f>
        <v/>
      </c>
      <c r="BK57" s="31">
        <f>BK49-BK56</f>
        <v/>
      </c>
      <c r="BL57" s="31">
        <f>BL49-BL56</f>
        <v/>
      </c>
      <c r="BM57" s="31">
        <f>BM49-BM56</f>
        <v/>
      </c>
      <c r="BN57" s="31">
        <f>BN49-BN56</f>
        <v/>
      </c>
      <c r="BO57" s="31">
        <f>BO49-BO56</f>
        <v/>
      </c>
      <c r="BP57" s="31">
        <f>BP49-BP56</f>
        <v/>
      </c>
      <c r="BQ57" s="31">
        <f>BQ49-BQ56</f>
        <v/>
      </c>
      <c r="BR57" s="31">
        <f>BR49-BR56</f>
        <v/>
      </c>
      <c r="BS57" s="31">
        <f>BS49-BS56</f>
        <v/>
      </c>
      <c r="BT57" s="31">
        <f>BT49-BT56</f>
        <v/>
      </c>
      <c r="BU57" s="31">
        <f>BU49-BU56</f>
        <v/>
      </c>
      <c r="BV57" s="31">
        <f>BV49-BV56</f>
        <v/>
      </c>
      <c r="BW57" s="31">
        <f>BW49-BW56</f>
        <v/>
      </c>
      <c r="BX57" s="31">
        <f>BX49-BX56</f>
        <v/>
      </c>
      <c r="BY57" s="31">
        <f>BY49-BY56</f>
        <v/>
      </c>
      <c r="BZ57" s="31">
        <f>BZ49-BZ56</f>
        <v/>
      </c>
      <c r="CA57" s="31">
        <f>CA49-CA56</f>
        <v/>
      </c>
      <c r="CB57" s="31">
        <f>CB49-CB56</f>
        <v/>
      </c>
      <c r="CC57" s="31">
        <f>CC49-CC56</f>
        <v/>
      </c>
      <c r="CD57" s="31">
        <f>CD49-CD56</f>
        <v/>
      </c>
      <c r="CE57" s="31">
        <f>CE49-CE56</f>
        <v/>
      </c>
      <c r="CF57" s="31">
        <f>CF49-CF56</f>
        <v/>
      </c>
      <c r="CG57" s="31">
        <f>CG49-CG56</f>
        <v/>
      </c>
      <c r="CH57" s="31">
        <f>CH49-CH56</f>
        <v/>
      </c>
    </row>
    <row r="58">
      <c r="A58" s="3" t="inlineStr">
        <is>
          <t>Margem bruta (sobre a receita líquida)</t>
        </is>
      </c>
      <c r="C58" s="28">
        <f>IF(C49&gt;0,C57/C49,0)</f>
        <v/>
      </c>
      <c r="D58" s="28">
        <f>IF(D49&gt;0,D57/D49,0)</f>
        <v/>
      </c>
      <c r="E58" s="28">
        <f>IF(E49&gt;0,E57/E49,0)</f>
        <v/>
      </c>
      <c r="F58" s="28">
        <f>IF(F49&gt;0,F57/F49,0)</f>
        <v/>
      </c>
      <c r="G58" s="28">
        <f>IF(G49&gt;0,G57/G49,0)</f>
        <v/>
      </c>
      <c r="H58" s="28">
        <f>IF(H49&gt;0,H57/H49,0)</f>
        <v/>
      </c>
      <c r="I58" s="28">
        <f>IF(I49&gt;0,I57/I49,0)</f>
        <v/>
      </c>
      <c r="J58" s="28">
        <f>IF(J49&gt;0,J57/J49,0)</f>
        <v/>
      </c>
      <c r="K58" s="28">
        <f>IF(K49&gt;0,K57/K49,0)</f>
        <v/>
      </c>
      <c r="L58" s="28">
        <f>IF(L49&gt;0,L57/L49,0)</f>
        <v/>
      </c>
      <c r="M58" s="28">
        <f>IF(M49&gt;0,M57/M49,0)</f>
        <v/>
      </c>
      <c r="N58" s="28">
        <f>IF(N49&gt;0,N57/N49,0)</f>
        <v/>
      </c>
      <c r="O58" s="28">
        <f>IF(O49&gt;0,O57/O49,0)</f>
        <v/>
      </c>
      <c r="P58" s="28">
        <f>IF(P49&gt;0,P57/P49,0)</f>
        <v/>
      </c>
      <c r="Q58" s="28">
        <f>IF(Q49&gt;0,Q57/Q49,0)</f>
        <v/>
      </c>
      <c r="R58" s="28">
        <f>IF(R49&gt;0,R57/R49,0)</f>
        <v/>
      </c>
      <c r="S58" s="28">
        <f>IF(S49&gt;0,S57/S49,0)</f>
        <v/>
      </c>
      <c r="T58" s="28">
        <f>IF(T49&gt;0,T57/T49,0)</f>
        <v/>
      </c>
      <c r="U58" s="28">
        <f>IF(U49&gt;0,U57/U49,0)</f>
        <v/>
      </c>
      <c r="V58" s="28">
        <f>IF(V49&gt;0,V57/V49,0)</f>
        <v/>
      </c>
      <c r="W58" s="28">
        <f>IF(W49&gt;0,W57/W49,0)</f>
        <v/>
      </c>
      <c r="X58" s="28">
        <f>IF(X49&gt;0,X57/X49,0)</f>
        <v/>
      </c>
      <c r="Y58" s="28">
        <f>IF(Y49&gt;0,Y57/Y49,0)</f>
        <v/>
      </c>
      <c r="Z58" s="28">
        <f>IF(Z49&gt;0,Z57/Z49,0)</f>
        <v/>
      </c>
      <c r="AA58" s="28">
        <f>IF(AA49&gt;0,AA57/AA49,0)</f>
        <v/>
      </c>
      <c r="AB58" s="28">
        <f>IF(AB49&gt;0,AB57/AB49,0)</f>
        <v/>
      </c>
      <c r="AC58" s="28">
        <f>IF(AC49&gt;0,AC57/AC49,0)</f>
        <v/>
      </c>
      <c r="AD58" s="28">
        <f>IF(AD49&gt;0,AD57/AD49,0)</f>
        <v/>
      </c>
      <c r="AE58" s="28">
        <f>IF(AE49&gt;0,AE57/AE49,0)</f>
        <v/>
      </c>
      <c r="AF58" s="28">
        <f>IF(AF49&gt;0,AF57/AF49,0)</f>
        <v/>
      </c>
      <c r="AG58" s="28">
        <f>IF(AG49&gt;0,AG57/AG49,0)</f>
        <v/>
      </c>
      <c r="AH58" s="28">
        <f>IF(AH49&gt;0,AH57/AH49,0)</f>
        <v/>
      </c>
      <c r="AI58" s="28">
        <f>IF(AI49&gt;0,AI57/AI49,0)</f>
        <v/>
      </c>
      <c r="AJ58" s="28">
        <f>IF(AJ49&gt;0,AJ57/AJ49,0)</f>
        <v/>
      </c>
      <c r="AK58" s="28">
        <f>IF(AK49&gt;0,AK57/AK49,0)</f>
        <v/>
      </c>
      <c r="AL58" s="28">
        <f>IF(AL49&gt;0,AL57/AL49,0)</f>
        <v/>
      </c>
      <c r="AM58" s="28">
        <f>IF(AM49&gt;0,AM57/AM49,0)</f>
        <v/>
      </c>
      <c r="AN58" s="28">
        <f>IF(AN49&gt;0,AN57/AN49,0)</f>
        <v/>
      </c>
      <c r="AO58" s="28">
        <f>IF(AO49&gt;0,AO57/AO49,0)</f>
        <v/>
      </c>
      <c r="AP58" s="28">
        <f>IF(AP49&gt;0,AP57/AP49,0)</f>
        <v/>
      </c>
      <c r="AQ58" s="28">
        <f>IF(AQ49&gt;0,AQ57/AQ49,0)</f>
        <v/>
      </c>
      <c r="AR58" s="28">
        <f>IF(AR49&gt;0,AR57/AR49,0)</f>
        <v/>
      </c>
      <c r="AS58" s="28">
        <f>IF(AS49&gt;0,AS57/AS49,0)</f>
        <v/>
      </c>
      <c r="AT58" s="28">
        <f>IF(AT49&gt;0,AT57/AT49,0)</f>
        <v/>
      </c>
      <c r="AU58" s="28">
        <f>IF(AU49&gt;0,AU57/AU49,0)</f>
        <v/>
      </c>
      <c r="AV58" s="28">
        <f>IF(AV49&gt;0,AV57/AV49,0)</f>
        <v/>
      </c>
      <c r="AW58" s="28">
        <f>IF(AW49&gt;0,AW57/AW49,0)</f>
        <v/>
      </c>
      <c r="AX58" s="28">
        <f>IF(AX49&gt;0,AX57/AX49,0)</f>
        <v/>
      </c>
      <c r="AY58" s="28">
        <f>IF(AY49&gt;0,AY57/AY49,0)</f>
        <v/>
      </c>
      <c r="AZ58" s="28">
        <f>IF(AZ49&gt;0,AZ57/AZ49,0)</f>
        <v/>
      </c>
      <c r="BA58" s="28">
        <f>IF(BA49&gt;0,BA57/BA49,0)</f>
        <v/>
      </c>
      <c r="BB58" s="28">
        <f>IF(BB49&gt;0,BB57/BB49,0)</f>
        <v/>
      </c>
      <c r="BC58" s="28">
        <f>IF(BC49&gt;0,BC57/BC49,0)</f>
        <v/>
      </c>
      <c r="BD58" s="28">
        <f>IF(BD49&gt;0,BD57/BD49,0)</f>
        <v/>
      </c>
      <c r="BE58" s="28">
        <f>IF(BE49&gt;0,BE57/BE49,0)</f>
        <v/>
      </c>
      <c r="BF58" s="28">
        <f>IF(BF49&gt;0,BF57/BF49,0)</f>
        <v/>
      </c>
      <c r="BG58" s="28">
        <f>IF(BG49&gt;0,BG57/BG49,0)</f>
        <v/>
      </c>
      <c r="BH58" s="28">
        <f>IF(BH49&gt;0,BH57/BH49,0)</f>
        <v/>
      </c>
      <c r="BI58" s="28">
        <f>IF(BI49&gt;0,BI57/BI49,0)</f>
        <v/>
      </c>
      <c r="BJ58" s="28">
        <f>IF(BJ49&gt;0,BJ57/BJ49,0)</f>
        <v/>
      </c>
      <c r="BK58" s="28">
        <f>IF(BK49&gt;0,BK57/BK49,0)</f>
        <v/>
      </c>
      <c r="BL58" s="28">
        <f>IF(BL49&gt;0,BL57/BL49,0)</f>
        <v/>
      </c>
      <c r="BM58" s="28">
        <f>IF(BM49&gt;0,BM57/BM49,0)</f>
        <v/>
      </c>
      <c r="BN58" s="28">
        <f>IF(BN49&gt;0,BN57/BN49,0)</f>
        <v/>
      </c>
      <c r="BO58" s="28">
        <f>IF(BO49&gt;0,BO57/BO49,0)</f>
        <v/>
      </c>
      <c r="BP58" s="28">
        <f>IF(BP49&gt;0,BP57/BP49,0)</f>
        <v/>
      </c>
      <c r="BQ58" s="28">
        <f>IF(BQ49&gt;0,BQ57/BQ49,0)</f>
        <v/>
      </c>
      <c r="BR58" s="28">
        <f>IF(BR49&gt;0,BR57/BR49,0)</f>
        <v/>
      </c>
      <c r="BS58" s="28">
        <f>IF(BS49&gt;0,BS57/BS49,0)</f>
        <v/>
      </c>
      <c r="BT58" s="28">
        <f>IF(BT49&gt;0,BT57/BT49,0)</f>
        <v/>
      </c>
      <c r="BU58" s="28">
        <f>IF(BU49&gt;0,BU57/BU49,0)</f>
        <v/>
      </c>
      <c r="BV58" s="28">
        <f>IF(BV49&gt;0,BV57/BV49,0)</f>
        <v/>
      </c>
      <c r="BW58" s="28">
        <f>IF(BW49&gt;0,BW57/BW49,0)</f>
        <v/>
      </c>
      <c r="BX58" s="28">
        <f>IF(BX49&gt;0,BX57/BX49,0)</f>
        <v/>
      </c>
      <c r="BY58" s="28">
        <f>IF(BY49&gt;0,BY57/BY49,0)</f>
        <v/>
      </c>
      <c r="BZ58" s="28">
        <f>IF(BZ49&gt;0,BZ57/BZ49,0)</f>
        <v/>
      </c>
      <c r="CA58" s="28">
        <f>IF(CA49&gt;0,CA57/CA49,0)</f>
        <v/>
      </c>
      <c r="CB58" s="28">
        <f>IF(CB49&gt;0,CB57/CB49,0)</f>
        <v/>
      </c>
      <c r="CC58" s="28">
        <f>IF(CC49&gt;0,CC57/CC49,0)</f>
        <v/>
      </c>
      <c r="CD58" s="28">
        <f>IF(CD49&gt;0,CD57/CD49,0)</f>
        <v/>
      </c>
      <c r="CE58" s="28">
        <f>IF(CE49&gt;0,CE57/CE49,0)</f>
        <v/>
      </c>
      <c r="CF58" s="28">
        <f>IF(CF49&gt;0,CF57/CF49,0)</f>
        <v/>
      </c>
      <c r="CG58" s="28">
        <f>IF(CG49&gt;0,CG57/CG49,0)</f>
        <v/>
      </c>
      <c r="CH58" s="28">
        <f>IF(CH49&gt;0,CH57/CH49,0)</f>
        <v/>
      </c>
    </row>
    <row r="60">
      <c r="A60" s="4" t="inlineStr">
        <is>
          <t>Despesas operacionais</t>
        </is>
      </c>
      <c r="B60" s="5" t="n"/>
    </row>
    <row r="61">
      <c r="A61" s="3" t="inlineStr">
        <is>
          <t>Produto, engenharia e IA</t>
        </is>
      </c>
      <c r="C61" s="27">
        <f>INDEX(Premissas!$C$25:$I$25,1,C3)*Premissas!$F$32</f>
        <v/>
      </c>
      <c r="D61" s="27">
        <f>INDEX(Premissas!$C$25:$I$25,1,D3)*Premissas!$F$32</f>
        <v/>
      </c>
      <c r="E61" s="27">
        <f>INDEX(Premissas!$C$25:$I$25,1,E3)*Premissas!$F$32</f>
        <v/>
      </c>
      <c r="F61" s="27">
        <f>INDEX(Premissas!$C$25:$I$25,1,F3)*Premissas!$F$32</f>
        <v/>
      </c>
      <c r="G61" s="27">
        <f>INDEX(Premissas!$C$25:$I$25,1,G3)*Premissas!$F$32</f>
        <v/>
      </c>
      <c r="H61" s="27">
        <f>INDEX(Premissas!$C$25:$I$25,1,H3)*Premissas!$F$32</f>
        <v/>
      </c>
      <c r="I61" s="27">
        <f>INDEX(Premissas!$C$25:$I$25,1,I3)*Premissas!$F$32</f>
        <v/>
      </c>
      <c r="J61" s="27">
        <f>INDEX(Premissas!$C$25:$I$25,1,J3)*Premissas!$F$32</f>
        <v/>
      </c>
      <c r="K61" s="27">
        <f>INDEX(Premissas!$C$25:$I$25,1,K3)*Premissas!$F$32</f>
        <v/>
      </c>
      <c r="L61" s="27">
        <f>INDEX(Premissas!$C$25:$I$25,1,L3)*Premissas!$F$32</f>
        <v/>
      </c>
      <c r="M61" s="27">
        <f>INDEX(Premissas!$C$25:$I$25,1,M3)*Premissas!$F$32</f>
        <v/>
      </c>
      <c r="N61" s="27">
        <f>INDEX(Premissas!$C$25:$I$25,1,N3)*Premissas!$F$32</f>
        <v/>
      </c>
      <c r="O61" s="27">
        <f>INDEX(Premissas!$C$25:$I$25,1,O3)*Premissas!$F$32</f>
        <v/>
      </c>
      <c r="P61" s="27">
        <f>INDEX(Premissas!$C$25:$I$25,1,P3)*Premissas!$F$32</f>
        <v/>
      </c>
      <c r="Q61" s="27">
        <f>INDEX(Premissas!$C$25:$I$25,1,Q3)*Premissas!$F$32</f>
        <v/>
      </c>
      <c r="R61" s="27">
        <f>INDEX(Premissas!$C$25:$I$25,1,R3)*Premissas!$F$32</f>
        <v/>
      </c>
      <c r="S61" s="27">
        <f>INDEX(Premissas!$C$25:$I$25,1,S3)*Premissas!$F$32</f>
        <v/>
      </c>
      <c r="T61" s="27">
        <f>INDEX(Premissas!$C$25:$I$25,1,T3)*Premissas!$F$32</f>
        <v/>
      </c>
      <c r="U61" s="27">
        <f>INDEX(Premissas!$C$25:$I$25,1,U3)*Premissas!$F$32</f>
        <v/>
      </c>
      <c r="V61" s="27">
        <f>INDEX(Premissas!$C$25:$I$25,1,V3)*Premissas!$F$32</f>
        <v/>
      </c>
      <c r="W61" s="27">
        <f>INDEX(Premissas!$C$25:$I$25,1,W3)*Premissas!$F$32</f>
        <v/>
      </c>
      <c r="X61" s="27">
        <f>INDEX(Premissas!$C$25:$I$25,1,X3)*Premissas!$F$32</f>
        <v/>
      </c>
      <c r="Y61" s="27">
        <f>INDEX(Premissas!$C$25:$I$25,1,Y3)*Premissas!$F$32</f>
        <v/>
      </c>
      <c r="Z61" s="27">
        <f>INDEX(Premissas!$C$25:$I$25,1,Z3)*Premissas!$F$32</f>
        <v/>
      </c>
      <c r="AA61" s="27">
        <f>INDEX(Premissas!$C$25:$I$25,1,AA3)*Premissas!$F$32</f>
        <v/>
      </c>
      <c r="AB61" s="27">
        <f>INDEX(Premissas!$C$25:$I$25,1,AB3)*Premissas!$F$32</f>
        <v/>
      </c>
      <c r="AC61" s="27">
        <f>INDEX(Premissas!$C$25:$I$25,1,AC3)*Premissas!$F$32</f>
        <v/>
      </c>
      <c r="AD61" s="27">
        <f>INDEX(Premissas!$C$25:$I$25,1,AD3)*Premissas!$F$32</f>
        <v/>
      </c>
      <c r="AE61" s="27">
        <f>INDEX(Premissas!$C$25:$I$25,1,AE3)*Premissas!$F$32</f>
        <v/>
      </c>
      <c r="AF61" s="27">
        <f>INDEX(Premissas!$C$25:$I$25,1,AF3)*Premissas!$F$32</f>
        <v/>
      </c>
      <c r="AG61" s="27">
        <f>INDEX(Premissas!$C$25:$I$25,1,AG3)*Premissas!$F$32</f>
        <v/>
      </c>
      <c r="AH61" s="27">
        <f>INDEX(Premissas!$C$25:$I$25,1,AH3)*Premissas!$F$32</f>
        <v/>
      </c>
      <c r="AI61" s="27">
        <f>INDEX(Premissas!$C$25:$I$25,1,AI3)*Premissas!$F$32</f>
        <v/>
      </c>
      <c r="AJ61" s="27">
        <f>INDEX(Premissas!$C$25:$I$25,1,AJ3)*Premissas!$F$32</f>
        <v/>
      </c>
      <c r="AK61" s="27">
        <f>INDEX(Premissas!$C$25:$I$25,1,AK3)*Premissas!$F$32</f>
        <v/>
      </c>
      <c r="AL61" s="27">
        <f>INDEX(Premissas!$C$25:$I$25,1,AL3)*Premissas!$F$32</f>
        <v/>
      </c>
      <c r="AM61" s="27">
        <f>INDEX(Premissas!$C$25:$I$25,1,AM3)*Premissas!$F$32</f>
        <v/>
      </c>
      <c r="AN61" s="27">
        <f>INDEX(Premissas!$C$25:$I$25,1,AN3)*Premissas!$F$32</f>
        <v/>
      </c>
      <c r="AO61" s="27">
        <f>INDEX(Premissas!$C$25:$I$25,1,AO3)*Premissas!$F$32</f>
        <v/>
      </c>
      <c r="AP61" s="27">
        <f>INDEX(Premissas!$C$25:$I$25,1,AP3)*Premissas!$F$32</f>
        <v/>
      </c>
      <c r="AQ61" s="27">
        <f>INDEX(Premissas!$C$25:$I$25,1,AQ3)*Premissas!$F$32</f>
        <v/>
      </c>
      <c r="AR61" s="27">
        <f>INDEX(Premissas!$C$25:$I$25,1,AR3)*Premissas!$F$32</f>
        <v/>
      </c>
      <c r="AS61" s="27">
        <f>INDEX(Premissas!$C$25:$I$25,1,AS3)*Premissas!$F$32</f>
        <v/>
      </c>
      <c r="AT61" s="27">
        <f>INDEX(Premissas!$C$25:$I$25,1,AT3)*Premissas!$F$32</f>
        <v/>
      </c>
      <c r="AU61" s="27">
        <f>INDEX(Premissas!$C$25:$I$25,1,AU3)*Premissas!$F$32</f>
        <v/>
      </c>
      <c r="AV61" s="27">
        <f>INDEX(Premissas!$C$25:$I$25,1,AV3)*Premissas!$F$32</f>
        <v/>
      </c>
      <c r="AW61" s="27">
        <f>INDEX(Premissas!$C$25:$I$25,1,AW3)*Premissas!$F$32</f>
        <v/>
      </c>
      <c r="AX61" s="27">
        <f>INDEX(Premissas!$C$25:$I$25,1,AX3)*Premissas!$F$32</f>
        <v/>
      </c>
      <c r="AY61" s="27">
        <f>INDEX(Premissas!$C$25:$I$25,1,AY3)*Premissas!$F$32</f>
        <v/>
      </c>
      <c r="AZ61" s="27">
        <f>INDEX(Premissas!$C$25:$I$25,1,AZ3)*Premissas!$F$32</f>
        <v/>
      </c>
      <c r="BA61" s="27">
        <f>INDEX(Premissas!$C$25:$I$25,1,BA3)*Premissas!$F$32</f>
        <v/>
      </c>
      <c r="BB61" s="27">
        <f>INDEX(Premissas!$C$25:$I$25,1,BB3)*Premissas!$F$32</f>
        <v/>
      </c>
      <c r="BC61" s="27">
        <f>INDEX(Premissas!$C$25:$I$25,1,BC3)*Premissas!$F$32</f>
        <v/>
      </c>
      <c r="BD61" s="27">
        <f>INDEX(Premissas!$C$25:$I$25,1,BD3)*Premissas!$F$32</f>
        <v/>
      </c>
      <c r="BE61" s="27">
        <f>INDEX(Premissas!$C$25:$I$25,1,BE3)*Premissas!$F$32</f>
        <v/>
      </c>
      <c r="BF61" s="27">
        <f>INDEX(Premissas!$C$25:$I$25,1,BF3)*Premissas!$F$32</f>
        <v/>
      </c>
      <c r="BG61" s="27">
        <f>INDEX(Premissas!$C$25:$I$25,1,BG3)*Premissas!$F$32</f>
        <v/>
      </c>
      <c r="BH61" s="27">
        <f>INDEX(Premissas!$C$25:$I$25,1,BH3)*Premissas!$F$32</f>
        <v/>
      </c>
      <c r="BI61" s="27">
        <f>INDEX(Premissas!$C$25:$I$25,1,BI3)*Premissas!$F$32</f>
        <v/>
      </c>
      <c r="BJ61" s="27">
        <f>INDEX(Premissas!$C$25:$I$25,1,BJ3)*Premissas!$F$32</f>
        <v/>
      </c>
      <c r="BK61" s="27">
        <f>INDEX(Premissas!$C$25:$I$25,1,BK3)*Premissas!$F$32</f>
        <v/>
      </c>
      <c r="BL61" s="27">
        <f>INDEX(Premissas!$C$25:$I$25,1,BL3)*Premissas!$F$32</f>
        <v/>
      </c>
      <c r="BM61" s="27">
        <f>INDEX(Premissas!$C$25:$I$25,1,BM3)*Premissas!$F$32</f>
        <v/>
      </c>
      <c r="BN61" s="27">
        <f>INDEX(Premissas!$C$25:$I$25,1,BN3)*Premissas!$F$32</f>
        <v/>
      </c>
      <c r="BO61" s="27">
        <f>INDEX(Premissas!$C$25:$I$25,1,BO3)*Premissas!$F$32</f>
        <v/>
      </c>
      <c r="BP61" s="27">
        <f>INDEX(Premissas!$C$25:$I$25,1,BP3)*Premissas!$F$32</f>
        <v/>
      </c>
      <c r="BQ61" s="27">
        <f>INDEX(Premissas!$C$25:$I$25,1,BQ3)*Premissas!$F$32</f>
        <v/>
      </c>
      <c r="BR61" s="27">
        <f>INDEX(Premissas!$C$25:$I$25,1,BR3)*Premissas!$F$32</f>
        <v/>
      </c>
      <c r="BS61" s="27">
        <f>INDEX(Premissas!$C$25:$I$25,1,BS3)*Premissas!$F$32</f>
        <v/>
      </c>
      <c r="BT61" s="27">
        <f>INDEX(Premissas!$C$25:$I$25,1,BT3)*Premissas!$F$32</f>
        <v/>
      </c>
      <c r="BU61" s="27">
        <f>INDEX(Premissas!$C$25:$I$25,1,BU3)*Premissas!$F$32</f>
        <v/>
      </c>
      <c r="BV61" s="27">
        <f>INDEX(Premissas!$C$25:$I$25,1,BV3)*Premissas!$F$32</f>
        <v/>
      </c>
      <c r="BW61" s="27">
        <f>INDEX(Premissas!$C$25:$I$25,1,BW3)*Premissas!$F$32</f>
        <v/>
      </c>
      <c r="BX61" s="27">
        <f>INDEX(Premissas!$C$25:$I$25,1,BX3)*Premissas!$F$32</f>
        <v/>
      </c>
      <c r="BY61" s="27">
        <f>INDEX(Premissas!$C$25:$I$25,1,BY3)*Premissas!$F$32</f>
        <v/>
      </c>
      <c r="BZ61" s="27">
        <f>INDEX(Premissas!$C$25:$I$25,1,BZ3)*Premissas!$F$32</f>
        <v/>
      </c>
      <c r="CA61" s="27">
        <f>INDEX(Premissas!$C$25:$I$25,1,CA3)*Premissas!$F$32</f>
        <v/>
      </c>
      <c r="CB61" s="27">
        <f>INDEX(Premissas!$C$25:$I$25,1,CB3)*Premissas!$F$32</f>
        <v/>
      </c>
      <c r="CC61" s="27">
        <f>INDEX(Premissas!$C$25:$I$25,1,CC3)*Premissas!$F$32</f>
        <v/>
      </c>
      <c r="CD61" s="27">
        <f>INDEX(Premissas!$C$25:$I$25,1,CD3)*Premissas!$F$32</f>
        <v/>
      </c>
      <c r="CE61" s="27">
        <f>INDEX(Premissas!$C$25:$I$25,1,CE3)*Premissas!$F$32</f>
        <v/>
      </c>
      <c r="CF61" s="27">
        <f>INDEX(Premissas!$C$25:$I$25,1,CF3)*Premissas!$F$32</f>
        <v/>
      </c>
      <c r="CG61" s="27">
        <f>INDEX(Premissas!$C$25:$I$25,1,CG3)*Premissas!$F$32</f>
        <v/>
      </c>
      <c r="CH61" s="27">
        <f>INDEX(Premissas!$C$25:$I$25,1,CH3)*Premissas!$F$32</f>
        <v/>
      </c>
    </row>
    <row r="62">
      <c r="A62" s="3" t="inlineStr">
        <is>
          <t>Duplas de venda ativa</t>
        </is>
      </c>
      <c r="C62" s="27">
        <f>C10*Premissas!$F$33</f>
        <v/>
      </c>
      <c r="D62" s="27">
        <f>D10*Premissas!$F$33</f>
        <v/>
      </c>
      <c r="E62" s="27">
        <f>E10*Premissas!$F$33</f>
        <v/>
      </c>
      <c r="F62" s="27">
        <f>F10*Premissas!$F$33</f>
        <v/>
      </c>
      <c r="G62" s="27">
        <f>G10*Premissas!$F$33</f>
        <v/>
      </c>
      <c r="H62" s="27">
        <f>H10*Premissas!$F$33</f>
        <v/>
      </c>
      <c r="I62" s="27">
        <f>I10*Premissas!$F$33</f>
        <v/>
      </c>
      <c r="J62" s="27">
        <f>J10*Premissas!$F$33</f>
        <v/>
      </c>
      <c r="K62" s="27">
        <f>K10*Premissas!$F$33</f>
        <v/>
      </c>
      <c r="L62" s="27">
        <f>L10*Premissas!$F$33</f>
        <v/>
      </c>
      <c r="M62" s="27">
        <f>M10*Premissas!$F$33</f>
        <v/>
      </c>
      <c r="N62" s="27">
        <f>N10*Premissas!$F$33</f>
        <v/>
      </c>
      <c r="O62" s="27">
        <f>O10*Premissas!$F$33</f>
        <v/>
      </c>
      <c r="P62" s="27">
        <f>P10*Premissas!$F$33</f>
        <v/>
      </c>
      <c r="Q62" s="27">
        <f>Q10*Premissas!$F$33</f>
        <v/>
      </c>
      <c r="R62" s="27">
        <f>R10*Premissas!$F$33</f>
        <v/>
      </c>
      <c r="S62" s="27">
        <f>S10*Premissas!$F$33</f>
        <v/>
      </c>
      <c r="T62" s="27">
        <f>T10*Premissas!$F$33</f>
        <v/>
      </c>
      <c r="U62" s="27">
        <f>U10*Premissas!$F$33</f>
        <v/>
      </c>
      <c r="V62" s="27">
        <f>V10*Premissas!$F$33</f>
        <v/>
      </c>
      <c r="W62" s="27">
        <f>W10*Premissas!$F$33</f>
        <v/>
      </c>
      <c r="X62" s="27">
        <f>X10*Premissas!$F$33</f>
        <v/>
      </c>
      <c r="Y62" s="27">
        <f>Y10*Premissas!$F$33</f>
        <v/>
      </c>
      <c r="Z62" s="27">
        <f>Z10*Premissas!$F$33</f>
        <v/>
      </c>
      <c r="AA62" s="27">
        <f>AA10*Premissas!$F$33</f>
        <v/>
      </c>
      <c r="AB62" s="27">
        <f>AB10*Premissas!$F$33</f>
        <v/>
      </c>
      <c r="AC62" s="27">
        <f>AC10*Premissas!$F$33</f>
        <v/>
      </c>
      <c r="AD62" s="27">
        <f>AD10*Premissas!$F$33</f>
        <v/>
      </c>
      <c r="AE62" s="27">
        <f>AE10*Premissas!$F$33</f>
        <v/>
      </c>
      <c r="AF62" s="27">
        <f>AF10*Premissas!$F$33</f>
        <v/>
      </c>
      <c r="AG62" s="27">
        <f>AG10*Premissas!$F$33</f>
        <v/>
      </c>
      <c r="AH62" s="27">
        <f>AH10*Premissas!$F$33</f>
        <v/>
      </c>
      <c r="AI62" s="27">
        <f>AI10*Premissas!$F$33</f>
        <v/>
      </c>
      <c r="AJ62" s="27">
        <f>AJ10*Premissas!$F$33</f>
        <v/>
      </c>
      <c r="AK62" s="27">
        <f>AK10*Premissas!$F$33</f>
        <v/>
      </c>
      <c r="AL62" s="27">
        <f>AL10*Premissas!$F$33</f>
        <v/>
      </c>
      <c r="AM62" s="27">
        <f>AM10*Premissas!$F$33</f>
        <v/>
      </c>
      <c r="AN62" s="27">
        <f>AN10*Premissas!$F$33</f>
        <v/>
      </c>
      <c r="AO62" s="27">
        <f>AO10*Premissas!$F$33</f>
        <v/>
      </c>
      <c r="AP62" s="27">
        <f>AP10*Premissas!$F$33</f>
        <v/>
      </c>
      <c r="AQ62" s="27">
        <f>AQ10*Premissas!$F$33</f>
        <v/>
      </c>
      <c r="AR62" s="27">
        <f>AR10*Premissas!$F$33</f>
        <v/>
      </c>
      <c r="AS62" s="27">
        <f>AS10*Premissas!$F$33</f>
        <v/>
      </c>
      <c r="AT62" s="27">
        <f>AT10*Premissas!$F$33</f>
        <v/>
      </c>
      <c r="AU62" s="27">
        <f>AU10*Premissas!$F$33</f>
        <v/>
      </c>
      <c r="AV62" s="27">
        <f>AV10*Premissas!$F$33</f>
        <v/>
      </c>
      <c r="AW62" s="27">
        <f>AW10*Premissas!$F$33</f>
        <v/>
      </c>
      <c r="AX62" s="27">
        <f>AX10*Premissas!$F$33</f>
        <v/>
      </c>
      <c r="AY62" s="27">
        <f>AY10*Premissas!$F$33</f>
        <v/>
      </c>
      <c r="AZ62" s="27">
        <f>AZ10*Premissas!$F$33</f>
        <v/>
      </c>
      <c r="BA62" s="27">
        <f>BA10*Premissas!$F$33</f>
        <v/>
      </c>
      <c r="BB62" s="27">
        <f>BB10*Premissas!$F$33</f>
        <v/>
      </c>
      <c r="BC62" s="27">
        <f>BC10*Premissas!$F$33</f>
        <v/>
      </c>
      <c r="BD62" s="27">
        <f>BD10*Premissas!$F$33</f>
        <v/>
      </c>
      <c r="BE62" s="27">
        <f>BE10*Premissas!$F$33</f>
        <v/>
      </c>
      <c r="BF62" s="27">
        <f>BF10*Premissas!$F$33</f>
        <v/>
      </c>
      <c r="BG62" s="27">
        <f>BG10*Premissas!$F$33</f>
        <v/>
      </c>
      <c r="BH62" s="27">
        <f>BH10*Premissas!$F$33</f>
        <v/>
      </c>
      <c r="BI62" s="27">
        <f>BI10*Premissas!$F$33</f>
        <v/>
      </c>
      <c r="BJ62" s="27">
        <f>BJ10*Premissas!$F$33</f>
        <v/>
      </c>
      <c r="BK62" s="27">
        <f>BK10*Premissas!$F$33</f>
        <v/>
      </c>
      <c r="BL62" s="27">
        <f>BL10*Premissas!$F$33</f>
        <v/>
      </c>
      <c r="BM62" s="27">
        <f>BM10*Premissas!$F$33</f>
        <v/>
      </c>
      <c r="BN62" s="27">
        <f>BN10*Premissas!$F$33</f>
        <v/>
      </c>
      <c r="BO62" s="27">
        <f>BO10*Premissas!$F$33</f>
        <v/>
      </c>
      <c r="BP62" s="27">
        <f>BP10*Premissas!$F$33</f>
        <v/>
      </c>
      <c r="BQ62" s="27">
        <f>BQ10*Premissas!$F$33</f>
        <v/>
      </c>
      <c r="BR62" s="27">
        <f>BR10*Premissas!$F$33</f>
        <v/>
      </c>
      <c r="BS62" s="27">
        <f>BS10*Premissas!$F$33</f>
        <v/>
      </c>
      <c r="BT62" s="27">
        <f>BT10*Premissas!$F$33</f>
        <v/>
      </c>
      <c r="BU62" s="27">
        <f>BU10*Premissas!$F$33</f>
        <v/>
      </c>
      <c r="BV62" s="27">
        <f>BV10*Premissas!$F$33</f>
        <v/>
      </c>
      <c r="BW62" s="27">
        <f>BW10*Premissas!$F$33</f>
        <v/>
      </c>
      <c r="BX62" s="27">
        <f>BX10*Premissas!$F$33</f>
        <v/>
      </c>
      <c r="BY62" s="27">
        <f>BY10*Premissas!$F$33</f>
        <v/>
      </c>
      <c r="BZ62" s="27">
        <f>BZ10*Premissas!$F$33</f>
        <v/>
      </c>
      <c r="CA62" s="27">
        <f>CA10*Premissas!$F$33</f>
        <v/>
      </c>
      <c r="CB62" s="27">
        <f>CB10*Premissas!$F$33</f>
        <v/>
      </c>
      <c r="CC62" s="27">
        <f>CC10*Premissas!$F$33</f>
        <v/>
      </c>
      <c r="CD62" s="27">
        <f>CD10*Premissas!$F$33</f>
        <v/>
      </c>
      <c r="CE62" s="27">
        <f>CE10*Premissas!$F$33</f>
        <v/>
      </c>
      <c r="CF62" s="27">
        <f>CF10*Premissas!$F$33</f>
        <v/>
      </c>
      <c r="CG62" s="27">
        <f>CG10*Premissas!$F$33</f>
        <v/>
      </c>
      <c r="CH62" s="27">
        <f>CH10*Premissas!$F$33</f>
        <v/>
      </c>
    </row>
    <row r="63">
      <c r="A63" s="3" t="inlineStr">
        <is>
          <t>Marketing, pré-venda inbound e sucesso do cliente</t>
        </is>
      </c>
      <c r="C63" s="27">
        <f>INDEX(Premissas!$C$26:$I$26,1,C3)*Premissas!$F$34</f>
        <v/>
      </c>
      <c r="D63" s="27">
        <f>INDEX(Premissas!$C$26:$I$26,1,D3)*Premissas!$F$34</f>
        <v/>
      </c>
      <c r="E63" s="27">
        <f>INDEX(Premissas!$C$26:$I$26,1,E3)*Premissas!$F$34</f>
        <v/>
      </c>
      <c r="F63" s="27">
        <f>INDEX(Premissas!$C$26:$I$26,1,F3)*Premissas!$F$34</f>
        <v/>
      </c>
      <c r="G63" s="27">
        <f>INDEX(Premissas!$C$26:$I$26,1,G3)*Premissas!$F$34</f>
        <v/>
      </c>
      <c r="H63" s="27">
        <f>INDEX(Premissas!$C$26:$I$26,1,H3)*Premissas!$F$34</f>
        <v/>
      </c>
      <c r="I63" s="27">
        <f>INDEX(Premissas!$C$26:$I$26,1,I3)*Premissas!$F$34</f>
        <v/>
      </c>
      <c r="J63" s="27">
        <f>INDEX(Premissas!$C$26:$I$26,1,J3)*Premissas!$F$34</f>
        <v/>
      </c>
      <c r="K63" s="27">
        <f>INDEX(Premissas!$C$26:$I$26,1,K3)*Premissas!$F$34</f>
        <v/>
      </c>
      <c r="L63" s="27">
        <f>INDEX(Premissas!$C$26:$I$26,1,L3)*Premissas!$F$34</f>
        <v/>
      </c>
      <c r="M63" s="27">
        <f>INDEX(Premissas!$C$26:$I$26,1,M3)*Premissas!$F$34</f>
        <v/>
      </c>
      <c r="N63" s="27">
        <f>INDEX(Premissas!$C$26:$I$26,1,N3)*Premissas!$F$34</f>
        <v/>
      </c>
      <c r="O63" s="27">
        <f>INDEX(Premissas!$C$26:$I$26,1,O3)*Premissas!$F$34</f>
        <v/>
      </c>
      <c r="P63" s="27">
        <f>INDEX(Premissas!$C$26:$I$26,1,P3)*Premissas!$F$34</f>
        <v/>
      </c>
      <c r="Q63" s="27">
        <f>INDEX(Premissas!$C$26:$I$26,1,Q3)*Premissas!$F$34</f>
        <v/>
      </c>
      <c r="R63" s="27">
        <f>INDEX(Premissas!$C$26:$I$26,1,R3)*Premissas!$F$34</f>
        <v/>
      </c>
      <c r="S63" s="27">
        <f>INDEX(Premissas!$C$26:$I$26,1,S3)*Premissas!$F$34</f>
        <v/>
      </c>
      <c r="T63" s="27">
        <f>INDEX(Premissas!$C$26:$I$26,1,T3)*Premissas!$F$34</f>
        <v/>
      </c>
      <c r="U63" s="27">
        <f>INDEX(Premissas!$C$26:$I$26,1,U3)*Premissas!$F$34</f>
        <v/>
      </c>
      <c r="V63" s="27">
        <f>INDEX(Premissas!$C$26:$I$26,1,V3)*Premissas!$F$34</f>
        <v/>
      </c>
      <c r="W63" s="27">
        <f>INDEX(Premissas!$C$26:$I$26,1,W3)*Premissas!$F$34</f>
        <v/>
      </c>
      <c r="X63" s="27">
        <f>INDEX(Premissas!$C$26:$I$26,1,X3)*Premissas!$F$34</f>
        <v/>
      </c>
      <c r="Y63" s="27">
        <f>INDEX(Premissas!$C$26:$I$26,1,Y3)*Premissas!$F$34</f>
        <v/>
      </c>
      <c r="Z63" s="27">
        <f>INDEX(Premissas!$C$26:$I$26,1,Z3)*Premissas!$F$34</f>
        <v/>
      </c>
      <c r="AA63" s="27">
        <f>INDEX(Premissas!$C$26:$I$26,1,AA3)*Premissas!$F$34</f>
        <v/>
      </c>
      <c r="AB63" s="27">
        <f>INDEX(Premissas!$C$26:$I$26,1,AB3)*Premissas!$F$34</f>
        <v/>
      </c>
      <c r="AC63" s="27">
        <f>INDEX(Premissas!$C$26:$I$26,1,AC3)*Premissas!$F$34</f>
        <v/>
      </c>
      <c r="AD63" s="27">
        <f>INDEX(Premissas!$C$26:$I$26,1,AD3)*Premissas!$F$34</f>
        <v/>
      </c>
      <c r="AE63" s="27">
        <f>INDEX(Premissas!$C$26:$I$26,1,AE3)*Premissas!$F$34</f>
        <v/>
      </c>
      <c r="AF63" s="27">
        <f>INDEX(Premissas!$C$26:$I$26,1,AF3)*Premissas!$F$34</f>
        <v/>
      </c>
      <c r="AG63" s="27">
        <f>INDEX(Premissas!$C$26:$I$26,1,AG3)*Premissas!$F$34</f>
        <v/>
      </c>
      <c r="AH63" s="27">
        <f>INDEX(Premissas!$C$26:$I$26,1,AH3)*Premissas!$F$34</f>
        <v/>
      </c>
      <c r="AI63" s="27">
        <f>INDEX(Premissas!$C$26:$I$26,1,AI3)*Premissas!$F$34</f>
        <v/>
      </c>
      <c r="AJ63" s="27">
        <f>INDEX(Premissas!$C$26:$I$26,1,AJ3)*Premissas!$F$34</f>
        <v/>
      </c>
      <c r="AK63" s="27">
        <f>INDEX(Premissas!$C$26:$I$26,1,AK3)*Premissas!$F$34</f>
        <v/>
      </c>
      <c r="AL63" s="27">
        <f>INDEX(Premissas!$C$26:$I$26,1,AL3)*Premissas!$F$34</f>
        <v/>
      </c>
      <c r="AM63" s="27">
        <f>INDEX(Premissas!$C$26:$I$26,1,AM3)*Premissas!$F$34</f>
        <v/>
      </c>
      <c r="AN63" s="27">
        <f>INDEX(Premissas!$C$26:$I$26,1,AN3)*Premissas!$F$34</f>
        <v/>
      </c>
      <c r="AO63" s="27">
        <f>INDEX(Premissas!$C$26:$I$26,1,AO3)*Premissas!$F$34</f>
        <v/>
      </c>
      <c r="AP63" s="27">
        <f>INDEX(Premissas!$C$26:$I$26,1,AP3)*Premissas!$F$34</f>
        <v/>
      </c>
      <c r="AQ63" s="27">
        <f>INDEX(Premissas!$C$26:$I$26,1,AQ3)*Premissas!$F$34</f>
        <v/>
      </c>
      <c r="AR63" s="27">
        <f>INDEX(Premissas!$C$26:$I$26,1,AR3)*Premissas!$F$34</f>
        <v/>
      </c>
      <c r="AS63" s="27">
        <f>INDEX(Premissas!$C$26:$I$26,1,AS3)*Premissas!$F$34</f>
        <v/>
      </c>
      <c r="AT63" s="27">
        <f>INDEX(Premissas!$C$26:$I$26,1,AT3)*Premissas!$F$34</f>
        <v/>
      </c>
      <c r="AU63" s="27">
        <f>INDEX(Premissas!$C$26:$I$26,1,AU3)*Premissas!$F$34</f>
        <v/>
      </c>
      <c r="AV63" s="27">
        <f>INDEX(Premissas!$C$26:$I$26,1,AV3)*Premissas!$F$34</f>
        <v/>
      </c>
      <c r="AW63" s="27">
        <f>INDEX(Premissas!$C$26:$I$26,1,AW3)*Premissas!$F$34</f>
        <v/>
      </c>
      <c r="AX63" s="27">
        <f>INDEX(Premissas!$C$26:$I$26,1,AX3)*Premissas!$F$34</f>
        <v/>
      </c>
      <c r="AY63" s="27">
        <f>INDEX(Premissas!$C$26:$I$26,1,AY3)*Premissas!$F$34</f>
        <v/>
      </c>
      <c r="AZ63" s="27">
        <f>INDEX(Premissas!$C$26:$I$26,1,AZ3)*Premissas!$F$34</f>
        <v/>
      </c>
      <c r="BA63" s="27">
        <f>INDEX(Premissas!$C$26:$I$26,1,BA3)*Premissas!$F$34</f>
        <v/>
      </c>
      <c r="BB63" s="27">
        <f>INDEX(Premissas!$C$26:$I$26,1,BB3)*Premissas!$F$34</f>
        <v/>
      </c>
      <c r="BC63" s="27">
        <f>INDEX(Premissas!$C$26:$I$26,1,BC3)*Premissas!$F$34</f>
        <v/>
      </c>
      <c r="BD63" s="27">
        <f>INDEX(Premissas!$C$26:$I$26,1,BD3)*Premissas!$F$34</f>
        <v/>
      </c>
      <c r="BE63" s="27">
        <f>INDEX(Premissas!$C$26:$I$26,1,BE3)*Premissas!$F$34</f>
        <v/>
      </c>
      <c r="BF63" s="27">
        <f>INDEX(Premissas!$C$26:$I$26,1,BF3)*Premissas!$F$34</f>
        <v/>
      </c>
      <c r="BG63" s="27">
        <f>INDEX(Premissas!$C$26:$I$26,1,BG3)*Premissas!$F$34</f>
        <v/>
      </c>
      <c r="BH63" s="27">
        <f>INDEX(Premissas!$C$26:$I$26,1,BH3)*Premissas!$F$34</f>
        <v/>
      </c>
      <c r="BI63" s="27">
        <f>INDEX(Premissas!$C$26:$I$26,1,BI3)*Premissas!$F$34</f>
        <v/>
      </c>
      <c r="BJ63" s="27">
        <f>INDEX(Premissas!$C$26:$I$26,1,BJ3)*Premissas!$F$34</f>
        <v/>
      </c>
      <c r="BK63" s="27">
        <f>INDEX(Premissas!$C$26:$I$26,1,BK3)*Premissas!$F$34</f>
        <v/>
      </c>
      <c r="BL63" s="27">
        <f>INDEX(Premissas!$C$26:$I$26,1,BL3)*Premissas!$F$34</f>
        <v/>
      </c>
      <c r="BM63" s="27">
        <f>INDEX(Premissas!$C$26:$I$26,1,BM3)*Premissas!$F$34</f>
        <v/>
      </c>
      <c r="BN63" s="27">
        <f>INDEX(Premissas!$C$26:$I$26,1,BN3)*Premissas!$F$34</f>
        <v/>
      </c>
      <c r="BO63" s="27">
        <f>INDEX(Premissas!$C$26:$I$26,1,BO3)*Premissas!$F$34</f>
        <v/>
      </c>
      <c r="BP63" s="27">
        <f>INDEX(Premissas!$C$26:$I$26,1,BP3)*Premissas!$F$34</f>
        <v/>
      </c>
      <c r="BQ63" s="27">
        <f>INDEX(Premissas!$C$26:$I$26,1,BQ3)*Premissas!$F$34</f>
        <v/>
      </c>
      <c r="BR63" s="27">
        <f>INDEX(Premissas!$C$26:$I$26,1,BR3)*Premissas!$F$34</f>
        <v/>
      </c>
      <c r="BS63" s="27">
        <f>INDEX(Premissas!$C$26:$I$26,1,BS3)*Premissas!$F$34</f>
        <v/>
      </c>
      <c r="BT63" s="27">
        <f>INDEX(Premissas!$C$26:$I$26,1,BT3)*Premissas!$F$34</f>
        <v/>
      </c>
      <c r="BU63" s="27">
        <f>INDEX(Premissas!$C$26:$I$26,1,BU3)*Premissas!$F$34</f>
        <v/>
      </c>
      <c r="BV63" s="27">
        <f>INDEX(Premissas!$C$26:$I$26,1,BV3)*Premissas!$F$34</f>
        <v/>
      </c>
      <c r="BW63" s="27">
        <f>INDEX(Premissas!$C$26:$I$26,1,BW3)*Premissas!$F$34</f>
        <v/>
      </c>
      <c r="BX63" s="27">
        <f>INDEX(Premissas!$C$26:$I$26,1,BX3)*Premissas!$F$34</f>
        <v/>
      </c>
      <c r="BY63" s="27">
        <f>INDEX(Premissas!$C$26:$I$26,1,BY3)*Premissas!$F$34</f>
        <v/>
      </c>
      <c r="BZ63" s="27">
        <f>INDEX(Premissas!$C$26:$I$26,1,BZ3)*Premissas!$F$34</f>
        <v/>
      </c>
      <c r="CA63" s="27">
        <f>INDEX(Premissas!$C$26:$I$26,1,CA3)*Premissas!$F$34</f>
        <v/>
      </c>
      <c r="CB63" s="27">
        <f>INDEX(Premissas!$C$26:$I$26,1,CB3)*Premissas!$F$34</f>
        <v/>
      </c>
      <c r="CC63" s="27">
        <f>INDEX(Premissas!$C$26:$I$26,1,CC3)*Premissas!$F$34</f>
        <v/>
      </c>
      <c r="CD63" s="27">
        <f>INDEX(Premissas!$C$26:$I$26,1,CD3)*Premissas!$F$34</f>
        <v/>
      </c>
      <c r="CE63" s="27">
        <f>INDEX(Premissas!$C$26:$I$26,1,CE3)*Premissas!$F$34</f>
        <v/>
      </c>
      <c r="CF63" s="27">
        <f>INDEX(Premissas!$C$26:$I$26,1,CF3)*Premissas!$F$34</f>
        <v/>
      </c>
      <c r="CG63" s="27">
        <f>INDEX(Premissas!$C$26:$I$26,1,CG3)*Premissas!$F$34</f>
        <v/>
      </c>
      <c r="CH63" s="27">
        <f>INDEX(Premissas!$C$26:$I$26,1,CH3)*Premissas!$F$34</f>
        <v/>
      </c>
    </row>
    <row r="64">
      <c r="A64" s="3" t="inlineStr">
        <is>
          <t>Administrativo, jurídico e conformidade</t>
        </is>
      </c>
      <c r="C64" s="27">
        <f>INDEX(Premissas!$C$27:$I$27,1,C3)*Premissas!$F$35</f>
        <v/>
      </c>
      <c r="D64" s="27">
        <f>INDEX(Premissas!$C$27:$I$27,1,D3)*Premissas!$F$35</f>
        <v/>
      </c>
      <c r="E64" s="27">
        <f>INDEX(Premissas!$C$27:$I$27,1,E3)*Premissas!$F$35</f>
        <v/>
      </c>
      <c r="F64" s="27">
        <f>INDEX(Premissas!$C$27:$I$27,1,F3)*Premissas!$F$35</f>
        <v/>
      </c>
      <c r="G64" s="27">
        <f>INDEX(Premissas!$C$27:$I$27,1,G3)*Premissas!$F$35</f>
        <v/>
      </c>
      <c r="H64" s="27">
        <f>INDEX(Premissas!$C$27:$I$27,1,H3)*Premissas!$F$35</f>
        <v/>
      </c>
      <c r="I64" s="27">
        <f>INDEX(Premissas!$C$27:$I$27,1,I3)*Premissas!$F$35</f>
        <v/>
      </c>
      <c r="J64" s="27">
        <f>INDEX(Premissas!$C$27:$I$27,1,J3)*Premissas!$F$35</f>
        <v/>
      </c>
      <c r="K64" s="27">
        <f>INDEX(Premissas!$C$27:$I$27,1,K3)*Premissas!$F$35</f>
        <v/>
      </c>
      <c r="L64" s="27">
        <f>INDEX(Premissas!$C$27:$I$27,1,L3)*Premissas!$F$35</f>
        <v/>
      </c>
      <c r="M64" s="27">
        <f>INDEX(Premissas!$C$27:$I$27,1,M3)*Premissas!$F$35</f>
        <v/>
      </c>
      <c r="N64" s="27">
        <f>INDEX(Premissas!$C$27:$I$27,1,N3)*Premissas!$F$35</f>
        <v/>
      </c>
      <c r="O64" s="27">
        <f>INDEX(Premissas!$C$27:$I$27,1,O3)*Premissas!$F$35</f>
        <v/>
      </c>
      <c r="P64" s="27">
        <f>INDEX(Premissas!$C$27:$I$27,1,P3)*Premissas!$F$35</f>
        <v/>
      </c>
      <c r="Q64" s="27">
        <f>INDEX(Premissas!$C$27:$I$27,1,Q3)*Premissas!$F$35</f>
        <v/>
      </c>
      <c r="R64" s="27">
        <f>INDEX(Premissas!$C$27:$I$27,1,R3)*Premissas!$F$35</f>
        <v/>
      </c>
      <c r="S64" s="27">
        <f>INDEX(Premissas!$C$27:$I$27,1,S3)*Premissas!$F$35</f>
        <v/>
      </c>
      <c r="T64" s="27">
        <f>INDEX(Premissas!$C$27:$I$27,1,T3)*Premissas!$F$35</f>
        <v/>
      </c>
      <c r="U64" s="27">
        <f>INDEX(Premissas!$C$27:$I$27,1,U3)*Premissas!$F$35</f>
        <v/>
      </c>
      <c r="V64" s="27">
        <f>INDEX(Premissas!$C$27:$I$27,1,V3)*Premissas!$F$35</f>
        <v/>
      </c>
      <c r="W64" s="27">
        <f>INDEX(Premissas!$C$27:$I$27,1,W3)*Premissas!$F$35</f>
        <v/>
      </c>
      <c r="X64" s="27">
        <f>INDEX(Premissas!$C$27:$I$27,1,X3)*Premissas!$F$35</f>
        <v/>
      </c>
      <c r="Y64" s="27">
        <f>INDEX(Premissas!$C$27:$I$27,1,Y3)*Premissas!$F$35</f>
        <v/>
      </c>
      <c r="Z64" s="27">
        <f>INDEX(Premissas!$C$27:$I$27,1,Z3)*Premissas!$F$35</f>
        <v/>
      </c>
      <c r="AA64" s="27">
        <f>INDEX(Premissas!$C$27:$I$27,1,AA3)*Premissas!$F$35</f>
        <v/>
      </c>
      <c r="AB64" s="27">
        <f>INDEX(Premissas!$C$27:$I$27,1,AB3)*Premissas!$F$35</f>
        <v/>
      </c>
      <c r="AC64" s="27">
        <f>INDEX(Premissas!$C$27:$I$27,1,AC3)*Premissas!$F$35</f>
        <v/>
      </c>
      <c r="AD64" s="27">
        <f>INDEX(Premissas!$C$27:$I$27,1,AD3)*Premissas!$F$35</f>
        <v/>
      </c>
      <c r="AE64" s="27">
        <f>INDEX(Premissas!$C$27:$I$27,1,AE3)*Premissas!$F$35</f>
        <v/>
      </c>
      <c r="AF64" s="27">
        <f>INDEX(Premissas!$C$27:$I$27,1,AF3)*Premissas!$F$35</f>
        <v/>
      </c>
      <c r="AG64" s="27">
        <f>INDEX(Premissas!$C$27:$I$27,1,AG3)*Premissas!$F$35</f>
        <v/>
      </c>
      <c r="AH64" s="27">
        <f>INDEX(Premissas!$C$27:$I$27,1,AH3)*Premissas!$F$35</f>
        <v/>
      </c>
      <c r="AI64" s="27">
        <f>INDEX(Premissas!$C$27:$I$27,1,AI3)*Premissas!$F$35</f>
        <v/>
      </c>
      <c r="AJ64" s="27">
        <f>INDEX(Premissas!$C$27:$I$27,1,AJ3)*Premissas!$F$35</f>
        <v/>
      </c>
      <c r="AK64" s="27">
        <f>INDEX(Premissas!$C$27:$I$27,1,AK3)*Premissas!$F$35</f>
        <v/>
      </c>
      <c r="AL64" s="27">
        <f>INDEX(Premissas!$C$27:$I$27,1,AL3)*Premissas!$F$35</f>
        <v/>
      </c>
      <c r="AM64" s="27">
        <f>INDEX(Premissas!$C$27:$I$27,1,AM3)*Premissas!$F$35</f>
        <v/>
      </c>
      <c r="AN64" s="27">
        <f>INDEX(Premissas!$C$27:$I$27,1,AN3)*Premissas!$F$35</f>
        <v/>
      </c>
      <c r="AO64" s="27">
        <f>INDEX(Premissas!$C$27:$I$27,1,AO3)*Premissas!$F$35</f>
        <v/>
      </c>
      <c r="AP64" s="27">
        <f>INDEX(Premissas!$C$27:$I$27,1,AP3)*Premissas!$F$35</f>
        <v/>
      </c>
      <c r="AQ64" s="27">
        <f>INDEX(Premissas!$C$27:$I$27,1,AQ3)*Premissas!$F$35</f>
        <v/>
      </c>
      <c r="AR64" s="27">
        <f>INDEX(Premissas!$C$27:$I$27,1,AR3)*Premissas!$F$35</f>
        <v/>
      </c>
      <c r="AS64" s="27">
        <f>INDEX(Premissas!$C$27:$I$27,1,AS3)*Premissas!$F$35</f>
        <v/>
      </c>
      <c r="AT64" s="27">
        <f>INDEX(Premissas!$C$27:$I$27,1,AT3)*Premissas!$F$35</f>
        <v/>
      </c>
      <c r="AU64" s="27">
        <f>INDEX(Premissas!$C$27:$I$27,1,AU3)*Premissas!$F$35</f>
        <v/>
      </c>
      <c r="AV64" s="27">
        <f>INDEX(Premissas!$C$27:$I$27,1,AV3)*Premissas!$F$35</f>
        <v/>
      </c>
      <c r="AW64" s="27">
        <f>INDEX(Premissas!$C$27:$I$27,1,AW3)*Premissas!$F$35</f>
        <v/>
      </c>
      <c r="AX64" s="27">
        <f>INDEX(Premissas!$C$27:$I$27,1,AX3)*Premissas!$F$35</f>
        <v/>
      </c>
      <c r="AY64" s="27">
        <f>INDEX(Premissas!$C$27:$I$27,1,AY3)*Premissas!$F$35</f>
        <v/>
      </c>
      <c r="AZ64" s="27">
        <f>INDEX(Premissas!$C$27:$I$27,1,AZ3)*Premissas!$F$35</f>
        <v/>
      </c>
      <c r="BA64" s="27">
        <f>INDEX(Premissas!$C$27:$I$27,1,BA3)*Premissas!$F$35</f>
        <v/>
      </c>
      <c r="BB64" s="27">
        <f>INDEX(Premissas!$C$27:$I$27,1,BB3)*Premissas!$F$35</f>
        <v/>
      </c>
      <c r="BC64" s="27">
        <f>INDEX(Premissas!$C$27:$I$27,1,BC3)*Premissas!$F$35</f>
        <v/>
      </c>
      <c r="BD64" s="27">
        <f>INDEX(Premissas!$C$27:$I$27,1,BD3)*Premissas!$F$35</f>
        <v/>
      </c>
      <c r="BE64" s="27">
        <f>INDEX(Premissas!$C$27:$I$27,1,BE3)*Premissas!$F$35</f>
        <v/>
      </c>
      <c r="BF64" s="27">
        <f>INDEX(Premissas!$C$27:$I$27,1,BF3)*Premissas!$F$35</f>
        <v/>
      </c>
      <c r="BG64" s="27">
        <f>INDEX(Premissas!$C$27:$I$27,1,BG3)*Premissas!$F$35</f>
        <v/>
      </c>
      <c r="BH64" s="27">
        <f>INDEX(Premissas!$C$27:$I$27,1,BH3)*Premissas!$F$35</f>
        <v/>
      </c>
      <c r="BI64" s="27">
        <f>INDEX(Premissas!$C$27:$I$27,1,BI3)*Premissas!$F$35</f>
        <v/>
      </c>
      <c r="BJ64" s="27">
        <f>INDEX(Premissas!$C$27:$I$27,1,BJ3)*Premissas!$F$35</f>
        <v/>
      </c>
      <c r="BK64" s="27">
        <f>INDEX(Premissas!$C$27:$I$27,1,BK3)*Premissas!$F$35</f>
        <v/>
      </c>
      <c r="BL64" s="27">
        <f>INDEX(Premissas!$C$27:$I$27,1,BL3)*Premissas!$F$35</f>
        <v/>
      </c>
      <c r="BM64" s="27">
        <f>INDEX(Premissas!$C$27:$I$27,1,BM3)*Premissas!$F$35</f>
        <v/>
      </c>
      <c r="BN64" s="27">
        <f>INDEX(Premissas!$C$27:$I$27,1,BN3)*Premissas!$F$35</f>
        <v/>
      </c>
      <c r="BO64" s="27">
        <f>INDEX(Premissas!$C$27:$I$27,1,BO3)*Premissas!$F$35</f>
        <v/>
      </c>
      <c r="BP64" s="27">
        <f>INDEX(Premissas!$C$27:$I$27,1,BP3)*Premissas!$F$35</f>
        <v/>
      </c>
      <c r="BQ64" s="27">
        <f>INDEX(Premissas!$C$27:$I$27,1,BQ3)*Premissas!$F$35</f>
        <v/>
      </c>
      <c r="BR64" s="27">
        <f>INDEX(Premissas!$C$27:$I$27,1,BR3)*Premissas!$F$35</f>
        <v/>
      </c>
      <c r="BS64" s="27">
        <f>INDEX(Premissas!$C$27:$I$27,1,BS3)*Premissas!$F$35</f>
        <v/>
      </c>
      <c r="BT64" s="27">
        <f>INDEX(Premissas!$C$27:$I$27,1,BT3)*Premissas!$F$35</f>
        <v/>
      </c>
      <c r="BU64" s="27">
        <f>INDEX(Premissas!$C$27:$I$27,1,BU3)*Premissas!$F$35</f>
        <v/>
      </c>
      <c r="BV64" s="27">
        <f>INDEX(Premissas!$C$27:$I$27,1,BV3)*Premissas!$F$35</f>
        <v/>
      </c>
      <c r="BW64" s="27">
        <f>INDEX(Premissas!$C$27:$I$27,1,BW3)*Premissas!$F$35</f>
        <v/>
      </c>
      <c r="BX64" s="27">
        <f>INDEX(Premissas!$C$27:$I$27,1,BX3)*Premissas!$F$35</f>
        <v/>
      </c>
      <c r="BY64" s="27">
        <f>INDEX(Premissas!$C$27:$I$27,1,BY3)*Premissas!$F$35</f>
        <v/>
      </c>
      <c r="BZ64" s="27">
        <f>INDEX(Premissas!$C$27:$I$27,1,BZ3)*Premissas!$F$35</f>
        <v/>
      </c>
      <c r="CA64" s="27">
        <f>INDEX(Premissas!$C$27:$I$27,1,CA3)*Premissas!$F$35</f>
        <v/>
      </c>
      <c r="CB64" s="27">
        <f>INDEX(Premissas!$C$27:$I$27,1,CB3)*Premissas!$F$35</f>
        <v/>
      </c>
      <c r="CC64" s="27">
        <f>INDEX(Premissas!$C$27:$I$27,1,CC3)*Premissas!$F$35</f>
        <v/>
      </c>
      <c r="CD64" s="27">
        <f>INDEX(Premissas!$C$27:$I$27,1,CD3)*Premissas!$F$35</f>
        <v/>
      </c>
      <c r="CE64" s="27">
        <f>INDEX(Premissas!$C$27:$I$27,1,CE3)*Premissas!$F$35</f>
        <v/>
      </c>
      <c r="CF64" s="27">
        <f>INDEX(Premissas!$C$27:$I$27,1,CF3)*Premissas!$F$35</f>
        <v/>
      </c>
      <c r="CG64" s="27">
        <f>INDEX(Premissas!$C$27:$I$27,1,CG3)*Premissas!$F$35</f>
        <v/>
      </c>
      <c r="CH64" s="27">
        <f>INDEX(Premissas!$C$27:$I$27,1,CH3)*Premissas!$F$35</f>
        <v/>
      </c>
    </row>
    <row r="65">
      <c r="A65" s="3" t="inlineStr">
        <is>
          <t>Pró-labore dos fundadores</t>
        </is>
      </c>
      <c r="C65" s="27">
        <f>INDEX(Premissas!$C$28:$I$28,1,C3)*Premissas!$F$36</f>
        <v/>
      </c>
      <c r="D65" s="27">
        <f>INDEX(Premissas!$C$28:$I$28,1,D3)*Premissas!$F$36</f>
        <v/>
      </c>
      <c r="E65" s="27">
        <f>INDEX(Premissas!$C$28:$I$28,1,E3)*Premissas!$F$36</f>
        <v/>
      </c>
      <c r="F65" s="27">
        <f>INDEX(Premissas!$C$28:$I$28,1,F3)*Premissas!$F$36</f>
        <v/>
      </c>
      <c r="G65" s="27">
        <f>INDEX(Premissas!$C$28:$I$28,1,G3)*Premissas!$F$36</f>
        <v/>
      </c>
      <c r="H65" s="27">
        <f>INDEX(Premissas!$C$28:$I$28,1,H3)*Premissas!$F$36</f>
        <v/>
      </c>
      <c r="I65" s="27">
        <f>INDEX(Premissas!$C$28:$I$28,1,I3)*Premissas!$F$36</f>
        <v/>
      </c>
      <c r="J65" s="27">
        <f>INDEX(Premissas!$C$28:$I$28,1,J3)*Premissas!$F$36</f>
        <v/>
      </c>
      <c r="K65" s="27">
        <f>INDEX(Premissas!$C$28:$I$28,1,K3)*Premissas!$F$36</f>
        <v/>
      </c>
      <c r="L65" s="27">
        <f>INDEX(Premissas!$C$28:$I$28,1,L3)*Premissas!$F$36</f>
        <v/>
      </c>
      <c r="M65" s="27">
        <f>INDEX(Premissas!$C$28:$I$28,1,M3)*Premissas!$F$36</f>
        <v/>
      </c>
      <c r="N65" s="27">
        <f>INDEX(Premissas!$C$28:$I$28,1,N3)*Premissas!$F$36</f>
        <v/>
      </c>
      <c r="O65" s="27">
        <f>INDEX(Premissas!$C$28:$I$28,1,O3)*Premissas!$F$36</f>
        <v/>
      </c>
      <c r="P65" s="27">
        <f>INDEX(Premissas!$C$28:$I$28,1,P3)*Premissas!$F$36</f>
        <v/>
      </c>
      <c r="Q65" s="27">
        <f>INDEX(Premissas!$C$28:$I$28,1,Q3)*Premissas!$F$36</f>
        <v/>
      </c>
      <c r="R65" s="27">
        <f>INDEX(Premissas!$C$28:$I$28,1,R3)*Premissas!$F$36</f>
        <v/>
      </c>
      <c r="S65" s="27">
        <f>INDEX(Premissas!$C$28:$I$28,1,S3)*Premissas!$F$36</f>
        <v/>
      </c>
      <c r="T65" s="27">
        <f>INDEX(Premissas!$C$28:$I$28,1,T3)*Premissas!$F$36</f>
        <v/>
      </c>
      <c r="U65" s="27">
        <f>INDEX(Premissas!$C$28:$I$28,1,U3)*Premissas!$F$36</f>
        <v/>
      </c>
      <c r="V65" s="27">
        <f>INDEX(Premissas!$C$28:$I$28,1,V3)*Premissas!$F$36</f>
        <v/>
      </c>
      <c r="W65" s="27">
        <f>INDEX(Premissas!$C$28:$I$28,1,W3)*Premissas!$F$36</f>
        <v/>
      </c>
      <c r="X65" s="27">
        <f>INDEX(Premissas!$C$28:$I$28,1,X3)*Premissas!$F$36</f>
        <v/>
      </c>
      <c r="Y65" s="27">
        <f>INDEX(Premissas!$C$28:$I$28,1,Y3)*Premissas!$F$36</f>
        <v/>
      </c>
      <c r="Z65" s="27">
        <f>INDEX(Premissas!$C$28:$I$28,1,Z3)*Premissas!$F$36</f>
        <v/>
      </c>
      <c r="AA65" s="27">
        <f>INDEX(Premissas!$C$28:$I$28,1,AA3)*Premissas!$F$36</f>
        <v/>
      </c>
      <c r="AB65" s="27">
        <f>INDEX(Premissas!$C$28:$I$28,1,AB3)*Premissas!$F$36</f>
        <v/>
      </c>
      <c r="AC65" s="27">
        <f>INDEX(Premissas!$C$28:$I$28,1,AC3)*Premissas!$F$36</f>
        <v/>
      </c>
      <c r="AD65" s="27">
        <f>INDEX(Premissas!$C$28:$I$28,1,AD3)*Premissas!$F$36</f>
        <v/>
      </c>
      <c r="AE65" s="27">
        <f>INDEX(Premissas!$C$28:$I$28,1,AE3)*Premissas!$F$36</f>
        <v/>
      </c>
      <c r="AF65" s="27">
        <f>INDEX(Premissas!$C$28:$I$28,1,AF3)*Premissas!$F$36</f>
        <v/>
      </c>
      <c r="AG65" s="27">
        <f>INDEX(Premissas!$C$28:$I$28,1,AG3)*Premissas!$F$36</f>
        <v/>
      </c>
      <c r="AH65" s="27">
        <f>INDEX(Premissas!$C$28:$I$28,1,AH3)*Premissas!$F$36</f>
        <v/>
      </c>
      <c r="AI65" s="27">
        <f>INDEX(Premissas!$C$28:$I$28,1,AI3)*Premissas!$F$36</f>
        <v/>
      </c>
      <c r="AJ65" s="27">
        <f>INDEX(Premissas!$C$28:$I$28,1,AJ3)*Premissas!$F$36</f>
        <v/>
      </c>
      <c r="AK65" s="27">
        <f>INDEX(Premissas!$C$28:$I$28,1,AK3)*Premissas!$F$36</f>
        <v/>
      </c>
      <c r="AL65" s="27">
        <f>INDEX(Premissas!$C$28:$I$28,1,AL3)*Premissas!$F$36</f>
        <v/>
      </c>
      <c r="AM65" s="27">
        <f>INDEX(Premissas!$C$28:$I$28,1,AM3)*Premissas!$F$36</f>
        <v/>
      </c>
      <c r="AN65" s="27">
        <f>INDEX(Premissas!$C$28:$I$28,1,AN3)*Premissas!$F$36</f>
        <v/>
      </c>
      <c r="AO65" s="27">
        <f>INDEX(Premissas!$C$28:$I$28,1,AO3)*Premissas!$F$36</f>
        <v/>
      </c>
      <c r="AP65" s="27">
        <f>INDEX(Premissas!$C$28:$I$28,1,AP3)*Premissas!$F$36</f>
        <v/>
      </c>
      <c r="AQ65" s="27">
        <f>INDEX(Premissas!$C$28:$I$28,1,AQ3)*Premissas!$F$36</f>
        <v/>
      </c>
      <c r="AR65" s="27">
        <f>INDEX(Premissas!$C$28:$I$28,1,AR3)*Premissas!$F$36</f>
        <v/>
      </c>
      <c r="AS65" s="27">
        <f>INDEX(Premissas!$C$28:$I$28,1,AS3)*Premissas!$F$36</f>
        <v/>
      </c>
      <c r="AT65" s="27">
        <f>INDEX(Premissas!$C$28:$I$28,1,AT3)*Premissas!$F$36</f>
        <v/>
      </c>
      <c r="AU65" s="27">
        <f>INDEX(Premissas!$C$28:$I$28,1,AU3)*Premissas!$F$36</f>
        <v/>
      </c>
      <c r="AV65" s="27">
        <f>INDEX(Premissas!$C$28:$I$28,1,AV3)*Premissas!$F$36</f>
        <v/>
      </c>
      <c r="AW65" s="27">
        <f>INDEX(Premissas!$C$28:$I$28,1,AW3)*Premissas!$F$36</f>
        <v/>
      </c>
      <c r="AX65" s="27">
        <f>INDEX(Premissas!$C$28:$I$28,1,AX3)*Premissas!$F$36</f>
        <v/>
      </c>
      <c r="AY65" s="27">
        <f>INDEX(Premissas!$C$28:$I$28,1,AY3)*Premissas!$F$36</f>
        <v/>
      </c>
      <c r="AZ65" s="27">
        <f>INDEX(Premissas!$C$28:$I$28,1,AZ3)*Premissas!$F$36</f>
        <v/>
      </c>
      <c r="BA65" s="27">
        <f>INDEX(Premissas!$C$28:$I$28,1,BA3)*Premissas!$F$36</f>
        <v/>
      </c>
      <c r="BB65" s="27">
        <f>INDEX(Premissas!$C$28:$I$28,1,BB3)*Premissas!$F$36</f>
        <v/>
      </c>
      <c r="BC65" s="27">
        <f>INDEX(Premissas!$C$28:$I$28,1,BC3)*Premissas!$F$36</f>
        <v/>
      </c>
      <c r="BD65" s="27">
        <f>INDEX(Premissas!$C$28:$I$28,1,BD3)*Premissas!$F$36</f>
        <v/>
      </c>
      <c r="BE65" s="27">
        <f>INDEX(Premissas!$C$28:$I$28,1,BE3)*Premissas!$F$36</f>
        <v/>
      </c>
      <c r="BF65" s="27">
        <f>INDEX(Premissas!$C$28:$I$28,1,BF3)*Premissas!$F$36</f>
        <v/>
      </c>
      <c r="BG65" s="27">
        <f>INDEX(Premissas!$C$28:$I$28,1,BG3)*Premissas!$F$36</f>
        <v/>
      </c>
      <c r="BH65" s="27">
        <f>INDEX(Premissas!$C$28:$I$28,1,BH3)*Premissas!$F$36</f>
        <v/>
      </c>
      <c r="BI65" s="27">
        <f>INDEX(Premissas!$C$28:$I$28,1,BI3)*Premissas!$F$36</f>
        <v/>
      </c>
      <c r="BJ65" s="27">
        <f>INDEX(Premissas!$C$28:$I$28,1,BJ3)*Premissas!$F$36</f>
        <v/>
      </c>
      <c r="BK65" s="27">
        <f>INDEX(Premissas!$C$28:$I$28,1,BK3)*Premissas!$F$36</f>
        <v/>
      </c>
      <c r="BL65" s="27">
        <f>INDEX(Premissas!$C$28:$I$28,1,BL3)*Premissas!$F$36</f>
        <v/>
      </c>
      <c r="BM65" s="27">
        <f>INDEX(Premissas!$C$28:$I$28,1,BM3)*Premissas!$F$36</f>
        <v/>
      </c>
      <c r="BN65" s="27">
        <f>INDEX(Premissas!$C$28:$I$28,1,BN3)*Premissas!$F$36</f>
        <v/>
      </c>
      <c r="BO65" s="27">
        <f>INDEX(Premissas!$C$28:$I$28,1,BO3)*Premissas!$F$36</f>
        <v/>
      </c>
      <c r="BP65" s="27">
        <f>INDEX(Premissas!$C$28:$I$28,1,BP3)*Premissas!$F$36</f>
        <v/>
      </c>
      <c r="BQ65" s="27">
        <f>INDEX(Premissas!$C$28:$I$28,1,BQ3)*Premissas!$F$36</f>
        <v/>
      </c>
      <c r="BR65" s="27">
        <f>INDEX(Premissas!$C$28:$I$28,1,BR3)*Premissas!$F$36</f>
        <v/>
      </c>
      <c r="BS65" s="27">
        <f>INDEX(Premissas!$C$28:$I$28,1,BS3)*Premissas!$F$36</f>
        <v/>
      </c>
      <c r="BT65" s="27">
        <f>INDEX(Premissas!$C$28:$I$28,1,BT3)*Premissas!$F$36</f>
        <v/>
      </c>
      <c r="BU65" s="27">
        <f>INDEX(Premissas!$C$28:$I$28,1,BU3)*Premissas!$F$36</f>
        <v/>
      </c>
      <c r="BV65" s="27">
        <f>INDEX(Premissas!$C$28:$I$28,1,BV3)*Premissas!$F$36</f>
        <v/>
      </c>
      <c r="BW65" s="27">
        <f>INDEX(Premissas!$C$28:$I$28,1,BW3)*Premissas!$F$36</f>
        <v/>
      </c>
      <c r="BX65" s="27">
        <f>INDEX(Premissas!$C$28:$I$28,1,BX3)*Premissas!$F$36</f>
        <v/>
      </c>
      <c r="BY65" s="27">
        <f>INDEX(Premissas!$C$28:$I$28,1,BY3)*Premissas!$F$36</f>
        <v/>
      </c>
      <c r="BZ65" s="27">
        <f>INDEX(Premissas!$C$28:$I$28,1,BZ3)*Premissas!$F$36</f>
        <v/>
      </c>
      <c r="CA65" s="27">
        <f>INDEX(Premissas!$C$28:$I$28,1,CA3)*Premissas!$F$36</f>
        <v/>
      </c>
      <c r="CB65" s="27">
        <f>INDEX(Premissas!$C$28:$I$28,1,CB3)*Premissas!$F$36</f>
        <v/>
      </c>
      <c r="CC65" s="27">
        <f>INDEX(Premissas!$C$28:$I$28,1,CC3)*Premissas!$F$36</f>
        <v/>
      </c>
      <c r="CD65" s="27">
        <f>INDEX(Premissas!$C$28:$I$28,1,CD3)*Premissas!$F$36</f>
        <v/>
      </c>
      <c r="CE65" s="27">
        <f>INDEX(Premissas!$C$28:$I$28,1,CE3)*Premissas!$F$36</f>
        <v/>
      </c>
      <c r="CF65" s="27">
        <f>INDEX(Premissas!$C$28:$I$28,1,CF3)*Premissas!$F$36</f>
        <v/>
      </c>
      <c r="CG65" s="27">
        <f>INDEX(Premissas!$C$28:$I$28,1,CG3)*Premissas!$F$36</f>
        <v/>
      </c>
      <c r="CH65" s="27">
        <f>INDEX(Premissas!$C$28:$I$28,1,CH3)*Premissas!$F$36</f>
        <v/>
      </c>
    </row>
    <row r="66">
      <c r="A66" s="3" t="inlineStr">
        <is>
          <t>Mídia paga</t>
        </is>
      </c>
      <c r="C66" s="27">
        <f>C8</f>
        <v/>
      </c>
      <c r="D66" s="27">
        <f>D8</f>
        <v/>
      </c>
      <c r="E66" s="27">
        <f>E8</f>
        <v/>
      </c>
      <c r="F66" s="27">
        <f>F8</f>
        <v/>
      </c>
      <c r="G66" s="27">
        <f>G8</f>
        <v/>
      </c>
      <c r="H66" s="27">
        <f>H8</f>
        <v/>
      </c>
      <c r="I66" s="27">
        <f>I8</f>
        <v/>
      </c>
      <c r="J66" s="27">
        <f>J8</f>
        <v/>
      </c>
      <c r="K66" s="27">
        <f>K8</f>
        <v/>
      </c>
      <c r="L66" s="27">
        <f>L8</f>
        <v/>
      </c>
      <c r="M66" s="27">
        <f>M8</f>
        <v/>
      </c>
      <c r="N66" s="27">
        <f>N8</f>
        <v/>
      </c>
      <c r="O66" s="27">
        <f>O8</f>
        <v/>
      </c>
      <c r="P66" s="27">
        <f>P8</f>
        <v/>
      </c>
      <c r="Q66" s="27">
        <f>Q8</f>
        <v/>
      </c>
      <c r="R66" s="27">
        <f>R8</f>
        <v/>
      </c>
      <c r="S66" s="27">
        <f>S8</f>
        <v/>
      </c>
      <c r="T66" s="27">
        <f>T8</f>
        <v/>
      </c>
      <c r="U66" s="27">
        <f>U8</f>
        <v/>
      </c>
      <c r="V66" s="27">
        <f>V8</f>
        <v/>
      </c>
      <c r="W66" s="27">
        <f>W8</f>
        <v/>
      </c>
      <c r="X66" s="27">
        <f>X8</f>
        <v/>
      </c>
      <c r="Y66" s="27">
        <f>Y8</f>
        <v/>
      </c>
      <c r="Z66" s="27">
        <f>Z8</f>
        <v/>
      </c>
      <c r="AA66" s="27">
        <f>AA8</f>
        <v/>
      </c>
      <c r="AB66" s="27">
        <f>AB8</f>
        <v/>
      </c>
      <c r="AC66" s="27">
        <f>AC8</f>
        <v/>
      </c>
      <c r="AD66" s="27">
        <f>AD8</f>
        <v/>
      </c>
      <c r="AE66" s="27">
        <f>AE8</f>
        <v/>
      </c>
      <c r="AF66" s="27">
        <f>AF8</f>
        <v/>
      </c>
      <c r="AG66" s="27">
        <f>AG8</f>
        <v/>
      </c>
      <c r="AH66" s="27">
        <f>AH8</f>
        <v/>
      </c>
      <c r="AI66" s="27">
        <f>AI8</f>
        <v/>
      </c>
      <c r="AJ66" s="27">
        <f>AJ8</f>
        <v/>
      </c>
      <c r="AK66" s="27">
        <f>AK8</f>
        <v/>
      </c>
      <c r="AL66" s="27">
        <f>AL8</f>
        <v/>
      </c>
      <c r="AM66" s="27">
        <f>AM8</f>
        <v/>
      </c>
      <c r="AN66" s="27">
        <f>AN8</f>
        <v/>
      </c>
      <c r="AO66" s="27">
        <f>AO8</f>
        <v/>
      </c>
      <c r="AP66" s="27">
        <f>AP8</f>
        <v/>
      </c>
      <c r="AQ66" s="27">
        <f>AQ8</f>
        <v/>
      </c>
      <c r="AR66" s="27">
        <f>AR8</f>
        <v/>
      </c>
      <c r="AS66" s="27">
        <f>AS8</f>
        <v/>
      </c>
      <c r="AT66" s="27">
        <f>AT8</f>
        <v/>
      </c>
      <c r="AU66" s="27">
        <f>AU8</f>
        <v/>
      </c>
      <c r="AV66" s="27">
        <f>AV8</f>
        <v/>
      </c>
      <c r="AW66" s="27">
        <f>AW8</f>
        <v/>
      </c>
      <c r="AX66" s="27">
        <f>AX8</f>
        <v/>
      </c>
      <c r="AY66" s="27">
        <f>AY8</f>
        <v/>
      </c>
      <c r="AZ66" s="27">
        <f>AZ8</f>
        <v/>
      </c>
      <c r="BA66" s="27">
        <f>BA8</f>
        <v/>
      </c>
      <c r="BB66" s="27">
        <f>BB8</f>
        <v/>
      </c>
      <c r="BC66" s="27">
        <f>BC8</f>
        <v/>
      </c>
      <c r="BD66" s="27">
        <f>BD8</f>
        <v/>
      </c>
      <c r="BE66" s="27">
        <f>BE8</f>
        <v/>
      </c>
      <c r="BF66" s="27">
        <f>BF8</f>
        <v/>
      </c>
      <c r="BG66" s="27">
        <f>BG8</f>
        <v/>
      </c>
      <c r="BH66" s="27">
        <f>BH8</f>
        <v/>
      </c>
      <c r="BI66" s="27">
        <f>BI8</f>
        <v/>
      </c>
      <c r="BJ66" s="27">
        <f>BJ8</f>
        <v/>
      </c>
      <c r="BK66" s="27">
        <f>BK8</f>
        <v/>
      </c>
      <c r="BL66" s="27">
        <f>BL8</f>
        <v/>
      </c>
      <c r="BM66" s="27">
        <f>BM8</f>
        <v/>
      </c>
      <c r="BN66" s="27">
        <f>BN8</f>
        <v/>
      </c>
      <c r="BO66" s="27">
        <f>BO8</f>
        <v/>
      </c>
      <c r="BP66" s="27">
        <f>BP8</f>
        <v/>
      </c>
      <c r="BQ66" s="27">
        <f>BQ8</f>
        <v/>
      </c>
      <c r="BR66" s="27">
        <f>BR8</f>
        <v/>
      </c>
      <c r="BS66" s="27">
        <f>BS8</f>
        <v/>
      </c>
      <c r="BT66" s="27">
        <f>BT8</f>
        <v/>
      </c>
      <c r="BU66" s="27">
        <f>BU8</f>
        <v/>
      </c>
      <c r="BV66" s="27">
        <f>BV8</f>
        <v/>
      </c>
      <c r="BW66" s="27">
        <f>BW8</f>
        <v/>
      </c>
      <c r="BX66" s="27">
        <f>BX8</f>
        <v/>
      </c>
      <c r="BY66" s="27">
        <f>BY8</f>
        <v/>
      </c>
      <c r="BZ66" s="27">
        <f>BZ8</f>
        <v/>
      </c>
      <c r="CA66" s="27">
        <f>CA8</f>
        <v/>
      </c>
      <c r="CB66" s="27">
        <f>CB8</f>
        <v/>
      </c>
      <c r="CC66" s="27">
        <f>CC8</f>
        <v/>
      </c>
      <c r="CD66" s="27">
        <f>CD8</f>
        <v/>
      </c>
      <c r="CE66" s="27">
        <f>CE8</f>
        <v/>
      </c>
      <c r="CF66" s="27">
        <f>CF8</f>
        <v/>
      </c>
      <c r="CG66" s="27">
        <f>CG8</f>
        <v/>
      </c>
      <c r="CH66" s="27">
        <f>CH8</f>
        <v/>
      </c>
    </row>
    <row r="67">
      <c r="A67" s="3" t="inlineStr">
        <is>
          <t>Comissões de parceria e meses grátis de indicação</t>
        </is>
      </c>
      <c r="C67" s="27">
        <f>C13*Premissas!$F$45+C14*Premissas!$F$46</f>
        <v/>
      </c>
      <c r="D67" s="27">
        <f>D13*Premissas!$F$45+D14*Premissas!$F$46</f>
        <v/>
      </c>
      <c r="E67" s="27">
        <f>E13*Premissas!$F$45+E14*Premissas!$F$46</f>
        <v/>
      </c>
      <c r="F67" s="27">
        <f>F13*Premissas!$F$45+F14*Premissas!$F$46</f>
        <v/>
      </c>
      <c r="G67" s="27">
        <f>G13*Premissas!$F$45+G14*Premissas!$F$46</f>
        <v/>
      </c>
      <c r="H67" s="27">
        <f>H13*Premissas!$F$45+H14*Premissas!$F$46</f>
        <v/>
      </c>
      <c r="I67" s="27">
        <f>I13*Premissas!$F$45+I14*Premissas!$F$46</f>
        <v/>
      </c>
      <c r="J67" s="27">
        <f>J13*Premissas!$F$45+J14*Premissas!$F$46</f>
        <v/>
      </c>
      <c r="K67" s="27">
        <f>K13*Premissas!$F$45+K14*Premissas!$F$46</f>
        <v/>
      </c>
      <c r="L67" s="27">
        <f>L13*Premissas!$F$45+L14*Premissas!$F$46</f>
        <v/>
      </c>
      <c r="M67" s="27">
        <f>M13*Premissas!$F$45+M14*Premissas!$F$46</f>
        <v/>
      </c>
      <c r="N67" s="27">
        <f>N13*Premissas!$F$45+N14*Premissas!$F$46</f>
        <v/>
      </c>
      <c r="O67" s="27">
        <f>O13*Premissas!$F$45+O14*Premissas!$F$46</f>
        <v/>
      </c>
      <c r="P67" s="27">
        <f>P13*Premissas!$F$45+P14*Premissas!$F$46</f>
        <v/>
      </c>
      <c r="Q67" s="27">
        <f>Q13*Premissas!$F$45+Q14*Premissas!$F$46</f>
        <v/>
      </c>
      <c r="R67" s="27">
        <f>R13*Premissas!$F$45+R14*Premissas!$F$46</f>
        <v/>
      </c>
      <c r="S67" s="27">
        <f>S13*Premissas!$F$45+S14*Premissas!$F$46</f>
        <v/>
      </c>
      <c r="T67" s="27">
        <f>T13*Premissas!$F$45+T14*Premissas!$F$46</f>
        <v/>
      </c>
      <c r="U67" s="27">
        <f>U13*Premissas!$F$45+U14*Premissas!$F$46</f>
        <v/>
      </c>
      <c r="V67" s="27">
        <f>V13*Premissas!$F$45+V14*Premissas!$F$46</f>
        <v/>
      </c>
      <c r="W67" s="27">
        <f>W13*Premissas!$F$45+W14*Premissas!$F$46</f>
        <v/>
      </c>
      <c r="X67" s="27">
        <f>X13*Premissas!$F$45+X14*Premissas!$F$46</f>
        <v/>
      </c>
      <c r="Y67" s="27">
        <f>Y13*Premissas!$F$45+Y14*Premissas!$F$46</f>
        <v/>
      </c>
      <c r="Z67" s="27">
        <f>Z13*Premissas!$F$45+Z14*Premissas!$F$46</f>
        <v/>
      </c>
      <c r="AA67" s="27">
        <f>AA13*Premissas!$F$45+AA14*Premissas!$F$46</f>
        <v/>
      </c>
      <c r="AB67" s="27">
        <f>AB13*Premissas!$F$45+AB14*Premissas!$F$46</f>
        <v/>
      </c>
      <c r="AC67" s="27">
        <f>AC13*Premissas!$F$45+AC14*Premissas!$F$46</f>
        <v/>
      </c>
      <c r="AD67" s="27">
        <f>AD13*Premissas!$F$45+AD14*Premissas!$F$46</f>
        <v/>
      </c>
      <c r="AE67" s="27">
        <f>AE13*Premissas!$F$45+AE14*Premissas!$F$46</f>
        <v/>
      </c>
      <c r="AF67" s="27">
        <f>AF13*Premissas!$F$45+AF14*Premissas!$F$46</f>
        <v/>
      </c>
      <c r="AG67" s="27">
        <f>AG13*Premissas!$F$45+AG14*Premissas!$F$46</f>
        <v/>
      </c>
      <c r="AH67" s="27">
        <f>AH13*Premissas!$F$45+AH14*Premissas!$F$46</f>
        <v/>
      </c>
      <c r="AI67" s="27">
        <f>AI13*Premissas!$F$45+AI14*Premissas!$F$46</f>
        <v/>
      </c>
      <c r="AJ67" s="27">
        <f>AJ13*Premissas!$F$45+AJ14*Premissas!$F$46</f>
        <v/>
      </c>
      <c r="AK67" s="27">
        <f>AK13*Premissas!$F$45+AK14*Premissas!$F$46</f>
        <v/>
      </c>
      <c r="AL67" s="27">
        <f>AL13*Premissas!$F$45+AL14*Premissas!$F$46</f>
        <v/>
      </c>
      <c r="AM67" s="27">
        <f>AM13*Premissas!$F$45+AM14*Premissas!$F$46</f>
        <v/>
      </c>
      <c r="AN67" s="27">
        <f>AN13*Premissas!$F$45+AN14*Premissas!$F$46</f>
        <v/>
      </c>
      <c r="AO67" s="27">
        <f>AO13*Premissas!$F$45+AO14*Premissas!$F$46</f>
        <v/>
      </c>
      <c r="AP67" s="27">
        <f>AP13*Premissas!$F$45+AP14*Premissas!$F$46</f>
        <v/>
      </c>
      <c r="AQ67" s="27">
        <f>AQ13*Premissas!$F$45+AQ14*Premissas!$F$46</f>
        <v/>
      </c>
      <c r="AR67" s="27">
        <f>AR13*Premissas!$F$45+AR14*Premissas!$F$46</f>
        <v/>
      </c>
      <c r="AS67" s="27">
        <f>AS13*Premissas!$F$45+AS14*Premissas!$F$46</f>
        <v/>
      </c>
      <c r="AT67" s="27">
        <f>AT13*Premissas!$F$45+AT14*Premissas!$F$46</f>
        <v/>
      </c>
      <c r="AU67" s="27">
        <f>AU13*Premissas!$F$45+AU14*Premissas!$F$46</f>
        <v/>
      </c>
      <c r="AV67" s="27">
        <f>AV13*Premissas!$F$45+AV14*Premissas!$F$46</f>
        <v/>
      </c>
      <c r="AW67" s="27">
        <f>AW13*Premissas!$F$45+AW14*Premissas!$F$46</f>
        <v/>
      </c>
      <c r="AX67" s="27">
        <f>AX13*Premissas!$F$45+AX14*Premissas!$F$46</f>
        <v/>
      </c>
      <c r="AY67" s="27">
        <f>AY13*Premissas!$F$45+AY14*Premissas!$F$46</f>
        <v/>
      </c>
      <c r="AZ67" s="27">
        <f>AZ13*Premissas!$F$45+AZ14*Premissas!$F$46</f>
        <v/>
      </c>
      <c r="BA67" s="27">
        <f>BA13*Premissas!$F$45+BA14*Premissas!$F$46</f>
        <v/>
      </c>
      <c r="BB67" s="27">
        <f>BB13*Premissas!$F$45+BB14*Premissas!$F$46</f>
        <v/>
      </c>
      <c r="BC67" s="27">
        <f>BC13*Premissas!$F$45+BC14*Premissas!$F$46</f>
        <v/>
      </c>
      <c r="BD67" s="27">
        <f>BD13*Premissas!$F$45+BD14*Premissas!$F$46</f>
        <v/>
      </c>
      <c r="BE67" s="27">
        <f>BE13*Premissas!$F$45+BE14*Premissas!$F$46</f>
        <v/>
      </c>
      <c r="BF67" s="27">
        <f>BF13*Premissas!$F$45+BF14*Premissas!$F$46</f>
        <v/>
      </c>
      <c r="BG67" s="27">
        <f>BG13*Premissas!$F$45+BG14*Premissas!$F$46</f>
        <v/>
      </c>
      <c r="BH67" s="27">
        <f>BH13*Premissas!$F$45+BH14*Premissas!$F$46</f>
        <v/>
      </c>
      <c r="BI67" s="27">
        <f>BI13*Premissas!$F$45+BI14*Premissas!$F$46</f>
        <v/>
      </c>
      <c r="BJ67" s="27">
        <f>BJ13*Premissas!$F$45+BJ14*Premissas!$F$46</f>
        <v/>
      </c>
      <c r="BK67" s="27">
        <f>BK13*Premissas!$F$45+BK14*Premissas!$F$46</f>
        <v/>
      </c>
      <c r="BL67" s="27">
        <f>BL13*Premissas!$F$45+BL14*Premissas!$F$46</f>
        <v/>
      </c>
      <c r="BM67" s="27">
        <f>BM13*Premissas!$F$45+BM14*Premissas!$F$46</f>
        <v/>
      </c>
      <c r="BN67" s="27">
        <f>BN13*Premissas!$F$45+BN14*Premissas!$F$46</f>
        <v/>
      </c>
      <c r="BO67" s="27">
        <f>BO13*Premissas!$F$45+BO14*Premissas!$F$46</f>
        <v/>
      </c>
      <c r="BP67" s="27">
        <f>BP13*Premissas!$F$45+BP14*Premissas!$F$46</f>
        <v/>
      </c>
      <c r="BQ67" s="27">
        <f>BQ13*Premissas!$F$45+BQ14*Premissas!$F$46</f>
        <v/>
      </c>
      <c r="BR67" s="27">
        <f>BR13*Premissas!$F$45+BR14*Premissas!$F$46</f>
        <v/>
      </c>
      <c r="BS67" s="27">
        <f>BS13*Premissas!$F$45+BS14*Premissas!$F$46</f>
        <v/>
      </c>
      <c r="BT67" s="27">
        <f>BT13*Premissas!$F$45+BT14*Premissas!$F$46</f>
        <v/>
      </c>
      <c r="BU67" s="27">
        <f>BU13*Premissas!$F$45+BU14*Premissas!$F$46</f>
        <v/>
      </c>
      <c r="BV67" s="27">
        <f>BV13*Premissas!$F$45+BV14*Premissas!$F$46</f>
        <v/>
      </c>
      <c r="BW67" s="27">
        <f>BW13*Premissas!$F$45+BW14*Premissas!$F$46</f>
        <v/>
      </c>
      <c r="BX67" s="27">
        <f>BX13*Premissas!$F$45+BX14*Premissas!$F$46</f>
        <v/>
      </c>
      <c r="BY67" s="27">
        <f>BY13*Premissas!$F$45+BY14*Premissas!$F$46</f>
        <v/>
      </c>
      <c r="BZ67" s="27">
        <f>BZ13*Premissas!$F$45+BZ14*Premissas!$F$46</f>
        <v/>
      </c>
      <c r="CA67" s="27">
        <f>CA13*Premissas!$F$45+CA14*Premissas!$F$46</f>
        <v/>
      </c>
      <c r="CB67" s="27">
        <f>CB13*Premissas!$F$45+CB14*Premissas!$F$46</f>
        <v/>
      </c>
      <c r="CC67" s="27">
        <f>CC13*Premissas!$F$45+CC14*Premissas!$F$46</f>
        <v/>
      </c>
      <c r="CD67" s="27">
        <f>CD13*Premissas!$F$45+CD14*Premissas!$F$46</f>
        <v/>
      </c>
      <c r="CE67" s="27">
        <f>CE13*Premissas!$F$45+CE14*Premissas!$F$46</f>
        <v/>
      </c>
      <c r="CF67" s="27">
        <f>CF13*Premissas!$F$45+CF14*Premissas!$F$46</f>
        <v/>
      </c>
      <c r="CG67" s="27">
        <f>CG13*Premissas!$F$45+CG14*Premissas!$F$46</f>
        <v/>
      </c>
      <c r="CH67" s="27">
        <f>CH13*Premissas!$F$45+CH14*Premissas!$F$46</f>
        <v/>
      </c>
    </row>
    <row r="68">
      <c r="A68" s="3" t="inlineStr">
        <is>
          <t>Marca e eventos</t>
        </is>
      </c>
      <c r="C68" s="27">
        <f>C8*Premissas!$F$39</f>
        <v/>
      </c>
      <c r="D68" s="27">
        <f>D8*Premissas!$F$39</f>
        <v/>
      </c>
      <c r="E68" s="27">
        <f>E8*Premissas!$F$39</f>
        <v/>
      </c>
      <c r="F68" s="27">
        <f>F8*Premissas!$F$39</f>
        <v/>
      </c>
      <c r="G68" s="27">
        <f>G8*Premissas!$F$39</f>
        <v/>
      </c>
      <c r="H68" s="27">
        <f>H8*Premissas!$F$39</f>
        <v/>
      </c>
      <c r="I68" s="27">
        <f>I8*Premissas!$F$39</f>
        <v/>
      </c>
      <c r="J68" s="27">
        <f>J8*Premissas!$F$39</f>
        <v/>
      </c>
      <c r="K68" s="27">
        <f>K8*Premissas!$F$39</f>
        <v/>
      </c>
      <c r="L68" s="27">
        <f>L8*Premissas!$F$39</f>
        <v/>
      </c>
      <c r="M68" s="27">
        <f>M8*Premissas!$F$39</f>
        <v/>
      </c>
      <c r="N68" s="27">
        <f>N8*Premissas!$F$39</f>
        <v/>
      </c>
      <c r="O68" s="27">
        <f>O8*Premissas!$F$39</f>
        <v/>
      </c>
      <c r="P68" s="27">
        <f>P8*Premissas!$F$39</f>
        <v/>
      </c>
      <c r="Q68" s="27">
        <f>Q8*Premissas!$F$39</f>
        <v/>
      </c>
      <c r="R68" s="27">
        <f>R8*Premissas!$F$39</f>
        <v/>
      </c>
      <c r="S68" s="27">
        <f>S8*Premissas!$F$39</f>
        <v/>
      </c>
      <c r="T68" s="27">
        <f>T8*Premissas!$F$39</f>
        <v/>
      </c>
      <c r="U68" s="27">
        <f>U8*Premissas!$F$39</f>
        <v/>
      </c>
      <c r="V68" s="27">
        <f>V8*Premissas!$F$39</f>
        <v/>
      </c>
      <c r="W68" s="27">
        <f>W8*Premissas!$F$39</f>
        <v/>
      </c>
      <c r="X68" s="27">
        <f>X8*Premissas!$F$39</f>
        <v/>
      </c>
      <c r="Y68" s="27">
        <f>Y8*Premissas!$F$39</f>
        <v/>
      </c>
      <c r="Z68" s="27">
        <f>Z8*Premissas!$F$39</f>
        <v/>
      </c>
      <c r="AA68" s="27">
        <f>AA8*Premissas!$F$39</f>
        <v/>
      </c>
      <c r="AB68" s="27">
        <f>AB8*Premissas!$F$39</f>
        <v/>
      </c>
      <c r="AC68" s="27">
        <f>AC8*Premissas!$F$39</f>
        <v/>
      </c>
      <c r="AD68" s="27">
        <f>AD8*Premissas!$F$39</f>
        <v/>
      </c>
      <c r="AE68" s="27">
        <f>AE8*Premissas!$F$39</f>
        <v/>
      </c>
      <c r="AF68" s="27">
        <f>AF8*Premissas!$F$39</f>
        <v/>
      </c>
      <c r="AG68" s="27">
        <f>AG8*Premissas!$F$39</f>
        <v/>
      </c>
      <c r="AH68" s="27">
        <f>AH8*Premissas!$F$39</f>
        <v/>
      </c>
      <c r="AI68" s="27">
        <f>AI8*Premissas!$F$39</f>
        <v/>
      </c>
      <c r="AJ68" s="27">
        <f>AJ8*Premissas!$F$39</f>
        <v/>
      </c>
      <c r="AK68" s="27">
        <f>AK8*Premissas!$F$39</f>
        <v/>
      </c>
      <c r="AL68" s="27">
        <f>AL8*Premissas!$F$39</f>
        <v/>
      </c>
      <c r="AM68" s="27">
        <f>AM8*Premissas!$F$39</f>
        <v/>
      </c>
      <c r="AN68" s="27">
        <f>AN8*Premissas!$F$39</f>
        <v/>
      </c>
      <c r="AO68" s="27">
        <f>AO8*Premissas!$F$39</f>
        <v/>
      </c>
      <c r="AP68" s="27">
        <f>AP8*Premissas!$F$39</f>
        <v/>
      </c>
      <c r="AQ68" s="27">
        <f>AQ8*Premissas!$F$39</f>
        <v/>
      </c>
      <c r="AR68" s="27">
        <f>AR8*Premissas!$F$39</f>
        <v/>
      </c>
      <c r="AS68" s="27">
        <f>AS8*Premissas!$F$39</f>
        <v/>
      </c>
      <c r="AT68" s="27">
        <f>AT8*Premissas!$F$39</f>
        <v/>
      </c>
      <c r="AU68" s="27">
        <f>AU8*Premissas!$F$39</f>
        <v/>
      </c>
      <c r="AV68" s="27">
        <f>AV8*Premissas!$F$39</f>
        <v/>
      </c>
      <c r="AW68" s="27">
        <f>AW8*Premissas!$F$39</f>
        <v/>
      </c>
      <c r="AX68" s="27">
        <f>AX8*Premissas!$F$39</f>
        <v/>
      </c>
      <c r="AY68" s="27">
        <f>AY8*Premissas!$F$39</f>
        <v/>
      </c>
      <c r="AZ68" s="27">
        <f>AZ8*Premissas!$F$39</f>
        <v/>
      </c>
      <c r="BA68" s="27">
        <f>BA8*Premissas!$F$39</f>
        <v/>
      </c>
      <c r="BB68" s="27">
        <f>BB8*Premissas!$F$39</f>
        <v/>
      </c>
      <c r="BC68" s="27">
        <f>BC8*Premissas!$F$39</f>
        <v/>
      </c>
      <c r="BD68" s="27">
        <f>BD8*Premissas!$F$39</f>
        <v/>
      </c>
      <c r="BE68" s="27">
        <f>BE8*Premissas!$F$39</f>
        <v/>
      </c>
      <c r="BF68" s="27">
        <f>BF8*Premissas!$F$39</f>
        <v/>
      </c>
      <c r="BG68" s="27">
        <f>BG8*Premissas!$F$39</f>
        <v/>
      </c>
      <c r="BH68" s="27">
        <f>BH8*Premissas!$F$39</f>
        <v/>
      </c>
      <c r="BI68" s="27">
        <f>BI8*Premissas!$F$39</f>
        <v/>
      </c>
      <c r="BJ68" s="27">
        <f>BJ8*Premissas!$F$39</f>
        <v/>
      </c>
      <c r="BK68" s="27">
        <f>BK8*Premissas!$F$39</f>
        <v/>
      </c>
      <c r="BL68" s="27">
        <f>BL8*Premissas!$F$39</f>
        <v/>
      </c>
      <c r="BM68" s="27">
        <f>BM8*Premissas!$F$39</f>
        <v/>
      </c>
      <c r="BN68" s="27">
        <f>BN8*Premissas!$F$39</f>
        <v/>
      </c>
      <c r="BO68" s="27">
        <f>BO8*Premissas!$F$39</f>
        <v/>
      </c>
      <c r="BP68" s="27">
        <f>BP8*Premissas!$F$39</f>
        <v/>
      </c>
      <c r="BQ68" s="27">
        <f>BQ8*Premissas!$F$39</f>
        <v/>
      </c>
      <c r="BR68" s="27">
        <f>BR8*Premissas!$F$39</f>
        <v/>
      </c>
      <c r="BS68" s="27">
        <f>BS8*Premissas!$F$39</f>
        <v/>
      </c>
      <c r="BT68" s="27">
        <f>BT8*Premissas!$F$39</f>
        <v/>
      </c>
      <c r="BU68" s="27">
        <f>BU8*Premissas!$F$39</f>
        <v/>
      </c>
      <c r="BV68" s="27">
        <f>BV8*Premissas!$F$39</f>
        <v/>
      </c>
      <c r="BW68" s="27">
        <f>BW8*Premissas!$F$39</f>
        <v/>
      </c>
      <c r="BX68" s="27">
        <f>BX8*Premissas!$F$39</f>
        <v/>
      </c>
      <c r="BY68" s="27">
        <f>BY8*Premissas!$F$39</f>
        <v/>
      </c>
      <c r="BZ68" s="27">
        <f>BZ8*Premissas!$F$39</f>
        <v/>
      </c>
      <c r="CA68" s="27">
        <f>CA8*Premissas!$F$39</f>
        <v/>
      </c>
      <c r="CB68" s="27">
        <f>CB8*Premissas!$F$39</f>
        <v/>
      </c>
      <c r="CC68" s="27">
        <f>CC8*Premissas!$F$39</f>
        <v/>
      </c>
      <c r="CD68" s="27">
        <f>CD8*Premissas!$F$39</f>
        <v/>
      </c>
      <c r="CE68" s="27">
        <f>CE8*Premissas!$F$39</f>
        <v/>
      </c>
      <c r="CF68" s="27">
        <f>CF8*Premissas!$F$39</f>
        <v/>
      </c>
      <c r="CG68" s="27">
        <f>CG8*Premissas!$F$39</f>
        <v/>
      </c>
      <c r="CH68" s="27">
        <f>CH8*Premissas!$F$39</f>
        <v/>
      </c>
    </row>
    <row r="69">
      <c r="A69" s="3" t="inlineStr">
        <is>
          <t>Outras despesas</t>
        </is>
      </c>
      <c r="C69" s="27">
        <f>Premissas!$F$37+C43*Premissas!$F$38</f>
        <v/>
      </c>
      <c r="D69" s="27">
        <f>Premissas!$F$37+D43*Premissas!$F$38</f>
        <v/>
      </c>
      <c r="E69" s="27">
        <f>Premissas!$F$37+E43*Premissas!$F$38</f>
        <v/>
      </c>
      <c r="F69" s="27">
        <f>Premissas!$F$37+F43*Premissas!$F$38</f>
        <v/>
      </c>
      <c r="G69" s="27">
        <f>Premissas!$F$37+G43*Premissas!$F$38</f>
        <v/>
      </c>
      <c r="H69" s="27">
        <f>Premissas!$F$37+H43*Premissas!$F$38</f>
        <v/>
      </c>
      <c r="I69" s="27">
        <f>Premissas!$F$37+I43*Premissas!$F$38</f>
        <v/>
      </c>
      <c r="J69" s="27">
        <f>Premissas!$F$37+J43*Premissas!$F$38</f>
        <v/>
      </c>
      <c r="K69" s="27">
        <f>Premissas!$F$37+K43*Premissas!$F$38</f>
        <v/>
      </c>
      <c r="L69" s="27">
        <f>Premissas!$F$37+L43*Premissas!$F$38</f>
        <v/>
      </c>
      <c r="M69" s="27">
        <f>Premissas!$F$37+M43*Premissas!$F$38</f>
        <v/>
      </c>
      <c r="N69" s="27">
        <f>Premissas!$F$37+N43*Premissas!$F$38</f>
        <v/>
      </c>
      <c r="O69" s="27">
        <f>Premissas!$F$37+O43*Premissas!$F$38</f>
        <v/>
      </c>
      <c r="P69" s="27">
        <f>Premissas!$F$37+P43*Premissas!$F$38</f>
        <v/>
      </c>
      <c r="Q69" s="27">
        <f>Premissas!$F$37+Q43*Premissas!$F$38</f>
        <v/>
      </c>
      <c r="R69" s="27">
        <f>Premissas!$F$37+R43*Premissas!$F$38</f>
        <v/>
      </c>
      <c r="S69" s="27">
        <f>Premissas!$F$37+S43*Premissas!$F$38</f>
        <v/>
      </c>
      <c r="T69" s="27">
        <f>Premissas!$F$37+T43*Premissas!$F$38</f>
        <v/>
      </c>
      <c r="U69" s="27">
        <f>Premissas!$F$37+U43*Premissas!$F$38</f>
        <v/>
      </c>
      <c r="V69" s="27">
        <f>Premissas!$F$37+V43*Premissas!$F$38</f>
        <v/>
      </c>
      <c r="W69" s="27">
        <f>Premissas!$F$37+W43*Premissas!$F$38</f>
        <v/>
      </c>
      <c r="X69" s="27">
        <f>Premissas!$F$37+X43*Premissas!$F$38</f>
        <v/>
      </c>
      <c r="Y69" s="27">
        <f>Premissas!$F$37+Y43*Premissas!$F$38</f>
        <v/>
      </c>
      <c r="Z69" s="27">
        <f>Premissas!$F$37+Z43*Premissas!$F$38</f>
        <v/>
      </c>
      <c r="AA69" s="27">
        <f>Premissas!$F$37+AA43*Premissas!$F$38</f>
        <v/>
      </c>
      <c r="AB69" s="27">
        <f>Premissas!$F$37+AB43*Premissas!$F$38</f>
        <v/>
      </c>
      <c r="AC69" s="27">
        <f>Premissas!$F$37+AC43*Premissas!$F$38</f>
        <v/>
      </c>
      <c r="AD69" s="27">
        <f>Premissas!$F$37+AD43*Premissas!$F$38</f>
        <v/>
      </c>
      <c r="AE69" s="27">
        <f>Premissas!$F$37+AE43*Premissas!$F$38</f>
        <v/>
      </c>
      <c r="AF69" s="27">
        <f>Premissas!$F$37+AF43*Premissas!$F$38</f>
        <v/>
      </c>
      <c r="AG69" s="27">
        <f>Premissas!$F$37+AG43*Premissas!$F$38</f>
        <v/>
      </c>
      <c r="AH69" s="27">
        <f>Premissas!$F$37+AH43*Premissas!$F$38</f>
        <v/>
      </c>
      <c r="AI69" s="27">
        <f>Premissas!$F$37+AI43*Premissas!$F$38</f>
        <v/>
      </c>
      <c r="AJ69" s="27">
        <f>Premissas!$F$37+AJ43*Premissas!$F$38</f>
        <v/>
      </c>
      <c r="AK69" s="27">
        <f>Premissas!$F$37+AK43*Premissas!$F$38</f>
        <v/>
      </c>
      <c r="AL69" s="27">
        <f>Premissas!$F$37+AL43*Premissas!$F$38</f>
        <v/>
      </c>
      <c r="AM69" s="27">
        <f>Premissas!$F$37+AM43*Premissas!$F$38</f>
        <v/>
      </c>
      <c r="AN69" s="27">
        <f>Premissas!$F$37+AN43*Premissas!$F$38</f>
        <v/>
      </c>
      <c r="AO69" s="27">
        <f>Premissas!$F$37+AO43*Premissas!$F$38</f>
        <v/>
      </c>
      <c r="AP69" s="27">
        <f>Premissas!$F$37+AP43*Premissas!$F$38</f>
        <v/>
      </c>
      <c r="AQ69" s="27">
        <f>Premissas!$F$37+AQ43*Premissas!$F$38</f>
        <v/>
      </c>
      <c r="AR69" s="27">
        <f>Premissas!$F$37+AR43*Premissas!$F$38</f>
        <v/>
      </c>
      <c r="AS69" s="27">
        <f>Premissas!$F$37+AS43*Premissas!$F$38</f>
        <v/>
      </c>
      <c r="AT69" s="27">
        <f>Premissas!$F$37+AT43*Premissas!$F$38</f>
        <v/>
      </c>
      <c r="AU69" s="27">
        <f>Premissas!$F$37+AU43*Premissas!$F$38</f>
        <v/>
      </c>
      <c r="AV69" s="27">
        <f>Premissas!$F$37+AV43*Premissas!$F$38</f>
        <v/>
      </c>
      <c r="AW69" s="27">
        <f>Premissas!$F$37+AW43*Premissas!$F$38</f>
        <v/>
      </c>
      <c r="AX69" s="27">
        <f>Premissas!$F$37+AX43*Premissas!$F$38</f>
        <v/>
      </c>
      <c r="AY69" s="27">
        <f>Premissas!$F$37+AY43*Premissas!$F$38</f>
        <v/>
      </c>
      <c r="AZ69" s="27">
        <f>Premissas!$F$37+AZ43*Premissas!$F$38</f>
        <v/>
      </c>
      <c r="BA69" s="27">
        <f>Premissas!$F$37+BA43*Premissas!$F$38</f>
        <v/>
      </c>
      <c r="BB69" s="27">
        <f>Premissas!$F$37+BB43*Premissas!$F$38</f>
        <v/>
      </c>
      <c r="BC69" s="27">
        <f>Premissas!$F$37+BC43*Premissas!$F$38</f>
        <v/>
      </c>
      <c r="BD69" s="27">
        <f>Premissas!$F$37+BD43*Premissas!$F$38</f>
        <v/>
      </c>
      <c r="BE69" s="27">
        <f>Premissas!$F$37+BE43*Premissas!$F$38</f>
        <v/>
      </c>
      <c r="BF69" s="27">
        <f>Premissas!$F$37+BF43*Premissas!$F$38</f>
        <v/>
      </c>
      <c r="BG69" s="27">
        <f>Premissas!$F$37+BG43*Premissas!$F$38</f>
        <v/>
      </c>
      <c r="BH69" s="27">
        <f>Premissas!$F$37+BH43*Premissas!$F$38</f>
        <v/>
      </c>
      <c r="BI69" s="27">
        <f>Premissas!$F$37+BI43*Premissas!$F$38</f>
        <v/>
      </c>
      <c r="BJ69" s="27">
        <f>Premissas!$F$37+BJ43*Premissas!$F$38</f>
        <v/>
      </c>
      <c r="BK69" s="27">
        <f>Premissas!$F$37+BK43*Premissas!$F$38</f>
        <v/>
      </c>
      <c r="BL69" s="27">
        <f>Premissas!$F$37+BL43*Premissas!$F$38</f>
        <v/>
      </c>
      <c r="BM69" s="27">
        <f>Premissas!$F$37+BM43*Premissas!$F$38</f>
        <v/>
      </c>
      <c r="BN69" s="27">
        <f>Premissas!$F$37+BN43*Premissas!$F$38</f>
        <v/>
      </c>
      <c r="BO69" s="27">
        <f>Premissas!$F$37+BO43*Premissas!$F$38</f>
        <v/>
      </c>
      <c r="BP69" s="27">
        <f>Premissas!$F$37+BP43*Premissas!$F$38</f>
        <v/>
      </c>
      <c r="BQ69" s="27">
        <f>Premissas!$F$37+BQ43*Premissas!$F$38</f>
        <v/>
      </c>
      <c r="BR69" s="27">
        <f>Premissas!$F$37+BR43*Premissas!$F$38</f>
        <v/>
      </c>
      <c r="BS69" s="27">
        <f>Premissas!$F$37+BS43*Premissas!$F$38</f>
        <v/>
      </c>
      <c r="BT69" s="27">
        <f>Premissas!$F$37+BT43*Premissas!$F$38</f>
        <v/>
      </c>
      <c r="BU69" s="27">
        <f>Premissas!$F$37+BU43*Premissas!$F$38</f>
        <v/>
      </c>
      <c r="BV69" s="27">
        <f>Premissas!$F$37+BV43*Premissas!$F$38</f>
        <v/>
      </c>
      <c r="BW69" s="27">
        <f>Premissas!$F$37+BW43*Premissas!$F$38</f>
        <v/>
      </c>
      <c r="BX69" s="27">
        <f>Premissas!$F$37+BX43*Premissas!$F$38</f>
        <v/>
      </c>
      <c r="BY69" s="27">
        <f>Premissas!$F$37+BY43*Premissas!$F$38</f>
        <v/>
      </c>
      <c r="BZ69" s="27">
        <f>Premissas!$F$37+BZ43*Premissas!$F$38</f>
        <v/>
      </c>
      <c r="CA69" s="27">
        <f>Premissas!$F$37+CA43*Premissas!$F$38</f>
        <v/>
      </c>
      <c r="CB69" s="27">
        <f>Premissas!$F$37+CB43*Premissas!$F$38</f>
        <v/>
      </c>
      <c r="CC69" s="27">
        <f>Premissas!$F$37+CC43*Premissas!$F$38</f>
        <v/>
      </c>
      <c r="CD69" s="27">
        <f>Premissas!$F$37+CD43*Premissas!$F$38</f>
        <v/>
      </c>
      <c r="CE69" s="27">
        <f>Premissas!$F$37+CE43*Premissas!$F$38</f>
        <v/>
      </c>
      <c r="CF69" s="27">
        <f>Premissas!$F$37+CF43*Premissas!$F$38</f>
        <v/>
      </c>
      <c r="CG69" s="27">
        <f>Premissas!$F$37+CG43*Premissas!$F$38</f>
        <v/>
      </c>
      <c r="CH69" s="27">
        <f>Premissas!$F$37+CH43*Premissas!$F$38</f>
        <v/>
      </c>
    </row>
    <row r="70">
      <c r="A70" s="3" t="inlineStr">
        <is>
          <t>Custo único da expansão</t>
        </is>
      </c>
      <c r="C70" s="27">
        <f>IF(C2=Premissas!$F$13,Premissas!$F$16,0)</f>
        <v/>
      </c>
      <c r="D70" s="27">
        <f>IF(D2=Premissas!$F$13,Premissas!$F$16,0)</f>
        <v/>
      </c>
      <c r="E70" s="27">
        <f>IF(E2=Premissas!$F$13,Premissas!$F$16,0)</f>
        <v/>
      </c>
      <c r="F70" s="27">
        <f>IF(F2=Premissas!$F$13,Premissas!$F$16,0)</f>
        <v/>
      </c>
      <c r="G70" s="27">
        <f>IF(G2=Premissas!$F$13,Premissas!$F$16,0)</f>
        <v/>
      </c>
      <c r="H70" s="27">
        <f>IF(H2=Premissas!$F$13,Premissas!$F$16,0)</f>
        <v/>
      </c>
      <c r="I70" s="27">
        <f>IF(I2=Premissas!$F$13,Premissas!$F$16,0)</f>
        <v/>
      </c>
      <c r="J70" s="27">
        <f>IF(J2=Premissas!$F$13,Premissas!$F$16,0)</f>
        <v/>
      </c>
      <c r="K70" s="27">
        <f>IF(K2=Premissas!$F$13,Premissas!$F$16,0)</f>
        <v/>
      </c>
      <c r="L70" s="27">
        <f>IF(L2=Premissas!$F$13,Premissas!$F$16,0)</f>
        <v/>
      </c>
      <c r="M70" s="27">
        <f>IF(M2=Premissas!$F$13,Premissas!$F$16,0)</f>
        <v/>
      </c>
      <c r="N70" s="27">
        <f>IF(N2=Premissas!$F$13,Premissas!$F$16,0)</f>
        <v/>
      </c>
      <c r="O70" s="27">
        <f>IF(O2=Premissas!$F$13,Premissas!$F$16,0)</f>
        <v/>
      </c>
      <c r="P70" s="27">
        <f>IF(P2=Premissas!$F$13,Premissas!$F$16,0)</f>
        <v/>
      </c>
      <c r="Q70" s="27">
        <f>IF(Q2=Premissas!$F$13,Premissas!$F$16,0)</f>
        <v/>
      </c>
      <c r="R70" s="27">
        <f>IF(R2=Premissas!$F$13,Premissas!$F$16,0)</f>
        <v/>
      </c>
      <c r="S70" s="27">
        <f>IF(S2=Premissas!$F$13,Premissas!$F$16,0)</f>
        <v/>
      </c>
      <c r="T70" s="27">
        <f>IF(T2=Premissas!$F$13,Premissas!$F$16,0)</f>
        <v/>
      </c>
      <c r="U70" s="27">
        <f>IF(U2=Premissas!$F$13,Premissas!$F$16,0)</f>
        <v/>
      </c>
      <c r="V70" s="27">
        <f>IF(V2=Premissas!$F$13,Premissas!$F$16,0)</f>
        <v/>
      </c>
      <c r="W70" s="27">
        <f>IF(W2=Premissas!$F$13,Premissas!$F$16,0)</f>
        <v/>
      </c>
      <c r="X70" s="27">
        <f>IF(X2=Premissas!$F$13,Premissas!$F$16,0)</f>
        <v/>
      </c>
      <c r="Y70" s="27">
        <f>IF(Y2=Premissas!$F$13,Premissas!$F$16,0)</f>
        <v/>
      </c>
      <c r="Z70" s="27">
        <f>IF(Z2=Premissas!$F$13,Premissas!$F$16,0)</f>
        <v/>
      </c>
      <c r="AA70" s="27">
        <f>IF(AA2=Premissas!$F$13,Premissas!$F$16,0)</f>
        <v/>
      </c>
      <c r="AB70" s="27">
        <f>IF(AB2=Premissas!$F$13,Premissas!$F$16,0)</f>
        <v/>
      </c>
      <c r="AC70" s="27">
        <f>IF(AC2=Premissas!$F$13,Premissas!$F$16,0)</f>
        <v/>
      </c>
      <c r="AD70" s="27">
        <f>IF(AD2=Premissas!$F$13,Premissas!$F$16,0)</f>
        <v/>
      </c>
      <c r="AE70" s="27">
        <f>IF(AE2=Premissas!$F$13,Premissas!$F$16,0)</f>
        <v/>
      </c>
      <c r="AF70" s="27">
        <f>IF(AF2=Premissas!$F$13,Premissas!$F$16,0)</f>
        <v/>
      </c>
      <c r="AG70" s="27">
        <f>IF(AG2=Premissas!$F$13,Premissas!$F$16,0)</f>
        <v/>
      </c>
      <c r="AH70" s="27">
        <f>IF(AH2=Premissas!$F$13,Premissas!$F$16,0)</f>
        <v/>
      </c>
      <c r="AI70" s="27">
        <f>IF(AI2=Premissas!$F$13,Premissas!$F$16,0)</f>
        <v/>
      </c>
      <c r="AJ70" s="27">
        <f>IF(AJ2=Premissas!$F$13,Premissas!$F$16,0)</f>
        <v/>
      </c>
      <c r="AK70" s="27">
        <f>IF(AK2=Premissas!$F$13,Premissas!$F$16,0)</f>
        <v/>
      </c>
      <c r="AL70" s="27">
        <f>IF(AL2=Premissas!$F$13,Premissas!$F$16,0)</f>
        <v/>
      </c>
      <c r="AM70" s="27">
        <f>IF(AM2=Premissas!$F$13,Premissas!$F$16,0)</f>
        <v/>
      </c>
      <c r="AN70" s="27">
        <f>IF(AN2=Premissas!$F$13,Premissas!$F$16,0)</f>
        <v/>
      </c>
      <c r="AO70" s="27">
        <f>IF(AO2=Premissas!$F$13,Premissas!$F$16,0)</f>
        <v/>
      </c>
      <c r="AP70" s="27">
        <f>IF(AP2=Premissas!$F$13,Premissas!$F$16,0)</f>
        <v/>
      </c>
      <c r="AQ70" s="27">
        <f>IF(AQ2=Premissas!$F$13,Premissas!$F$16,0)</f>
        <v/>
      </c>
      <c r="AR70" s="27">
        <f>IF(AR2=Premissas!$F$13,Premissas!$F$16,0)</f>
        <v/>
      </c>
      <c r="AS70" s="27">
        <f>IF(AS2=Premissas!$F$13,Premissas!$F$16,0)</f>
        <v/>
      </c>
      <c r="AT70" s="27">
        <f>IF(AT2=Premissas!$F$13,Premissas!$F$16,0)</f>
        <v/>
      </c>
      <c r="AU70" s="27">
        <f>IF(AU2=Premissas!$F$13,Premissas!$F$16,0)</f>
        <v/>
      </c>
      <c r="AV70" s="27">
        <f>IF(AV2=Premissas!$F$13,Premissas!$F$16,0)</f>
        <v/>
      </c>
      <c r="AW70" s="27">
        <f>IF(AW2=Premissas!$F$13,Premissas!$F$16,0)</f>
        <v/>
      </c>
      <c r="AX70" s="27">
        <f>IF(AX2=Premissas!$F$13,Premissas!$F$16,0)</f>
        <v/>
      </c>
      <c r="AY70" s="27">
        <f>IF(AY2=Premissas!$F$13,Premissas!$F$16,0)</f>
        <v/>
      </c>
      <c r="AZ70" s="27">
        <f>IF(AZ2=Premissas!$F$13,Premissas!$F$16,0)</f>
        <v/>
      </c>
      <c r="BA70" s="27">
        <f>IF(BA2=Premissas!$F$13,Premissas!$F$16,0)</f>
        <v/>
      </c>
      <c r="BB70" s="27">
        <f>IF(BB2=Premissas!$F$13,Premissas!$F$16,0)</f>
        <v/>
      </c>
      <c r="BC70" s="27">
        <f>IF(BC2=Premissas!$F$13,Premissas!$F$16,0)</f>
        <v/>
      </c>
      <c r="BD70" s="27">
        <f>IF(BD2=Premissas!$F$13,Premissas!$F$16,0)</f>
        <v/>
      </c>
      <c r="BE70" s="27">
        <f>IF(BE2=Premissas!$F$13,Premissas!$F$16,0)</f>
        <v/>
      </c>
      <c r="BF70" s="27">
        <f>IF(BF2=Premissas!$F$13,Premissas!$F$16,0)</f>
        <v/>
      </c>
      <c r="BG70" s="27">
        <f>IF(BG2=Premissas!$F$13,Premissas!$F$16,0)</f>
        <v/>
      </c>
      <c r="BH70" s="27">
        <f>IF(BH2=Premissas!$F$13,Premissas!$F$16,0)</f>
        <v/>
      </c>
      <c r="BI70" s="27">
        <f>IF(BI2=Premissas!$F$13,Premissas!$F$16,0)</f>
        <v/>
      </c>
      <c r="BJ70" s="27">
        <f>IF(BJ2=Premissas!$F$13,Premissas!$F$16,0)</f>
        <v/>
      </c>
      <c r="BK70" s="27">
        <f>IF(BK2=Premissas!$F$13,Premissas!$F$16,0)</f>
        <v/>
      </c>
      <c r="BL70" s="27">
        <f>IF(BL2=Premissas!$F$13,Premissas!$F$16,0)</f>
        <v/>
      </c>
      <c r="BM70" s="27">
        <f>IF(BM2=Premissas!$F$13,Premissas!$F$16,0)</f>
        <v/>
      </c>
      <c r="BN70" s="27">
        <f>IF(BN2=Premissas!$F$13,Premissas!$F$16,0)</f>
        <v/>
      </c>
      <c r="BO70" s="27">
        <f>IF(BO2=Premissas!$F$13,Premissas!$F$16,0)</f>
        <v/>
      </c>
      <c r="BP70" s="27">
        <f>IF(BP2=Premissas!$F$13,Premissas!$F$16,0)</f>
        <v/>
      </c>
      <c r="BQ70" s="27">
        <f>IF(BQ2=Premissas!$F$13,Premissas!$F$16,0)</f>
        <v/>
      </c>
      <c r="BR70" s="27">
        <f>IF(BR2=Premissas!$F$13,Premissas!$F$16,0)</f>
        <v/>
      </c>
      <c r="BS70" s="27">
        <f>IF(BS2=Premissas!$F$13,Premissas!$F$16,0)</f>
        <v/>
      </c>
      <c r="BT70" s="27">
        <f>IF(BT2=Premissas!$F$13,Premissas!$F$16,0)</f>
        <v/>
      </c>
      <c r="BU70" s="27">
        <f>IF(BU2=Premissas!$F$13,Premissas!$F$16,0)</f>
        <v/>
      </c>
      <c r="BV70" s="27">
        <f>IF(BV2=Premissas!$F$13,Premissas!$F$16,0)</f>
        <v/>
      </c>
      <c r="BW70" s="27">
        <f>IF(BW2=Premissas!$F$13,Premissas!$F$16,0)</f>
        <v/>
      </c>
      <c r="BX70" s="27">
        <f>IF(BX2=Premissas!$F$13,Premissas!$F$16,0)</f>
        <v/>
      </c>
      <c r="BY70" s="27">
        <f>IF(BY2=Premissas!$F$13,Premissas!$F$16,0)</f>
        <v/>
      </c>
      <c r="BZ70" s="27">
        <f>IF(BZ2=Premissas!$F$13,Premissas!$F$16,0)</f>
        <v/>
      </c>
      <c r="CA70" s="27">
        <f>IF(CA2=Premissas!$F$13,Premissas!$F$16,0)</f>
        <v/>
      </c>
      <c r="CB70" s="27">
        <f>IF(CB2=Premissas!$F$13,Premissas!$F$16,0)</f>
        <v/>
      </c>
      <c r="CC70" s="27">
        <f>IF(CC2=Premissas!$F$13,Premissas!$F$16,0)</f>
        <v/>
      </c>
      <c r="CD70" s="27">
        <f>IF(CD2=Premissas!$F$13,Premissas!$F$16,0)</f>
        <v/>
      </c>
      <c r="CE70" s="27">
        <f>IF(CE2=Premissas!$F$13,Premissas!$F$16,0)</f>
        <v/>
      </c>
      <c r="CF70" s="27">
        <f>IF(CF2=Premissas!$F$13,Premissas!$F$16,0)</f>
        <v/>
      </c>
      <c r="CG70" s="27">
        <f>IF(CG2=Premissas!$F$13,Premissas!$F$16,0)</f>
        <v/>
      </c>
      <c r="CH70" s="27">
        <f>IF(CH2=Premissas!$F$13,Premissas!$F$16,0)</f>
        <v/>
      </c>
    </row>
    <row r="71">
      <c r="A71" s="2" t="inlineStr">
        <is>
          <t>Despesas operacionais totais</t>
        </is>
      </c>
      <c r="C71" s="31">
        <f>C61+C62+C63+C64+C65+C66+C67+C68+C69+C70</f>
        <v/>
      </c>
      <c r="D71" s="31">
        <f>D61+D62+D63+D64+D65+D66+D67+D68+D69+D70</f>
        <v/>
      </c>
      <c r="E71" s="31">
        <f>E61+E62+E63+E64+E65+E66+E67+E68+E69+E70</f>
        <v/>
      </c>
      <c r="F71" s="31">
        <f>F61+F62+F63+F64+F65+F66+F67+F68+F69+F70</f>
        <v/>
      </c>
      <c r="G71" s="31">
        <f>G61+G62+G63+G64+G65+G66+G67+G68+G69+G70</f>
        <v/>
      </c>
      <c r="H71" s="31">
        <f>H61+H62+H63+H64+H65+H66+H67+H68+H69+H70</f>
        <v/>
      </c>
      <c r="I71" s="31">
        <f>I61+I62+I63+I64+I65+I66+I67+I68+I69+I70</f>
        <v/>
      </c>
      <c r="J71" s="31">
        <f>J61+J62+J63+J64+J65+J66+J67+J68+J69+J70</f>
        <v/>
      </c>
      <c r="K71" s="31">
        <f>K61+K62+K63+K64+K65+K66+K67+K68+K69+K70</f>
        <v/>
      </c>
      <c r="L71" s="31">
        <f>L61+L62+L63+L64+L65+L66+L67+L68+L69+L70</f>
        <v/>
      </c>
      <c r="M71" s="31">
        <f>M61+M62+M63+M64+M65+M66+M67+M68+M69+M70</f>
        <v/>
      </c>
      <c r="N71" s="31">
        <f>N61+N62+N63+N64+N65+N66+N67+N68+N69+N70</f>
        <v/>
      </c>
      <c r="O71" s="31">
        <f>O61+O62+O63+O64+O65+O66+O67+O68+O69+O70</f>
        <v/>
      </c>
      <c r="P71" s="31">
        <f>P61+P62+P63+P64+P65+P66+P67+P68+P69+P70</f>
        <v/>
      </c>
      <c r="Q71" s="31">
        <f>Q61+Q62+Q63+Q64+Q65+Q66+Q67+Q68+Q69+Q70</f>
        <v/>
      </c>
      <c r="R71" s="31">
        <f>R61+R62+R63+R64+R65+R66+R67+R68+R69+R70</f>
        <v/>
      </c>
      <c r="S71" s="31">
        <f>S61+S62+S63+S64+S65+S66+S67+S68+S69+S70</f>
        <v/>
      </c>
      <c r="T71" s="31">
        <f>T61+T62+T63+T64+T65+T66+T67+T68+T69+T70</f>
        <v/>
      </c>
      <c r="U71" s="31">
        <f>U61+U62+U63+U64+U65+U66+U67+U68+U69+U70</f>
        <v/>
      </c>
      <c r="V71" s="31">
        <f>V61+V62+V63+V64+V65+V66+V67+V68+V69+V70</f>
        <v/>
      </c>
      <c r="W71" s="31">
        <f>W61+W62+W63+W64+W65+W66+W67+W68+W69+W70</f>
        <v/>
      </c>
      <c r="X71" s="31">
        <f>X61+X62+X63+X64+X65+X66+X67+X68+X69+X70</f>
        <v/>
      </c>
      <c r="Y71" s="31">
        <f>Y61+Y62+Y63+Y64+Y65+Y66+Y67+Y68+Y69+Y70</f>
        <v/>
      </c>
      <c r="Z71" s="31">
        <f>Z61+Z62+Z63+Z64+Z65+Z66+Z67+Z68+Z69+Z70</f>
        <v/>
      </c>
      <c r="AA71" s="31">
        <f>AA61+AA62+AA63+AA64+AA65+AA66+AA67+AA68+AA69+AA70</f>
        <v/>
      </c>
      <c r="AB71" s="31">
        <f>AB61+AB62+AB63+AB64+AB65+AB66+AB67+AB68+AB69+AB70</f>
        <v/>
      </c>
      <c r="AC71" s="31">
        <f>AC61+AC62+AC63+AC64+AC65+AC66+AC67+AC68+AC69+AC70</f>
        <v/>
      </c>
      <c r="AD71" s="31">
        <f>AD61+AD62+AD63+AD64+AD65+AD66+AD67+AD68+AD69+AD70</f>
        <v/>
      </c>
      <c r="AE71" s="31">
        <f>AE61+AE62+AE63+AE64+AE65+AE66+AE67+AE68+AE69+AE70</f>
        <v/>
      </c>
      <c r="AF71" s="31">
        <f>AF61+AF62+AF63+AF64+AF65+AF66+AF67+AF68+AF69+AF70</f>
        <v/>
      </c>
      <c r="AG71" s="31">
        <f>AG61+AG62+AG63+AG64+AG65+AG66+AG67+AG68+AG69+AG70</f>
        <v/>
      </c>
      <c r="AH71" s="31">
        <f>AH61+AH62+AH63+AH64+AH65+AH66+AH67+AH68+AH69+AH70</f>
        <v/>
      </c>
      <c r="AI71" s="31">
        <f>AI61+AI62+AI63+AI64+AI65+AI66+AI67+AI68+AI69+AI70</f>
        <v/>
      </c>
      <c r="AJ71" s="31">
        <f>AJ61+AJ62+AJ63+AJ64+AJ65+AJ66+AJ67+AJ68+AJ69+AJ70</f>
        <v/>
      </c>
      <c r="AK71" s="31">
        <f>AK61+AK62+AK63+AK64+AK65+AK66+AK67+AK68+AK69+AK70</f>
        <v/>
      </c>
      <c r="AL71" s="31">
        <f>AL61+AL62+AL63+AL64+AL65+AL66+AL67+AL68+AL69+AL70</f>
        <v/>
      </c>
      <c r="AM71" s="31">
        <f>AM61+AM62+AM63+AM64+AM65+AM66+AM67+AM68+AM69+AM70</f>
        <v/>
      </c>
      <c r="AN71" s="31">
        <f>AN61+AN62+AN63+AN64+AN65+AN66+AN67+AN68+AN69+AN70</f>
        <v/>
      </c>
      <c r="AO71" s="31">
        <f>AO61+AO62+AO63+AO64+AO65+AO66+AO67+AO68+AO69+AO70</f>
        <v/>
      </c>
      <c r="AP71" s="31">
        <f>AP61+AP62+AP63+AP64+AP65+AP66+AP67+AP68+AP69+AP70</f>
        <v/>
      </c>
      <c r="AQ71" s="31">
        <f>AQ61+AQ62+AQ63+AQ64+AQ65+AQ66+AQ67+AQ68+AQ69+AQ70</f>
        <v/>
      </c>
      <c r="AR71" s="31">
        <f>AR61+AR62+AR63+AR64+AR65+AR66+AR67+AR68+AR69+AR70</f>
        <v/>
      </c>
      <c r="AS71" s="31">
        <f>AS61+AS62+AS63+AS64+AS65+AS66+AS67+AS68+AS69+AS70</f>
        <v/>
      </c>
      <c r="AT71" s="31">
        <f>AT61+AT62+AT63+AT64+AT65+AT66+AT67+AT68+AT69+AT70</f>
        <v/>
      </c>
      <c r="AU71" s="31">
        <f>AU61+AU62+AU63+AU64+AU65+AU66+AU67+AU68+AU69+AU70</f>
        <v/>
      </c>
      <c r="AV71" s="31">
        <f>AV61+AV62+AV63+AV64+AV65+AV66+AV67+AV68+AV69+AV70</f>
        <v/>
      </c>
      <c r="AW71" s="31">
        <f>AW61+AW62+AW63+AW64+AW65+AW66+AW67+AW68+AW69+AW70</f>
        <v/>
      </c>
      <c r="AX71" s="31">
        <f>AX61+AX62+AX63+AX64+AX65+AX66+AX67+AX68+AX69+AX70</f>
        <v/>
      </c>
      <c r="AY71" s="31">
        <f>AY61+AY62+AY63+AY64+AY65+AY66+AY67+AY68+AY69+AY70</f>
        <v/>
      </c>
      <c r="AZ71" s="31">
        <f>AZ61+AZ62+AZ63+AZ64+AZ65+AZ66+AZ67+AZ68+AZ69+AZ70</f>
        <v/>
      </c>
      <c r="BA71" s="31">
        <f>BA61+BA62+BA63+BA64+BA65+BA66+BA67+BA68+BA69+BA70</f>
        <v/>
      </c>
      <c r="BB71" s="31">
        <f>BB61+BB62+BB63+BB64+BB65+BB66+BB67+BB68+BB69+BB70</f>
        <v/>
      </c>
      <c r="BC71" s="31">
        <f>BC61+BC62+BC63+BC64+BC65+BC66+BC67+BC68+BC69+BC70</f>
        <v/>
      </c>
      <c r="BD71" s="31">
        <f>BD61+BD62+BD63+BD64+BD65+BD66+BD67+BD68+BD69+BD70</f>
        <v/>
      </c>
      <c r="BE71" s="31">
        <f>BE61+BE62+BE63+BE64+BE65+BE66+BE67+BE68+BE69+BE70</f>
        <v/>
      </c>
      <c r="BF71" s="31">
        <f>BF61+BF62+BF63+BF64+BF65+BF66+BF67+BF68+BF69+BF70</f>
        <v/>
      </c>
      <c r="BG71" s="31">
        <f>BG61+BG62+BG63+BG64+BG65+BG66+BG67+BG68+BG69+BG70</f>
        <v/>
      </c>
      <c r="BH71" s="31">
        <f>BH61+BH62+BH63+BH64+BH65+BH66+BH67+BH68+BH69+BH70</f>
        <v/>
      </c>
      <c r="BI71" s="31">
        <f>BI61+BI62+BI63+BI64+BI65+BI66+BI67+BI68+BI69+BI70</f>
        <v/>
      </c>
      <c r="BJ71" s="31">
        <f>BJ61+BJ62+BJ63+BJ64+BJ65+BJ66+BJ67+BJ68+BJ69+BJ70</f>
        <v/>
      </c>
      <c r="BK71" s="31">
        <f>BK61+BK62+BK63+BK64+BK65+BK66+BK67+BK68+BK69+BK70</f>
        <v/>
      </c>
      <c r="BL71" s="31">
        <f>BL61+BL62+BL63+BL64+BL65+BL66+BL67+BL68+BL69+BL70</f>
        <v/>
      </c>
      <c r="BM71" s="31">
        <f>BM61+BM62+BM63+BM64+BM65+BM66+BM67+BM68+BM69+BM70</f>
        <v/>
      </c>
      <c r="BN71" s="31">
        <f>BN61+BN62+BN63+BN64+BN65+BN66+BN67+BN68+BN69+BN70</f>
        <v/>
      </c>
      <c r="BO71" s="31">
        <f>BO61+BO62+BO63+BO64+BO65+BO66+BO67+BO68+BO69+BO70</f>
        <v/>
      </c>
      <c r="BP71" s="31">
        <f>BP61+BP62+BP63+BP64+BP65+BP66+BP67+BP68+BP69+BP70</f>
        <v/>
      </c>
      <c r="BQ71" s="31">
        <f>BQ61+BQ62+BQ63+BQ64+BQ65+BQ66+BQ67+BQ68+BQ69+BQ70</f>
        <v/>
      </c>
      <c r="BR71" s="31">
        <f>BR61+BR62+BR63+BR64+BR65+BR66+BR67+BR68+BR69+BR70</f>
        <v/>
      </c>
      <c r="BS71" s="31">
        <f>BS61+BS62+BS63+BS64+BS65+BS66+BS67+BS68+BS69+BS70</f>
        <v/>
      </c>
      <c r="BT71" s="31">
        <f>BT61+BT62+BT63+BT64+BT65+BT66+BT67+BT68+BT69+BT70</f>
        <v/>
      </c>
      <c r="BU71" s="31">
        <f>BU61+BU62+BU63+BU64+BU65+BU66+BU67+BU68+BU69+BU70</f>
        <v/>
      </c>
      <c r="BV71" s="31">
        <f>BV61+BV62+BV63+BV64+BV65+BV66+BV67+BV68+BV69+BV70</f>
        <v/>
      </c>
      <c r="BW71" s="31">
        <f>BW61+BW62+BW63+BW64+BW65+BW66+BW67+BW68+BW69+BW70</f>
        <v/>
      </c>
      <c r="BX71" s="31">
        <f>BX61+BX62+BX63+BX64+BX65+BX66+BX67+BX68+BX69+BX70</f>
        <v/>
      </c>
      <c r="BY71" s="31">
        <f>BY61+BY62+BY63+BY64+BY65+BY66+BY67+BY68+BY69+BY70</f>
        <v/>
      </c>
      <c r="BZ71" s="31">
        <f>BZ61+BZ62+BZ63+BZ64+BZ65+BZ66+BZ67+BZ68+BZ69+BZ70</f>
        <v/>
      </c>
      <c r="CA71" s="31">
        <f>CA61+CA62+CA63+CA64+CA65+CA66+CA67+CA68+CA69+CA70</f>
        <v/>
      </c>
      <c r="CB71" s="31">
        <f>CB61+CB62+CB63+CB64+CB65+CB66+CB67+CB68+CB69+CB70</f>
        <v/>
      </c>
      <c r="CC71" s="31">
        <f>CC61+CC62+CC63+CC64+CC65+CC66+CC67+CC68+CC69+CC70</f>
        <v/>
      </c>
      <c r="CD71" s="31">
        <f>CD61+CD62+CD63+CD64+CD65+CD66+CD67+CD68+CD69+CD70</f>
        <v/>
      </c>
      <c r="CE71" s="31">
        <f>CE61+CE62+CE63+CE64+CE65+CE66+CE67+CE68+CE69+CE70</f>
        <v/>
      </c>
      <c r="CF71" s="31">
        <f>CF61+CF62+CF63+CF64+CF65+CF66+CF67+CF68+CF69+CF70</f>
        <v/>
      </c>
      <c r="CG71" s="31">
        <f>CG61+CG62+CG63+CG64+CG65+CG66+CG67+CG68+CG69+CG70</f>
        <v/>
      </c>
      <c r="CH71" s="31">
        <f>CH61+CH62+CH63+CH64+CH65+CH66+CH67+CH68+CH69+CH70</f>
        <v/>
      </c>
    </row>
    <row r="72">
      <c r="A72" s="3" t="inlineStr">
        <is>
          <t>Gasto total de aquisição (mídia, duplas, marketing, comissões, marca)</t>
        </is>
      </c>
      <c r="C72" s="27">
        <f>C66+C62+C63+C67+C68</f>
        <v/>
      </c>
      <c r="D72" s="27">
        <f>D66+D62+D63+D67+D68</f>
        <v/>
      </c>
      <c r="E72" s="27">
        <f>E66+E62+E63+E67+E68</f>
        <v/>
      </c>
      <c r="F72" s="27">
        <f>F66+F62+F63+F67+F68</f>
        <v/>
      </c>
      <c r="G72" s="27">
        <f>G66+G62+G63+G67+G68</f>
        <v/>
      </c>
      <c r="H72" s="27">
        <f>H66+H62+H63+H67+H68</f>
        <v/>
      </c>
      <c r="I72" s="27">
        <f>I66+I62+I63+I67+I68</f>
        <v/>
      </c>
      <c r="J72" s="27">
        <f>J66+J62+J63+J67+J68</f>
        <v/>
      </c>
      <c r="K72" s="27">
        <f>K66+K62+K63+K67+K68</f>
        <v/>
      </c>
      <c r="L72" s="27">
        <f>L66+L62+L63+L67+L68</f>
        <v/>
      </c>
      <c r="M72" s="27">
        <f>M66+M62+M63+M67+M68</f>
        <v/>
      </c>
      <c r="N72" s="27">
        <f>N66+N62+N63+N67+N68</f>
        <v/>
      </c>
      <c r="O72" s="27">
        <f>O66+O62+O63+O67+O68</f>
        <v/>
      </c>
      <c r="P72" s="27">
        <f>P66+P62+P63+P67+P68</f>
        <v/>
      </c>
      <c r="Q72" s="27">
        <f>Q66+Q62+Q63+Q67+Q68</f>
        <v/>
      </c>
      <c r="R72" s="27">
        <f>R66+R62+R63+R67+R68</f>
        <v/>
      </c>
      <c r="S72" s="27">
        <f>S66+S62+S63+S67+S68</f>
        <v/>
      </c>
      <c r="T72" s="27">
        <f>T66+T62+T63+T67+T68</f>
        <v/>
      </c>
      <c r="U72" s="27">
        <f>U66+U62+U63+U67+U68</f>
        <v/>
      </c>
      <c r="V72" s="27">
        <f>V66+V62+V63+V67+V68</f>
        <v/>
      </c>
      <c r="W72" s="27">
        <f>W66+W62+W63+W67+W68</f>
        <v/>
      </c>
      <c r="X72" s="27">
        <f>X66+X62+X63+X67+X68</f>
        <v/>
      </c>
      <c r="Y72" s="27">
        <f>Y66+Y62+Y63+Y67+Y68</f>
        <v/>
      </c>
      <c r="Z72" s="27">
        <f>Z66+Z62+Z63+Z67+Z68</f>
        <v/>
      </c>
      <c r="AA72" s="27">
        <f>AA66+AA62+AA63+AA67+AA68</f>
        <v/>
      </c>
      <c r="AB72" s="27">
        <f>AB66+AB62+AB63+AB67+AB68</f>
        <v/>
      </c>
      <c r="AC72" s="27">
        <f>AC66+AC62+AC63+AC67+AC68</f>
        <v/>
      </c>
      <c r="AD72" s="27">
        <f>AD66+AD62+AD63+AD67+AD68</f>
        <v/>
      </c>
      <c r="AE72" s="27">
        <f>AE66+AE62+AE63+AE67+AE68</f>
        <v/>
      </c>
      <c r="AF72" s="27">
        <f>AF66+AF62+AF63+AF67+AF68</f>
        <v/>
      </c>
      <c r="AG72" s="27">
        <f>AG66+AG62+AG63+AG67+AG68</f>
        <v/>
      </c>
      <c r="AH72" s="27">
        <f>AH66+AH62+AH63+AH67+AH68</f>
        <v/>
      </c>
      <c r="AI72" s="27">
        <f>AI66+AI62+AI63+AI67+AI68</f>
        <v/>
      </c>
      <c r="AJ72" s="27">
        <f>AJ66+AJ62+AJ63+AJ67+AJ68</f>
        <v/>
      </c>
      <c r="AK72" s="27">
        <f>AK66+AK62+AK63+AK67+AK68</f>
        <v/>
      </c>
      <c r="AL72" s="27">
        <f>AL66+AL62+AL63+AL67+AL68</f>
        <v/>
      </c>
      <c r="AM72" s="27">
        <f>AM66+AM62+AM63+AM67+AM68</f>
        <v/>
      </c>
      <c r="AN72" s="27">
        <f>AN66+AN62+AN63+AN67+AN68</f>
        <v/>
      </c>
      <c r="AO72" s="27">
        <f>AO66+AO62+AO63+AO67+AO68</f>
        <v/>
      </c>
      <c r="AP72" s="27">
        <f>AP66+AP62+AP63+AP67+AP68</f>
        <v/>
      </c>
      <c r="AQ72" s="27">
        <f>AQ66+AQ62+AQ63+AQ67+AQ68</f>
        <v/>
      </c>
      <c r="AR72" s="27">
        <f>AR66+AR62+AR63+AR67+AR68</f>
        <v/>
      </c>
      <c r="AS72" s="27">
        <f>AS66+AS62+AS63+AS67+AS68</f>
        <v/>
      </c>
      <c r="AT72" s="27">
        <f>AT66+AT62+AT63+AT67+AT68</f>
        <v/>
      </c>
      <c r="AU72" s="27">
        <f>AU66+AU62+AU63+AU67+AU68</f>
        <v/>
      </c>
      <c r="AV72" s="27">
        <f>AV66+AV62+AV63+AV67+AV68</f>
        <v/>
      </c>
      <c r="AW72" s="27">
        <f>AW66+AW62+AW63+AW67+AW68</f>
        <v/>
      </c>
      <c r="AX72" s="27">
        <f>AX66+AX62+AX63+AX67+AX68</f>
        <v/>
      </c>
      <c r="AY72" s="27">
        <f>AY66+AY62+AY63+AY67+AY68</f>
        <v/>
      </c>
      <c r="AZ72" s="27">
        <f>AZ66+AZ62+AZ63+AZ67+AZ68</f>
        <v/>
      </c>
      <c r="BA72" s="27">
        <f>BA66+BA62+BA63+BA67+BA68</f>
        <v/>
      </c>
      <c r="BB72" s="27">
        <f>BB66+BB62+BB63+BB67+BB68</f>
        <v/>
      </c>
      <c r="BC72" s="27">
        <f>BC66+BC62+BC63+BC67+BC68</f>
        <v/>
      </c>
      <c r="BD72" s="27">
        <f>BD66+BD62+BD63+BD67+BD68</f>
        <v/>
      </c>
      <c r="BE72" s="27">
        <f>BE66+BE62+BE63+BE67+BE68</f>
        <v/>
      </c>
      <c r="BF72" s="27">
        <f>BF66+BF62+BF63+BF67+BF68</f>
        <v/>
      </c>
      <c r="BG72" s="27">
        <f>BG66+BG62+BG63+BG67+BG68</f>
        <v/>
      </c>
      <c r="BH72" s="27">
        <f>BH66+BH62+BH63+BH67+BH68</f>
        <v/>
      </c>
      <c r="BI72" s="27">
        <f>BI66+BI62+BI63+BI67+BI68</f>
        <v/>
      </c>
      <c r="BJ72" s="27">
        <f>BJ66+BJ62+BJ63+BJ67+BJ68</f>
        <v/>
      </c>
      <c r="BK72" s="27">
        <f>BK66+BK62+BK63+BK67+BK68</f>
        <v/>
      </c>
      <c r="BL72" s="27">
        <f>BL66+BL62+BL63+BL67+BL68</f>
        <v/>
      </c>
      <c r="BM72" s="27">
        <f>BM66+BM62+BM63+BM67+BM68</f>
        <v/>
      </c>
      <c r="BN72" s="27">
        <f>BN66+BN62+BN63+BN67+BN68</f>
        <v/>
      </c>
      <c r="BO72" s="27">
        <f>BO66+BO62+BO63+BO67+BO68</f>
        <v/>
      </c>
      <c r="BP72" s="27">
        <f>BP66+BP62+BP63+BP67+BP68</f>
        <v/>
      </c>
      <c r="BQ72" s="27">
        <f>BQ66+BQ62+BQ63+BQ67+BQ68</f>
        <v/>
      </c>
      <c r="BR72" s="27">
        <f>BR66+BR62+BR63+BR67+BR68</f>
        <v/>
      </c>
      <c r="BS72" s="27">
        <f>BS66+BS62+BS63+BS67+BS68</f>
        <v/>
      </c>
      <c r="BT72" s="27">
        <f>BT66+BT62+BT63+BT67+BT68</f>
        <v/>
      </c>
      <c r="BU72" s="27">
        <f>BU66+BU62+BU63+BU67+BU68</f>
        <v/>
      </c>
      <c r="BV72" s="27">
        <f>BV66+BV62+BV63+BV67+BV68</f>
        <v/>
      </c>
      <c r="BW72" s="27">
        <f>BW66+BW62+BW63+BW67+BW68</f>
        <v/>
      </c>
      <c r="BX72" s="27">
        <f>BX66+BX62+BX63+BX67+BX68</f>
        <v/>
      </c>
      <c r="BY72" s="27">
        <f>BY66+BY62+BY63+BY67+BY68</f>
        <v/>
      </c>
      <c r="BZ72" s="27">
        <f>BZ66+BZ62+BZ63+BZ67+BZ68</f>
        <v/>
      </c>
      <c r="CA72" s="27">
        <f>CA66+CA62+CA63+CA67+CA68</f>
        <v/>
      </c>
      <c r="CB72" s="27">
        <f>CB66+CB62+CB63+CB67+CB68</f>
        <v/>
      </c>
      <c r="CC72" s="27">
        <f>CC66+CC62+CC63+CC67+CC68</f>
        <v/>
      </c>
      <c r="CD72" s="27">
        <f>CD66+CD62+CD63+CD67+CD68</f>
        <v/>
      </c>
      <c r="CE72" s="27">
        <f>CE66+CE62+CE63+CE67+CE68</f>
        <v/>
      </c>
      <c r="CF72" s="27">
        <f>CF66+CF62+CF63+CF67+CF68</f>
        <v/>
      </c>
      <c r="CG72" s="27">
        <f>CG66+CG62+CG63+CG67+CG68</f>
        <v/>
      </c>
      <c r="CH72" s="27">
        <f>CH66+CH62+CH63+CH67+CH68</f>
        <v/>
      </c>
    </row>
    <row r="74">
      <c r="A74" s="4" t="inlineStr">
        <is>
          <t>Resultado e caixa</t>
        </is>
      </c>
      <c r="B74" s="5" t="n"/>
    </row>
    <row r="75">
      <c r="A75" s="25" t="inlineStr">
        <is>
          <t>EBITDA</t>
        </is>
      </c>
      <c r="C75" s="32">
        <f>C57-C71</f>
        <v/>
      </c>
      <c r="D75" s="32">
        <f>D57-D71</f>
        <v/>
      </c>
      <c r="E75" s="32">
        <f>E57-E71</f>
        <v/>
      </c>
      <c r="F75" s="32">
        <f>F57-F71</f>
        <v/>
      </c>
      <c r="G75" s="32">
        <f>G57-G71</f>
        <v/>
      </c>
      <c r="H75" s="32">
        <f>H57-H71</f>
        <v/>
      </c>
      <c r="I75" s="32">
        <f>I57-I71</f>
        <v/>
      </c>
      <c r="J75" s="32">
        <f>J57-J71</f>
        <v/>
      </c>
      <c r="K75" s="32">
        <f>K57-K71</f>
        <v/>
      </c>
      <c r="L75" s="32">
        <f>L57-L71</f>
        <v/>
      </c>
      <c r="M75" s="32">
        <f>M57-M71</f>
        <v/>
      </c>
      <c r="N75" s="32">
        <f>N57-N71</f>
        <v/>
      </c>
      <c r="O75" s="32">
        <f>O57-O71</f>
        <v/>
      </c>
      <c r="P75" s="32">
        <f>P57-P71</f>
        <v/>
      </c>
      <c r="Q75" s="32">
        <f>Q57-Q71</f>
        <v/>
      </c>
      <c r="R75" s="32">
        <f>R57-R71</f>
        <v/>
      </c>
      <c r="S75" s="32">
        <f>S57-S71</f>
        <v/>
      </c>
      <c r="T75" s="32">
        <f>T57-T71</f>
        <v/>
      </c>
      <c r="U75" s="32">
        <f>U57-U71</f>
        <v/>
      </c>
      <c r="V75" s="32">
        <f>V57-V71</f>
        <v/>
      </c>
      <c r="W75" s="32">
        <f>W57-W71</f>
        <v/>
      </c>
      <c r="X75" s="32">
        <f>X57-X71</f>
        <v/>
      </c>
      <c r="Y75" s="32">
        <f>Y57-Y71</f>
        <v/>
      </c>
      <c r="Z75" s="32">
        <f>Z57-Z71</f>
        <v/>
      </c>
      <c r="AA75" s="32">
        <f>AA57-AA71</f>
        <v/>
      </c>
      <c r="AB75" s="32">
        <f>AB57-AB71</f>
        <v/>
      </c>
      <c r="AC75" s="32">
        <f>AC57-AC71</f>
        <v/>
      </c>
      <c r="AD75" s="32">
        <f>AD57-AD71</f>
        <v/>
      </c>
      <c r="AE75" s="32">
        <f>AE57-AE71</f>
        <v/>
      </c>
      <c r="AF75" s="32">
        <f>AF57-AF71</f>
        <v/>
      </c>
      <c r="AG75" s="32">
        <f>AG57-AG71</f>
        <v/>
      </c>
      <c r="AH75" s="32">
        <f>AH57-AH71</f>
        <v/>
      </c>
      <c r="AI75" s="32">
        <f>AI57-AI71</f>
        <v/>
      </c>
      <c r="AJ75" s="32">
        <f>AJ57-AJ71</f>
        <v/>
      </c>
      <c r="AK75" s="32">
        <f>AK57-AK71</f>
        <v/>
      </c>
      <c r="AL75" s="32">
        <f>AL57-AL71</f>
        <v/>
      </c>
      <c r="AM75" s="32">
        <f>AM57-AM71</f>
        <v/>
      </c>
      <c r="AN75" s="32">
        <f>AN57-AN71</f>
        <v/>
      </c>
      <c r="AO75" s="32">
        <f>AO57-AO71</f>
        <v/>
      </c>
      <c r="AP75" s="32">
        <f>AP57-AP71</f>
        <v/>
      </c>
      <c r="AQ75" s="32">
        <f>AQ57-AQ71</f>
        <v/>
      </c>
      <c r="AR75" s="32">
        <f>AR57-AR71</f>
        <v/>
      </c>
      <c r="AS75" s="32">
        <f>AS57-AS71</f>
        <v/>
      </c>
      <c r="AT75" s="32">
        <f>AT57-AT71</f>
        <v/>
      </c>
      <c r="AU75" s="32">
        <f>AU57-AU71</f>
        <v/>
      </c>
      <c r="AV75" s="32">
        <f>AV57-AV71</f>
        <v/>
      </c>
      <c r="AW75" s="32">
        <f>AW57-AW71</f>
        <v/>
      </c>
      <c r="AX75" s="32">
        <f>AX57-AX71</f>
        <v/>
      </c>
      <c r="AY75" s="32">
        <f>AY57-AY71</f>
        <v/>
      </c>
      <c r="AZ75" s="32">
        <f>AZ57-AZ71</f>
        <v/>
      </c>
      <c r="BA75" s="32">
        <f>BA57-BA71</f>
        <v/>
      </c>
      <c r="BB75" s="32">
        <f>BB57-BB71</f>
        <v/>
      </c>
      <c r="BC75" s="32">
        <f>BC57-BC71</f>
        <v/>
      </c>
      <c r="BD75" s="32">
        <f>BD57-BD71</f>
        <v/>
      </c>
      <c r="BE75" s="32">
        <f>BE57-BE71</f>
        <v/>
      </c>
      <c r="BF75" s="32">
        <f>BF57-BF71</f>
        <v/>
      </c>
      <c r="BG75" s="32">
        <f>BG57-BG71</f>
        <v/>
      </c>
      <c r="BH75" s="32">
        <f>BH57-BH71</f>
        <v/>
      </c>
      <c r="BI75" s="32">
        <f>BI57-BI71</f>
        <v/>
      </c>
      <c r="BJ75" s="32">
        <f>BJ57-BJ71</f>
        <v/>
      </c>
      <c r="BK75" s="32">
        <f>BK57-BK71</f>
        <v/>
      </c>
      <c r="BL75" s="32">
        <f>BL57-BL71</f>
        <v/>
      </c>
      <c r="BM75" s="32">
        <f>BM57-BM71</f>
        <v/>
      </c>
      <c r="BN75" s="32">
        <f>BN57-BN71</f>
        <v/>
      </c>
      <c r="BO75" s="32">
        <f>BO57-BO71</f>
        <v/>
      </c>
      <c r="BP75" s="32">
        <f>BP57-BP71</f>
        <v/>
      </c>
      <c r="BQ75" s="32">
        <f>BQ57-BQ71</f>
        <v/>
      </c>
      <c r="BR75" s="32">
        <f>BR57-BR71</f>
        <v/>
      </c>
      <c r="BS75" s="32">
        <f>BS57-BS71</f>
        <v/>
      </c>
      <c r="BT75" s="32">
        <f>BT57-BT71</f>
        <v/>
      </c>
      <c r="BU75" s="32">
        <f>BU57-BU71</f>
        <v/>
      </c>
      <c r="BV75" s="32">
        <f>BV57-BV71</f>
        <v/>
      </c>
      <c r="BW75" s="32">
        <f>BW57-BW71</f>
        <v/>
      </c>
      <c r="BX75" s="32">
        <f>BX57-BX71</f>
        <v/>
      </c>
      <c r="BY75" s="32">
        <f>BY57-BY71</f>
        <v/>
      </c>
      <c r="BZ75" s="32">
        <f>BZ57-BZ71</f>
        <v/>
      </c>
      <c r="CA75" s="32">
        <f>CA57-CA71</f>
        <v/>
      </c>
      <c r="CB75" s="32">
        <f>CB57-CB71</f>
        <v/>
      </c>
      <c r="CC75" s="32">
        <f>CC57-CC71</f>
        <v/>
      </c>
      <c r="CD75" s="32">
        <f>CD57-CD71</f>
        <v/>
      </c>
      <c r="CE75" s="32">
        <f>CE57-CE71</f>
        <v/>
      </c>
      <c r="CF75" s="32">
        <f>CF57-CF71</f>
        <v/>
      </c>
      <c r="CG75" s="32">
        <f>CG57-CG71</f>
        <v/>
      </c>
      <c r="CH75" s="32">
        <f>CH57-CH71</f>
        <v/>
      </c>
    </row>
    <row r="76">
      <c r="A76" s="2" t="inlineStr">
        <is>
          <t>Caixa acumulado sem captação</t>
        </is>
      </c>
      <c r="C76" s="31">
        <f>0+C75</f>
        <v/>
      </c>
      <c r="D76" s="31">
        <f>C76+D75</f>
        <v/>
      </c>
      <c r="E76" s="31">
        <f>D76+E75</f>
        <v/>
      </c>
      <c r="F76" s="31">
        <f>E76+F75</f>
        <v/>
      </c>
      <c r="G76" s="31">
        <f>F76+G75</f>
        <v/>
      </c>
      <c r="H76" s="31">
        <f>G76+H75</f>
        <v/>
      </c>
      <c r="I76" s="31">
        <f>H76+I75</f>
        <v/>
      </c>
      <c r="J76" s="31">
        <f>I76+J75</f>
        <v/>
      </c>
      <c r="K76" s="31">
        <f>J76+K75</f>
        <v/>
      </c>
      <c r="L76" s="31">
        <f>K76+L75</f>
        <v/>
      </c>
      <c r="M76" s="31">
        <f>L76+M75</f>
        <v/>
      </c>
      <c r="N76" s="31">
        <f>M76+N75</f>
        <v/>
      </c>
      <c r="O76" s="31">
        <f>N76+O75</f>
        <v/>
      </c>
      <c r="P76" s="31">
        <f>O76+P75</f>
        <v/>
      </c>
      <c r="Q76" s="31">
        <f>P76+Q75</f>
        <v/>
      </c>
      <c r="R76" s="31">
        <f>Q76+R75</f>
        <v/>
      </c>
      <c r="S76" s="31">
        <f>R76+S75</f>
        <v/>
      </c>
      <c r="T76" s="31">
        <f>S76+T75</f>
        <v/>
      </c>
      <c r="U76" s="31">
        <f>T76+U75</f>
        <v/>
      </c>
      <c r="V76" s="31">
        <f>U76+V75</f>
        <v/>
      </c>
      <c r="W76" s="31">
        <f>V76+W75</f>
        <v/>
      </c>
      <c r="X76" s="31">
        <f>W76+X75</f>
        <v/>
      </c>
      <c r="Y76" s="31">
        <f>X76+Y75</f>
        <v/>
      </c>
      <c r="Z76" s="31">
        <f>Y76+Z75</f>
        <v/>
      </c>
      <c r="AA76" s="31">
        <f>Z76+AA75</f>
        <v/>
      </c>
      <c r="AB76" s="31">
        <f>AA76+AB75</f>
        <v/>
      </c>
      <c r="AC76" s="31">
        <f>AB76+AC75</f>
        <v/>
      </c>
      <c r="AD76" s="31">
        <f>AC76+AD75</f>
        <v/>
      </c>
      <c r="AE76" s="31">
        <f>AD76+AE75</f>
        <v/>
      </c>
      <c r="AF76" s="31">
        <f>AE76+AF75</f>
        <v/>
      </c>
      <c r="AG76" s="31">
        <f>AF76+AG75</f>
        <v/>
      </c>
      <c r="AH76" s="31">
        <f>AG76+AH75</f>
        <v/>
      </c>
      <c r="AI76" s="31">
        <f>AH76+AI75</f>
        <v/>
      </c>
      <c r="AJ76" s="31">
        <f>AI76+AJ75</f>
        <v/>
      </c>
      <c r="AK76" s="31">
        <f>AJ76+AK75</f>
        <v/>
      </c>
      <c r="AL76" s="31">
        <f>AK76+AL75</f>
        <v/>
      </c>
      <c r="AM76" s="31">
        <f>AL76+AM75</f>
        <v/>
      </c>
      <c r="AN76" s="31">
        <f>AM76+AN75</f>
        <v/>
      </c>
      <c r="AO76" s="31">
        <f>AN76+AO75</f>
        <v/>
      </c>
      <c r="AP76" s="31">
        <f>AO76+AP75</f>
        <v/>
      </c>
      <c r="AQ76" s="31">
        <f>AP76+AQ75</f>
        <v/>
      </c>
      <c r="AR76" s="31">
        <f>AQ76+AR75</f>
        <v/>
      </c>
      <c r="AS76" s="31">
        <f>AR76+AS75</f>
        <v/>
      </c>
      <c r="AT76" s="31">
        <f>AS76+AT75</f>
        <v/>
      </c>
      <c r="AU76" s="31">
        <f>AT76+AU75</f>
        <v/>
      </c>
      <c r="AV76" s="31">
        <f>AU76+AV75</f>
        <v/>
      </c>
      <c r="AW76" s="31">
        <f>AV76+AW75</f>
        <v/>
      </c>
      <c r="AX76" s="31">
        <f>AW76+AX75</f>
        <v/>
      </c>
      <c r="AY76" s="31">
        <f>AX76+AY75</f>
        <v/>
      </c>
      <c r="AZ76" s="31">
        <f>AY76+AZ75</f>
        <v/>
      </c>
      <c r="BA76" s="31">
        <f>AZ76+BA75</f>
        <v/>
      </c>
      <c r="BB76" s="31">
        <f>BA76+BB75</f>
        <v/>
      </c>
      <c r="BC76" s="31">
        <f>BB76+BC75</f>
        <v/>
      </c>
      <c r="BD76" s="31">
        <f>BC76+BD75</f>
        <v/>
      </c>
      <c r="BE76" s="31">
        <f>BD76+BE75</f>
        <v/>
      </c>
      <c r="BF76" s="31">
        <f>BE76+BF75</f>
        <v/>
      </c>
      <c r="BG76" s="31">
        <f>BF76+BG75</f>
        <v/>
      </c>
      <c r="BH76" s="31">
        <f>BG76+BH75</f>
        <v/>
      </c>
      <c r="BI76" s="31">
        <f>BH76+BI75</f>
        <v/>
      </c>
      <c r="BJ76" s="31">
        <f>BI76+BJ75</f>
        <v/>
      </c>
      <c r="BK76" s="31">
        <f>BJ76+BK75</f>
        <v/>
      </c>
      <c r="BL76" s="31">
        <f>BK76+BL75</f>
        <v/>
      </c>
      <c r="BM76" s="31">
        <f>BL76+BM75</f>
        <v/>
      </c>
      <c r="BN76" s="31">
        <f>BM76+BN75</f>
        <v/>
      </c>
      <c r="BO76" s="31">
        <f>BN76+BO75</f>
        <v/>
      </c>
      <c r="BP76" s="31">
        <f>BO76+BP75</f>
        <v/>
      </c>
      <c r="BQ76" s="31">
        <f>BP76+BQ75</f>
        <v/>
      </c>
      <c r="BR76" s="31">
        <f>BQ76+BR75</f>
        <v/>
      </c>
      <c r="BS76" s="31">
        <f>BR76+BS75</f>
        <v/>
      </c>
      <c r="BT76" s="31">
        <f>BS76+BT75</f>
        <v/>
      </c>
      <c r="BU76" s="31">
        <f>BT76+BU75</f>
        <v/>
      </c>
      <c r="BV76" s="31">
        <f>BU76+BV75</f>
        <v/>
      </c>
      <c r="BW76" s="31">
        <f>BV76+BW75</f>
        <v/>
      </c>
      <c r="BX76" s="31">
        <f>BW76+BX75</f>
        <v/>
      </c>
      <c r="BY76" s="31">
        <f>BX76+BY75</f>
        <v/>
      </c>
      <c r="BZ76" s="31">
        <f>BY76+BZ75</f>
        <v/>
      </c>
      <c r="CA76" s="31">
        <f>BZ76+CA75</f>
        <v/>
      </c>
      <c r="CB76" s="31">
        <f>CA76+CB75</f>
        <v/>
      </c>
      <c r="CC76" s="31">
        <f>CB76+CC75</f>
        <v/>
      </c>
      <c r="CD76" s="31">
        <f>CC76+CD75</f>
        <v/>
      </c>
      <c r="CE76" s="31">
        <f>CD76+CE75</f>
        <v/>
      </c>
      <c r="CF76" s="31">
        <f>CE76+CF75</f>
        <v/>
      </c>
      <c r="CG76" s="31">
        <f>CF76+CG75</f>
        <v/>
      </c>
      <c r="CH76" s="31">
        <f>CG76+CH75</f>
        <v/>
      </c>
    </row>
    <row r="77">
      <c r="A77" s="3" t="inlineStr">
        <is>
          <t>Mês de equilíbrio candidato (EBITDA não volta a ficar negativo)</t>
        </is>
      </c>
      <c r="C77" s="8">
        <f>IF(COUNTIF(C75:$CH$75,"&lt;0")=0,C2,"")</f>
        <v/>
      </c>
      <c r="D77" s="8">
        <f>IF(COUNTIF(D75:$CH$75,"&lt;0")=0,D2,"")</f>
        <v/>
      </c>
      <c r="E77" s="8">
        <f>IF(COUNTIF(E75:$CH$75,"&lt;0")=0,E2,"")</f>
        <v/>
      </c>
      <c r="F77" s="8">
        <f>IF(COUNTIF(F75:$CH$75,"&lt;0")=0,F2,"")</f>
        <v/>
      </c>
      <c r="G77" s="8">
        <f>IF(COUNTIF(G75:$CH$75,"&lt;0")=0,G2,"")</f>
        <v/>
      </c>
      <c r="H77" s="8">
        <f>IF(COUNTIF(H75:$CH$75,"&lt;0")=0,H2,"")</f>
        <v/>
      </c>
      <c r="I77" s="8">
        <f>IF(COUNTIF(I75:$CH$75,"&lt;0")=0,I2,"")</f>
        <v/>
      </c>
      <c r="J77" s="8">
        <f>IF(COUNTIF(J75:$CH$75,"&lt;0")=0,J2,"")</f>
        <v/>
      </c>
      <c r="K77" s="8">
        <f>IF(COUNTIF(K75:$CH$75,"&lt;0")=0,K2,"")</f>
        <v/>
      </c>
      <c r="L77" s="8">
        <f>IF(COUNTIF(L75:$CH$75,"&lt;0")=0,L2,"")</f>
        <v/>
      </c>
      <c r="M77" s="8">
        <f>IF(COUNTIF(M75:$CH$75,"&lt;0")=0,M2,"")</f>
        <v/>
      </c>
      <c r="N77" s="8">
        <f>IF(COUNTIF(N75:$CH$75,"&lt;0")=0,N2,"")</f>
        <v/>
      </c>
      <c r="O77" s="8">
        <f>IF(COUNTIF(O75:$CH$75,"&lt;0")=0,O2,"")</f>
        <v/>
      </c>
      <c r="P77" s="8">
        <f>IF(COUNTIF(P75:$CH$75,"&lt;0")=0,P2,"")</f>
        <v/>
      </c>
      <c r="Q77" s="8">
        <f>IF(COUNTIF(Q75:$CH$75,"&lt;0")=0,Q2,"")</f>
        <v/>
      </c>
      <c r="R77" s="8">
        <f>IF(COUNTIF(R75:$CH$75,"&lt;0")=0,R2,"")</f>
        <v/>
      </c>
      <c r="S77" s="8">
        <f>IF(COUNTIF(S75:$CH$75,"&lt;0")=0,S2,"")</f>
        <v/>
      </c>
      <c r="T77" s="8">
        <f>IF(COUNTIF(T75:$CH$75,"&lt;0")=0,T2,"")</f>
        <v/>
      </c>
      <c r="U77" s="8">
        <f>IF(COUNTIF(U75:$CH$75,"&lt;0")=0,U2,"")</f>
        <v/>
      </c>
      <c r="V77" s="8">
        <f>IF(COUNTIF(V75:$CH$75,"&lt;0")=0,V2,"")</f>
        <v/>
      </c>
      <c r="W77" s="8">
        <f>IF(COUNTIF(W75:$CH$75,"&lt;0")=0,W2,"")</f>
        <v/>
      </c>
      <c r="X77" s="8">
        <f>IF(COUNTIF(X75:$CH$75,"&lt;0")=0,X2,"")</f>
        <v/>
      </c>
      <c r="Y77" s="8">
        <f>IF(COUNTIF(Y75:$CH$75,"&lt;0")=0,Y2,"")</f>
        <v/>
      </c>
      <c r="Z77" s="8">
        <f>IF(COUNTIF(Z75:$CH$75,"&lt;0")=0,Z2,"")</f>
        <v/>
      </c>
      <c r="AA77" s="8">
        <f>IF(COUNTIF(AA75:$CH$75,"&lt;0")=0,AA2,"")</f>
        <v/>
      </c>
      <c r="AB77" s="8">
        <f>IF(COUNTIF(AB75:$CH$75,"&lt;0")=0,AB2,"")</f>
        <v/>
      </c>
      <c r="AC77" s="8">
        <f>IF(COUNTIF(AC75:$CH$75,"&lt;0")=0,AC2,"")</f>
        <v/>
      </c>
      <c r="AD77" s="8">
        <f>IF(COUNTIF(AD75:$CH$75,"&lt;0")=0,AD2,"")</f>
        <v/>
      </c>
      <c r="AE77" s="8">
        <f>IF(COUNTIF(AE75:$CH$75,"&lt;0")=0,AE2,"")</f>
        <v/>
      </c>
      <c r="AF77" s="8">
        <f>IF(COUNTIF(AF75:$CH$75,"&lt;0")=0,AF2,"")</f>
        <v/>
      </c>
      <c r="AG77" s="8">
        <f>IF(COUNTIF(AG75:$CH$75,"&lt;0")=0,AG2,"")</f>
        <v/>
      </c>
      <c r="AH77" s="8">
        <f>IF(COUNTIF(AH75:$CH$75,"&lt;0")=0,AH2,"")</f>
        <v/>
      </c>
      <c r="AI77" s="8">
        <f>IF(COUNTIF(AI75:$CH$75,"&lt;0")=0,AI2,"")</f>
        <v/>
      </c>
      <c r="AJ77" s="8">
        <f>IF(COUNTIF(AJ75:$CH$75,"&lt;0")=0,AJ2,"")</f>
        <v/>
      </c>
      <c r="AK77" s="8">
        <f>IF(COUNTIF(AK75:$CH$75,"&lt;0")=0,AK2,"")</f>
        <v/>
      </c>
      <c r="AL77" s="8">
        <f>IF(COUNTIF(AL75:$CH$75,"&lt;0")=0,AL2,"")</f>
        <v/>
      </c>
      <c r="AM77" s="8">
        <f>IF(COUNTIF(AM75:$CH$75,"&lt;0")=0,AM2,"")</f>
        <v/>
      </c>
      <c r="AN77" s="8">
        <f>IF(COUNTIF(AN75:$CH$75,"&lt;0")=0,AN2,"")</f>
        <v/>
      </c>
      <c r="AO77" s="8">
        <f>IF(COUNTIF(AO75:$CH$75,"&lt;0")=0,AO2,"")</f>
        <v/>
      </c>
      <c r="AP77" s="8">
        <f>IF(COUNTIF(AP75:$CH$75,"&lt;0")=0,AP2,"")</f>
        <v/>
      </c>
      <c r="AQ77" s="8">
        <f>IF(COUNTIF(AQ75:$CH$75,"&lt;0")=0,AQ2,"")</f>
        <v/>
      </c>
      <c r="AR77" s="8">
        <f>IF(COUNTIF(AR75:$CH$75,"&lt;0")=0,AR2,"")</f>
        <v/>
      </c>
      <c r="AS77" s="8">
        <f>IF(COUNTIF(AS75:$CH$75,"&lt;0")=0,AS2,"")</f>
        <v/>
      </c>
      <c r="AT77" s="8">
        <f>IF(COUNTIF(AT75:$CH$75,"&lt;0")=0,AT2,"")</f>
        <v/>
      </c>
      <c r="AU77" s="8">
        <f>IF(COUNTIF(AU75:$CH$75,"&lt;0")=0,AU2,"")</f>
        <v/>
      </c>
      <c r="AV77" s="8">
        <f>IF(COUNTIF(AV75:$CH$75,"&lt;0")=0,AV2,"")</f>
        <v/>
      </c>
      <c r="AW77" s="8">
        <f>IF(COUNTIF(AW75:$CH$75,"&lt;0")=0,AW2,"")</f>
        <v/>
      </c>
      <c r="AX77" s="8">
        <f>IF(COUNTIF(AX75:$CH$75,"&lt;0")=0,AX2,"")</f>
        <v/>
      </c>
      <c r="AY77" s="8">
        <f>IF(COUNTIF(AY75:$CH$75,"&lt;0")=0,AY2,"")</f>
        <v/>
      </c>
      <c r="AZ77" s="8">
        <f>IF(COUNTIF(AZ75:$CH$75,"&lt;0")=0,AZ2,"")</f>
        <v/>
      </c>
      <c r="BA77" s="8">
        <f>IF(COUNTIF(BA75:$CH$75,"&lt;0")=0,BA2,"")</f>
        <v/>
      </c>
      <c r="BB77" s="8">
        <f>IF(COUNTIF(BB75:$CH$75,"&lt;0")=0,BB2,"")</f>
        <v/>
      </c>
      <c r="BC77" s="8">
        <f>IF(COUNTIF(BC75:$CH$75,"&lt;0")=0,BC2,"")</f>
        <v/>
      </c>
      <c r="BD77" s="8">
        <f>IF(COUNTIF(BD75:$CH$75,"&lt;0")=0,BD2,"")</f>
        <v/>
      </c>
      <c r="BE77" s="8">
        <f>IF(COUNTIF(BE75:$CH$75,"&lt;0")=0,BE2,"")</f>
        <v/>
      </c>
      <c r="BF77" s="8">
        <f>IF(COUNTIF(BF75:$CH$75,"&lt;0")=0,BF2,"")</f>
        <v/>
      </c>
      <c r="BG77" s="8">
        <f>IF(COUNTIF(BG75:$CH$75,"&lt;0")=0,BG2,"")</f>
        <v/>
      </c>
      <c r="BH77" s="8">
        <f>IF(COUNTIF(BH75:$CH$75,"&lt;0")=0,BH2,"")</f>
        <v/>
      </c>
      <c r="BI77" s="8">
        <f>IF(COUNTIF(BI75:$CH$75,"&lt;0")=0,BI2,"")</f>
        <v/>
      </c>
      <c r="BJ77" s="8">
        <f>IF(COUNTIF(BJ75:$CH$75,"&lt;0")=0,BJ2,"")</f>
        <v/>
      </c>
      <c r="BK77" s="8">
        <f>IF(COUNTIF(BK75:$CH$75,"&lt;0")=0,BK2,"")</f>
        <v/>
      </c>
      <c r="BL77" s="8">
        <f>IF(COUNTIF(BL75:$CH$75,"&lt;0")=0,BL2,"")</f>
        <v/>
      </c>
      <c r="BM77" s="8">
        <f>IF(COUNTIF(BM75:$CH$75,"&lt;0")=0,BM2,"")</f>
        <v/>
      </c>
      <c r="BN77" s="8">
        <f>IF(COUNTIF(BN75:$CH$75,"&lt;0")=0,BN2,"")</f>
        <v/>
      </c>
      <c r="BO77" s="8">
        <f>IF(COUNTIF(BO75:$CH$75,"&lt;0")=0,BO2,"")</f>
        <v/>
      </c>
      <c r="BP77" s="8">
        <f>IF(COUNTIF(BP75:$CH$75,"&lt;0")=0,BP2,"")</f>
        <v/>
      </c>
      <c r="BQ77" s="8">
        <f>IF(COUNTIF(BQ75:$CH$75,"&lt;0")=0,BQ2,"")</f>
        <v/>
      </c>
      <c r="BR77" s="8">
        <f>IF(COUNTIF(BR75:$CH$75,"&lt;0")=0,BR2,"")</f>
        <v/>
      </c>
      <c r="BS77" s="8">
        <f>IF(COUNTIF(BS75:$CH$75,"&lt;0")=0,BS2,"")</f>
        <v/>
      </c>
      <c r="BT77" s="8">
        <f>IF(COUNTIF(BT75:$CH$75,"&lt;0")=0,BT2,"")</f>
        <v/>
      </c>
      <c r="BU77" s="8">
        <f>IF(COUNTIF(BU75:$CH$75,"&lt;0")=0,BU2,"")</f>
        <v/>
      </c>
      <c r="BV77" s="8">
        <f>IF(COUNTIF(BV75:$CH$75,"&lt;0")=0,BV2,"")</f>
        <v/>
      </c>
      <c r="BW77" s="8">
        <f>IF(COUNTIF(BW75:$CH$75,"&lt;0")=0,BW2,"")</f>
        <v/>
      </c>
      <c r="BX77" s="8">
        <f>IF(COUNTIF(BX75:$CH$75,"&lt;0")=0,BX2,"")</f>
        <v/>
      </c>
      <c r="BY77" s="8">
        <f>IF(COUNTIF(BY75:$CH$75,"&lt;0")=0,BY2,"")</f>
        <v/>
      </c>
      <c r="BZ77" s="8">
        <f>IF(COUNTIF(BZ75:$CH$75,"&lt;0")=0,BZ2,"")</f>
        <v/>
      </c>
      <c r="CA77" s="8">
        <f>IF(COUNTIF(CA75:$CH$75,"&lt;0")=0,CA2,"")</f>
        <v/>
      </c>
      <c r="CB77" s="8">
        <f>IF(COUNTIF(CB75:$CH$75,"&lt;0")=0,CB2,"")</f>
        <v/>
      </c>
      <c r="CC77" s="8">
        <f>IF(COUNTIF(CC75:$CH$75,"&lt;0")=0,CC2,"")</f>
        <v/>
      </c>
      <c r="CD77" s="8">
        <f>IF(COUNTIF(CD75:$CH$75,"&lt;0")=0,CD2,"")</f>
        <v/>
      </c>
      <c r="CE77" s="8">
        <f>IF(COUNTIF(CE75:$CH$75,"&lt;0")=0,CE2,"")</f>
        <v/>
      </c>
      <c r="CF77" s="8">
        <f>IF(COUNTIF(CF75:$CH$75,"&lt;0")=0,CF2,"")</f>
        <v/>
      </c>
      <c r="CG77" s="8">
        <f>IF(COUNTIF(CG75:$CH$75,"&lt;0")=0,CG2,"")</f>
        <v/>
      </c>
      <c r="CH77" s="8">
        <f>IF(COUNTIF(CH75:$CH$75,"&lt;0")=0,CH2,"")</f>
        <v/>
      </c>
    </row>
    <row r="78">
      <c r="A78" s="3" t="inlineStr">
        <is>
          <t>Mês em que a receita anualizada passa do critério H7</t>
        </is>
      </c>
      <c r="C78" s="8">
        <f>IF(AND(C45&gt;=Premissas!$F$78,0&lt;Premissas!$F$78),C2,"")</f>
        <v/>
      </c>
      <c r="D78" s="8">
        <f>IF(AND(D45&gt;=Premissas!$F$78,C45&lt;Premissas!$F$78),D2,"")</f>
        <v/>
      </c>
      <c r="E78" s="8">
        <f>IF(AND(E45&gt;=Premissas!$F$78,D45&lt;Premissas!$F$78),E2,"")</f>
        <v/>
      </c>
      <c r="F78" s="8">
        <f>IF(AND(F45&gt;=Premissas!$F$78,E45&lt;Premissas!$F$78),F2,"")</f>
        <v/>
      </c>
      <c r="G78" s="8">
        <f>IF(AND(G45&gt;=Premissas!$F$78,F45&lt;Premissas!$F$78),G2,"")</f>
        <v/>
      </c>
      <c r="H78" s="8">
        <f>IF(AND(H45&gt;=Premissas!$F$78,G45&lt;Premissas!$F$78),H2,"")</f>
        <v/>
      </c>
      <c r="I78" s="8">
        <f>IF(AND(I45&gt;=Premissas!$F$78,H45&lt;Premissas!$F$78),I2,"")</f>
        <v/>
      </c>
      <c r="J78" s="8">
        <f>IF(AND(J45&gt;=Premissas!$F$78,I45&lt;Premissas!$F$78),J2,"")</f>
        <v/>
      </c>
      <c r="K78" s="8">
        <f>IF(AND(K45&gt;=Premissas!$F$78,J45&lt;Premissas!$F$78),K2,"")</f>
        <v/>
      </c>
      <c r="L78" s="8">
        <f>IF(AND(L45&gt;=Premissas!$F$78,K45&lt;Premissas!$F$78),L2,"")</f>
        <v/>
      </c>
      <c r="M78" s="8">
        <f>IF(AND(M45&gt;=Premissas!$F$78,L45&lt;Premissas!$F$78),M2,"")</f>
        <v/>
      </c>
      <c r="N78" s="8">
        <f>IF(AND(N45&gt;=Premissas!$F$78,M45&lt;Premissas!$F$78),N2,"")</f>
        <v/>
      </c>
      <c r="O78" s="8">
        <f>IF(AND(O45&gt;=Premissas!$F$78,N45&lt;Premissas!$F$78),O2,"")</f>
        <v/>
      </c>
      <c r="P78" s="8">
        <f>IF(AND(P45&gt;=Premissas!$F$78,O45&lt;Premissas!$F$78),P2,"")</f>
        <v/>
      </c>
      <c r="Q78" s="8">
        <f>IF(AND(Q45&gt;=Premissas!$F$78,P45&lt;Premissas!$F$78),Q2,"")</f>
        <v/>
      </c>
      <c r="R78" s="8">
        <f>IF(AND(R45&gt;=Premissas!$F$78,Q45&lt;Premissas!$F$78),R2,"")</f>
        <v/>
      </c>
      <c r="S78" s="8">
        <f>IF(AND(S45&gt;=Premissas!$F$78,R45&lt;Premissas!$F$78),S2,"")</f>
        <v/>
      </c>
      <c r="T78" s="8">
        <f>IF(AND(T45&gt;=Premissas!$F$78,S45&lt;Premissas!$F$78),T2,"")</f>
        <v/>
      </c>
      <c r="U78" s="8">
        <f>IF(AND(U45&gt;=Premissas!$F$78,T45&lt;Premissas!$F$78),U2,"")</f>
        <v/>
      </c>
      <c r="V78" s="8">
        <f>IF(AND(V45&gt;=Premissas!$F$78,U45&lt;Premissas!$F$78),V2,"")</f>
        <v/>
      </c>
      <c r="W78" s="8">
        <f>IF(AND(W45&gt;=Premissas!$F$78,V45&lt;Premissas!$F$78),W2,"")</f>
        <v/>
      </c>
      <c r="X78" s="8">
        <f>IF(AND(X45&gt;=Premissas!$F$78,W45&lt;Premissas!$F$78),X2,"")</f>
        <v/>
      </c>
      <c r="Y78" s="8">
        <f>IF(AND(Y45&gt;=Premissas!$F$78,X45&lt;Premissas!$F$78),Y2,"")</f>
        <v/>
      </c>
      <c r="Z78" s="8">
        <f>IF(AND(Z45&gt;=Premissas!$F$78,Y45&lt;Premissas!$F$78),Z2,"")</f>
        <v/>
      </c>
      <c r="AA78" s="8">
        <f>IF(AND(AA45&gt;=Premissas!$F$78,Z45&lt;Premissas!$F$78),AA2,"")</f>
        <v/>
      </c>
      <c r="AB78" s="8">
        <f>IF(AND(AB45&gt;=Premissas!$F$78,AA45&lt;Premissas!$F$78),AB2,"")</f>
        <v/>
      </c>
      <c r="AC78" s="8">
        <f>IF(AND(AC45&gt;=Premissas!$F$78,AB45&lt;Premissas!$F$78),AC2,"")</f>
        <v/>
      </c>
      <c r="AD78" s="8">
        <f>IF(AND(AD45&gt;=Premissas!$F$78,AC45&lt;Premissas!$F$78),AD2,"")</f>
        <v/>
      </c>
      <c r="AE78" s="8">
        <f>IF(AND(AE45&gt;=Premissas!$F$78,AD45&lt;Premissas!$F$78),AE2,"")</f>
        <v/>
      </c>
      <c r="AF78" s="8">
        <f>IF(AND(AF45&gt;=Premissas!$F$78,AE45&lt;Premissas!$F$78),AF2,"")</f>
        <v/>
      </c>
      <c r="AG78" s="8">
        <f>IF(AND(AG45&gt;=Premissas!$F$78,AF45&lt;Premissas!$F$78),AG2,"")</f>
        <v/>
      </c>
      <c r="AH78" s="8">
        <f>IF(AND(AH45&gt;=Premissas!$F$78,AG45&lt;Premissas!$F$78),AH2,"")</f>
        <v/>
      </c>
      <c r="AI78" s="8">
        <f>IF(AND(AI45&gt;=Premissas!$F$78,AH45&lt;Premissas!$F$78),AI2,"")</f>
        <v/>
      </c>
      <c r="AJ78" s="8">
        <f>IF(AND(AJ45&gt;=Premissas!$F$78,AI45&lt;Premissas!$F$78),AJ2,"")</f>
        <v/>
      </c>
      <c r="AK78" s="8">
        <f>IF(AND(AK45&gt;=Premissas!$F$78,AJ45&lt;Premissas!$F$78),AK2,"")</f>
        <v/>
      </c>
      <c r="AL78" s="8">
        <f>IF(AND(AL45&gt;=Premissas!$F$78,AK45&lt;Premissas!$F$78),AL2,"")</f>
        <v/>
      </c>
      <c r="AM78" s="8">
        <f>IF(AND(AM45&gt;=Premissas!$F$78,AL45&lt;Premissas!$F$78),AM2,"")</f>
        <v/>
      </c>
      <c r="AN78" s="8">
        <f>IF(AND(AN45&gt;=Premissas!$F$78,AM45&lt;Premissas!$F$78),AN2,"")</f>
        <v/>
      </c>
      <c r="AO78" s="8">
        <f>IF(AND(AO45&gt;=Premissas!$F$78,AN45&lt;Premissas!$F$78),AO2,"")</f>
        <v/>
      </c>
      <c r="AP78" s="8">
        <f>IF(AND(AP45&gt;=Premissas!$F$78,AO45&lt;Premissas!$F$78),AP2,"")</f>
        <v/>
      </c>
      <c r="AQ78" s="8">
        <f>IF(AND(AQ45&gt;=Premissas!$F$78,AP45&lt;Premissas!$F$78),AQ2,"")</f>
        <v/>
      </c>
      <c r="AR78" s="8">
        <f>IF(AND(AR45&gt;=Premissas!$F$78,AQ45&lt;Premissas!$F$78),AR2,"")</f>
        <v/>
      </c>
      <c r="AS78" s="8">
        <f>IF(AND(AS45&gt;=Premissas!$F$78,AR45&lt;Premissas!$F$78),AS2,"")</f>
        <v/>
      </c>
      <c r="AT78" s="8">
        <f>IF(AND(AT45&gt;=Premissas!$F$78,AS45&lt;Premissas!$F$78),AT2,"")</f>
        <v/>
      </c>
      <c r="AU78" s="8">
        <f>IF(AND(AU45&gt;=Premissas!$F$78,AT45&lt;Premissas!$F$78),AU2,"")</f>
        <v/>
      </c>
      <c r="AV78" s="8">
        <f>IF(AND(AV45&gt;=Premissas!$F$78,AU45&lt;Premissas!$F$78),AV2,"")</f>
        <v/>
      </c>
      <c r="AW78" s="8">
        <f>IF(AND(AW45&gt;=Premissas!$F$78,AV45&lt;Premissas!$F$78),AW2,"")</f>
        <v/>
      </c>
      <c r="AX78" s="8">
        <f>IF(AND(AX45&gt;=Premissas!$F$78,AW45&lt;Premissas!$F$78),AX2,"")</f>
        <v/>
      </c>
      <c r="AY78" s="8">
        <f>IF(AND(AY45&gt;=Premissas!$F$78,AX45&lt;Premissas!$F$78),AY2,"")</f>
        <v/>
      </c>
      <c r="AZ78" s="8">
        <f>IF(AND(AZ45&gt;=Premissas!$F$78,AY45&lt;Premissas!$F$78),AZ2,"")</f>
        <v/>
      </c>
      <c r="BA78" s="8">
        <f>IF(AND(BA45&gt;=Premissas!$F$78,AZ45&lt;Premissas!$F$78),BA2,"")</f>
        <v/>
      </c>
      <c r="BB78" s="8">
        <f>IF(AND(BB45&gt;=Premissas!$F$78,BA45&lt;Premissas!$F$78),BB2,"")</f>
        <v/>
      </c>
      <c r="BC78" s="8">
        <f>IF(AND(BC45&gt;=Premissas!$F$78,BB45&lt;Premissas!$F$78),BC2,"")</f>
        <v/>
      </c>
      <c r="BD78" s="8">
        <f>IF(AND(BD45&gt;=Premissas!$F$78,BC45&lt;Premissas!$F$78),BD2,"")</f>
        <v/>
      </c>
      <c r="BE78" s="8">
        <f>IF(AND(BE45&gt;=Premissas!$F$78,BD45&lt;Premissas!$F$78),BE2,"")</f>
        <v/>
      </c>
      <c r="BF78" s="8">
        <f>IF(AND(BF45&gt;=Premissas!$F$78,BE45&lt;Premissas!$F$78),BF2,"")</f>
        <v/>
      </c>
      <c r="BG78" s="8">
        <f>IF(AND(BG45&gt;=Premissas!$F$78,BF45&lt;Premissas!$F$78),BG2,"")</f>
        <v/>
      </c>
      <c r="BH78" s="8">
        <f>IF(AND(BH45&gt;=Premissas!$F$78,BG45&lt;Premissas!$F$78),BH2,"")</f>
        <v/>
      </c>
      <c r="BI78" s="8">
        <f>IF(AND(BI45&gt;=Premissas!$F$78,BH45&lt;Premissas!$F$78),BI2,"")</f>
        <v/>
      </c>
      <c r="BJ78" s="8">
        <f>IF(AND(BJ45&gt;=Premissas!$F$78,BI45&lt;Premissas!$F$78),BJ2,"")</f>
        <v/>
      </c>
      <c r="BK78" s="8">
        <f>IF(AND(BK45&gt;=Premissas!$F$78,BJ45&lt;Premissas!$F$78),BK2,"")</f>
        <v/>
      </c>
      <c r="BL78" s="8">
        <f>IF(AND(BL45&gt;=Premissas!$F$78,BK45&lt;Premissas!$F$78),BL2,"")</f>
        <v/>
      </c>
      <c r="BM78" s="8">
        <f>IF(AND(BM45&gt;=Premissas!$F$78,BL45&lt;Premissas!$F$78),BM2,"")</f>
        <v/>
      </c>
      <c r="BN78" s="8">
        <f>IF(AND(BN45&gt;=Premissas!$F$78,BM45&lt;Premissas!$F$78),BN2,"")</f>
        <v/>
      </c>
      <c r="BO78" s="8">
        <f>IF(AND(BO45&gt;=Premissas!$F$78,BN45&lt;Premissas!$F$78),BO2,"")</f>
        <v/>
      </c>
      <c r="BP78" s="8">
        <f>IF(AND(BP45&gt;=Premissas!$F$78,BO45&lt;Premissas!$F$78),BP2,"")</f>
        <v/>
      </c>
      <c r="BQ78" s="8">
        <f>IF(AND(BQ45&gt;=Premissas!$F$78,BP45&lt;Premissas!$F$78),BQ2,"")</f>
        <v/>
      </c>
      <c r="BR78" s="8">
        <f>IF(AND(BR45&gt;=Premissas!$F$78,BQ45&lt;Premissas!$F$78),BR2,"")</f>
        <v/>
      </c>
      <c r="BS78" s="8">
        <f>IF(AND(BS45&gt;=Premissas!$F$78,BR45&lt;Premissas!$F$78),BS2,"")</f>
        <v/>
      </c>
      <c r="BT78" s="8">
        <f>IF(AND(BT45&gt;=Premissas!$F$78,BS45&lt;Premissas!$F$78),BT2,"")</f>
        <v/>
      </c>
      <c r="BU78" s="8">
        <f>IF(AND(BU45&gt;=Premissas!$F$78,BT45&lt;Premissas!$F$78),BU2,"")</f>
        <v/>
      </c>
      <c r="BV78" s="8">
        <f>IF(AND(BV45&gt;=Premissas!$F$78,BU45&lt;Premissas!$F$78),BV2,"")</f>
        <v/>
      </c>
      <c r="BW78" s="8">
        <f>IF(AND(BW45&gt;=Premissas!$F$78,BV45&lt;Premissas!$F$78),BW2,"")</f>
        <v/>
      </c>
      <c r="BX78" s="8">
        <f>IF(AND(BX45&gt;=Premissas!$F$78,BW45&lt;Premissas!$F$78),BX2,"")</f>
        <v/>
      </c>
      <c r="BY78" s="8">
        <f>IF(AND(BY45&gt;=Premissas!$F$78,BX45&lt;Premissas!$F$78),BY2,"")</f>
        <v/>
      </c>
      <c r="BZ78" s="8">
        <f>IF(AND(BZ45&gt;=Premissas!$F$78,BY45&lt;Premissas!$F$78),BZ2,"")</f>
        <v/>
      </c>
      <c r="CA78" s="8">
        <f>IF(AND(CA45&gt;=Premissas!$F$78,BZ45&lt;Premissas!$F$78),CA2,"")</f>
        <v/>
      </c>
      <c r="CB78" s="8">
        <f>IF(AND(CB45&gt;=Premissas!$F$78,CA45&lt;Premissas!$F$78),CB2,"")</f>
        <v/>
      </c>
      <c r="CC78" s="8">
        <f>IF(AND(CC45&gt;=Premissas!$F$78,CB45&lt;Premissas!$F$78),CC2,"")</f>
        <v/>
      </c>
      <c r="CD78" s="8">
        <f>IF(AND(CD45&gt;=Premissas!$F$78,CC45&lt;Premissas!$F$78),CD2,"")</f>
        <v/>
      </c>
      <c r="CE78" s="8">
        <f>IF(AND(CE45&gt;=Premissas!$F$78,CD45&lt;Premissas!$F$78),CE2,"")</f>
        <v/>
      </c>
      <c r="CF78" s="8">
        <f>IF(AND(CF45&gt;=Premissas!$F$78,CE45&lt;Premissas!$F$78),CF2,"")</f>
        <v/>
      </c>
      <c r="CG78" s="8">
        <f>IF(AND(CG45&gt;=Premissas!$F$78,CF45&lt;Premissas!$F$78),CG2,"")</f>
        <v/>
      </c>
      <c r="CH78" s="8">
        <f>IF(AND(CH45&gt;=Premissas!$F$78,CG45&lt;Premissas!$F$78),CH2,"")</f>
        <v/>
      </c>
    </row>
    <row r="79">
      <c r="A79" s="3" t="inlineStr">
        <is>
          <t>Pessoas no total (fundadores, equipe e especialistas)</t>
        </is>
      </c>
      <c r="C79" s="12">
        <f>Premissas!$F$36+INDEX(Premissas!$C$25:$I$25,1,C3)+2*C10+INDEX(Premissas!$C$26:$I$26,1,C3)+INDEX(Premissas!$C$27:$I$27,1,C3)+C53</f>
        <v/>
      </c>
      <c r="D79" s="12">
        <f>Premissas!$F$36+INDEX(Premissas!$C$25:$I$25,1,D3)+2*D10+INDEX(Premissas!$C$26:$I$26,1,D3)+INDEX(Premissas!$C$27:$I$27,1,D3)+D53</f>
        <v/>
      </c>
      <c r="E79" s="12">
        <f>Premissas!$F$36+INDEX(Premissas!$C$25:$I$25,1,E3)+2*E10+INDEX(Premissas!$C$26:$I$26,1,E3)+INDEX(Premissas!$C$27:$I$27,1,E3)+E53</f>
        <v/>
      </c>
      <c r="F79" s="12">
        <f>Premissas!$F$36+INDEX(Premissas!$C$25:$I$25,1,F3)+2*F10+INDEX(Premissas!$C$26:$I$26,1,F3)+INDEX(Premissas!$C$27:$I$27,1,F3)+F53</f>
        <v/>
      </c>
      <c r="G79" s="12">
        <f>Premissas!$F$36+INDEX(Premissas!$C$25:$I$25,1,G3)+2*G10+INDEX(Premissas!$C$26:$I$26,1,G3)+INDEX(Premissas!$C$27:$I$27,1,G3)+G53</f>
        <v/>
      </c>
      <c r="H79" s="12">
        <f>Premissas!$F$36+INDEX(Premissas!$C$25:$I$25,1,H3)+2*H10+INDEX(Premissas!$C$26:$I$26,1,H3)+INDEX(Premissas!$C$27:$I$27,1,H3)+H53</f>
        <v/>
      </c>
      <c r="I79" s="12">
        <f>Premissas!$F$36+INDEX(Premissas!$C$25:$I$25,1,I3)+2*I10+INDEX(Premissas!$C$26:$I$26,1,I3)+INDEX(Premissas!$C$27:$I$27,1,I3)+I53</f>
        <v/>
      </c>
      <c r="J79" s="12">
        <f>Premissas!$F$36+INDEX(Premissas!$C$25:$I$25,1,J3)+2*J10+INDEX(Premissas!$C$26:$I$26,1,J3)+INDEX(Premissas!$C$27:$I$27,1,J3)+J53</f>
        <v/>
      </c>
      <c r="K79" s="12">
        <f>Premissas!$F$36+INDEX(Premissas!$C$25:$I$25,1,K3)+2*K10+INDEX(Premissas!$C$26:$I$26,1,K3)+INDEX(Premissas!$C$27:$I$27,1,K3)+K53</f>
        <v/>
      </c>
      <c r="L79" s="12">
        <f>Premissas!$F$36+INDEX(Premissas!$C$25:$I$25,1,L3)+2*L10+INDEX(Premissas!$C$26:$I$26,1,L3)+INDEX(Premissas!$C$27:$I$27,1,L3)+L53</f>
        <v/>
      </c>
      <c r="M79" s="12">
        <f>Premissas!$F$36+INDEX(Premissas!$C$25:$I$25,1,M3)+2*M10+INDEX(Premissas!$C$26:$I$26,1,M3)+INDEX(Premissas!$C$27:$I$27,1,M3)+M53</f>
        <v/>
      </c>
      <c r="N79" s="12">
        <f>Premissas!$F$36+INDEX(Premissas!$C$25:$I$25,1,N3)+2*N10+INDEX(Premissas!$C$26:$I$26,1,N3)+INDEX(Premissas!$C$27:$I$27,1,N3)+N53</f>
        <v/>
      </c>
      <c r="O79" s="12">
        <f>Premissas!$F$36+INDEX(Premissas!$C$25:$I$25,1,O3)+2*O10+INDEX(Premissas!$C$26:$I$26,1,O3)+INDEX(Premissas!$C$27:$I$27,1,O3)+O53</f>
        <v/>
      </c>
      <c r="P79" s="12">
        <f>Premissas!$F$36+INDEX(Premissas!$C$25:$I$25,1,P3)+2*P10+INDEX(Premissas!$C$26:$I$26,1,P3)+INDEX(Premissas!$C$27:$I$27,1,P3)+P53</f>
        <v/>
      </c>
      <c r="Q79" s="12">
        <f>Premissas!$F$36+INDEX(Premissas!$C$25:$I$25,1,Q3)+2*Q10+INDEX(Premissas!$C$26:$I$26,1,Q3)+INDEX(Premissas!$C$27:$I$27,1,Q3)+Q53</f>
        <v/>
      </c>
      <c r="R79" s="12">
        <f>Premissas!$F$36+INDEX(Premissas!$C$25:$I$25,1,R3)+2*R10+INDEX(Premissas!$C$26:$I$26,1,R3)+INDEX(Premissas!$C$27:$I$27,1,R3)+R53</f>
        <v/>
      </c>
      <c r="S79" s="12">
        <f>Premissas!$F$36+INDEX(Premissas!$C$25:$I$25,1,S3)+2*S10+INDEX(Premissas!$C$26:$I$26,1,S3)+INDEX(Premissas!$C$27:$I$27,1,S3)+S53</f>
        <v/>
      </c>
      <c r="T79" s="12">
        <f>Premissas!$F$36+INDEX(Premissas!$C$25:$I$25,1,T3)+2*T10+INDEX(Premissas!$C$26:$I$26,1,T3)+INDEX(Premissas!$C$27:$I$27,1,T3)+T53</f>
        <v/>
      </c>
      <c r="U79" s="12">
        <f>Premissas!$F$36+INDEX(Premissas!$C$25:$I$25,1,U3)+2*U10+INDEX(Premissas!$C$26:$I$26,1,U3)+INDEX(Premissas!$C$27:$I$27,1,U3)+U53</f>
        <v/>
      </c>
      <c r="V79" s="12">
        <f>Premissas!$F$36+INDEX(Premissas!$C$25:$I$25,1,V3)+2*V10+INDEX(Premissas!$C$26:$I$26,1,V3)+INDEX(Premissas!$C$27:$I$27,1,V3)+V53</f>
        <v/>
      </c>
      <c r="W79" s="12">
        <f>Premissas!$F$36+INDEX(Premissas!$C$25:$I$25,1,W3)+2*W10+INDEX(Premissas!$C$26:$I$26,1,W3)+INDEX(Premissas!$C$27:$I$27,1,W3)+W53</f>
        <v/>
      </c>
      <c r="X79" s="12">
        <f>Premissas!$F$36+INDEX(Premissas!$C$25:$I$25,1,X3)+2*X10+INDEX(Premissas!$C$26:$I$26,1,X3)+INDEX(Premissas!$C$27:$I$27,1,X3)+X53</f>
        <v/>
      </c>
      <c r="Y79" s="12">
        <f>Premissas!$F$36+INDEX(Premissas!$C$25:$I$25,1,Y3)+2*Y10+INDEX(Premissas!$C$26:$I$26,1,Y3)+INDEX(Premissas!$C$27:$I$27,1,Y3)+Y53</f>
        <v/>
      </c>
      <c r="Z79" s="12">
        <f>Premissas!$F$36+INDEX(Premissas!$C$25:$I$25,1,Z3)+2*Z10+INDEX(Premissas!$C$26:$I$26,1,Z3)+INDEX(Premissas!$C$27:$I$27,1,Z3)+Z53</f>
        <v/>
      </c>
      <c r="AA79" s="12">
        <f>Premissas!$F$36+INDEX(Premissas!$C$25:$I$25,1,AA3)+2*AA10+INDEX(Premissas!$C$26:$I$26,1,AA3)+INDEX(Premissas!$C$27:$I$27,1,AA3)+AA53</f>
        <v/>
      </c>
      <c r="AB79" s="12">
        <f>Premissas!$F$36+INDEX(Premissas!$C$25:$I$25,1,AB3)+2*AB10+INDEX(Premissas!$C$26:$I$26,1,AB3)+INDEX(Premissas!$C$27:$I$27,1,AB3)+AB53</f>
        <v/>
      </c>
      <c r="AC79" s="12">
        <f>Premissas!$F$36+INDEX(Premissas!$C$25:$I$25,1,AC3)+2*AC10+INDEX(Premissas!$C$26:$I$26,1,AC3)+INDEX(Premissas!$C$27:$I$27,1,AC3)+AC53</f>
        <v/>
      </c>
      <c r="AD79" s="12">
        <f>Premissas!$F$36+INDEX(Premissas!$C$25:$I$25,1,AD3)+2*AD10+INDEX(Premissas!$C$26:$I$26,1,AD3)+INDEX(Premissas!$C$27:$I$27,1,AD3)+AD53</f>
        <v/>
      </c>
      <c r="AE79" s="12">
        <f>Premissas!$F$36+INDEX(Premissas!$C$25:$I$25,1,AE3)+2*AE10+INDEX(Premissas!$C$26:$I$26,1,AE3)+INDEX(Premissas!$C$27:$I$27,1,AE3)+AE53</f>
        <v/>
      </c>
      <c r="AF79" s="12">
        <f>Premissas!$F$36+INDEX(Premissas!$C$25:$I$25,1,AF3)+2*AF10+INDEX(Premissas!$C$26:$I$26,1,AF3)+INDEX(Premissas!$C$27:$I$27,1,AF3)+AF53</f>
        <v/>
      </c>
      <c r="AG79" s="12">
        <f>Premissas!$F$36+INDEX(Premissas!$C$25:$I$25,1,AG3)+2*AG10+INDEX(Premissas!$C$26:$I$26,1,AG3)+INDEX(Premissas!$C$27:$I$27,1,AG3)+AG53</f>
        <v/>
      </c>
      <c r="AH79" s="12">
        <f>Premissas!$F$36+INDEX(Premissas!$C$25:$I$25,1,AH3)+2*AH10+INDEX(Premissas!$C$26:$I$26,1,AH3)+INDEX(Premissas!$C$27:$I$27,1,AH3)+AH53</f>
        <v/>
      </c>
      <c r="AI79" s="12">
        <f>Premissas!$F$36+INDEX(Premissas!$C$25:$I$25,1,AI3)+2*AI10+INDEX(Premissas!$C$26:$I$26,1,AI3)+INDEX(Premissas!$C$27:$I$27,1,AI3)+AI53</f>
        <v/>
      </c>
      <c r="AJ79" s="12">
        <f>Premissas!$F$36+INDEX(Premissas!$C$25:$I$25,1,AJ3)+2*AJ10+INDEX(Premissas!$C$26:$I$26,1,AJ3)+INDEX(Premissas!$C$27:$I$27,1,AJ3)+AJ53</f>
        <v/>
      </c>
      <c r="AK79" s="12">
        <f>Premissas!$F$36+INDEX(Premissas!$C$25:$I$25,1,AK3)+2*AK10+INDEX(Premissas!$C$26:$I$26,1,AK3)+INDEX(Premissas!$C$27:$I$27,1,AK3)+AK53</f>
        <v/>
      </c>
      <c r="AL79" s="12">
        <f>Premissas!$F$36+INDEX(Premissas!$C$25:$I$25,1,AL3)+2*AL10+INDEX(Premissas!$C$26:$I$26,1,AL3)+INDEX(Premissas!$C$27:$I$27,1,AL3)+AL53</f>
        <v/>
      </c>
      <c r="AM79" s="12">
        <f>Premissas!$F$36+INDEX(Premissas!$C$25:$I$25,1,AM3)+2*AM10+INDEX(Premissas!$C$26:$I$26,1,AM3)+INDEX(Premissas!$C$27:$I$27,1,AM3)+AM53</f>
        <v/>
      </c>
      <c r="AN79" s="12">
        <f>Premissas!$F$36+INDEX(Premissas!$C$25:$I$25,1,AN3)+2*AN10+INDEX(Premissas!$C$26:$I$26,1,AN3)+INDEX(Premissas!$C$27:$I$27,1,AN3)+AN53</f>
        <v/>
      </c>
      <c r="AO79" s="12">
        <f>Premissas!$F$36+INDEX(Premissas!$C$25:$I$25,1,AO3)+2*AO10+INDEX(Premissas!$C$26:$I$26,1,AO3)+INDEX(Premissas!$C$27:$I$27,1,AO3)+AO53</f>
        <v/>
      </c>
      <c r="AP79" s="12">
        <f>Premissas!$F$36+INDEX(Premissas!$C$25:$I$25,1,AP3)+2*AP10+INDEX(Premissas!$C$26:$I$26,1,AP3)+INDEX(Premissas!$C$27:$I$27,1,AP3)+AP53</f>
        <v/>
      </c>
      <c r="AQ79" s="12">
        <f>Premissas!$F$36+INDEX(Premissas!$C$25:$I$25,1,AQ3)+2*AQ10+INDEX(Premissas!$C$26:$I$26,1,AQ3)+INDEX(Premissas!$C$27:$I$27,1,AQ3)+AQ53</f>
        <v/>
      </c>
      <c r="AR79" s="12">
        <f>Premissas!$F$36+INDEX(Premissas!$C$25:$I$25,1,AR3)+2*AR10+INDEX(Premissas!$C$26:$I$26,1,AR3)+INDEX(Premissas!$C$27:$I$27,1,AR3)+AR53</f>
        <v/>
      </c>
      <c r="AS79" s="12">
        <f>Premissas!$F$36+INDEX(Premissas!$C$25:$I$25,1,AS3)+2*AS10+INDEX(Premissas!$C$26:$I$26,1,AS3)+INDEX(Premissas!$C$27:$I$27,1,AS3)+AS53</f>
        <v/>
      </c>
      <c r="AT79" s="12">
        <f>Premissas!$F$36+INDEX(Premissas!$C$25:$I$25,1,AT3)+2*AT10+INDEX(Premissas!$C$26:$I$26,1,AT3)+INDEX(Premissas!$C$27:$I$27,1,AT3)+AT53</f>
        <v/>
      </c>
      <c r="AU79" s="12">
        <f>Premissas!$F$36+INDEX(Premissas!$C$25:$I$25,1,AU3)+2*AU10+INDEX(Premissas!$C$26:$I$26,1,AU3)+INDEX(Premissas!$C$27:$I$27,1,AU3)+AU53</f>
        <v/>
      </c>
      <c r="AV79" s="12">
        <f>Premissas!$F$36+INDEX(Premissas!$C$25:$I$25,1,AV3)+2*AV10+INDEX(Premissas!$C$26:$I$26,1,AV3)+INDEX(Premissas!$C$27:$I$27,1,AV3)+AV53</f>
        <v/>
      </c>
      <c r="AW79" s="12">
        <f>Premissas!$F$36+INDEX(Premissas!$C$25:$I$25,1,AW3)+2*AW10+INDEX(Premissas!$C$26:$I$26,1,AW3)+INDEX(Premissas!$C$27:$I$27,1,AW3)+AW53</f>
        <v/>
      </c>
      <c r="AX79" s="12">
        <f>Premissas!$F$36+INDEX(Premissas!$C$25:$I$25,1,AX3)+2*AX10+INDEX(Premissas!$C$26:$I$26,1,AX3)+INDEX(Premissas!$C$27:$I$27,1,AX3)+AX53</f>
        <v/>
      </c>
      <c r="AY79" s="12">
        <f>Premissas!$F$36+INDEX(Premissas!$C$25:$I$25,1,AY3)+2*AY10+INDEX(Premissas!$C$26:$I$26,1,AY3)+INDEX(Premissas!$C$27:$I$27,1,AY3)+AY53</f>
        <v/>
      </c>
      <c r="AZ79" s="12">
        <f>Premissas!$F$36+INDEX(Premissas!$C$25:$I$25,1,AZ3)+2*AZ10+INDEX(Premissas!$C$26:$I$26,1,AZ3)+INDEX(Premissas!$C$27:$I$27,1,AZ3)+AZ53</f>
        <v/>
      </c>
      <c r="BA79" s="12">
        <f>Premissas!$F$36+INDEX(Premissas!$C$25:$I$25,1,BA3)+2*BA10+INDEX(Premissas!$C$26:$I$26,1,BA3)+INDEX(Premissas!$C$27:$I$27,1,BA3)+BA53</f>
        <v/>
      </c>
      <c r="BB79" s="12">
        <f>Premissas!$F$36+INDEX(Premissas!$C$25:$I$25,1,BB3)+2*BB10+INDEX(Premissas!$C$26:$I$26,1,BB3)+INDEX(Premissas!$C$27:$I$27,1,BB3)+BB53</f>
        <v/>
      </c>
      <c r="BC79" s="12">
        <f>Premissas!$F$36+INDEX(Premissas!$C$25:$I$25,1,BC3)+2*BC10+INDEX(Premissas!$C$26:$I$26,1,BC3)+INDEX(Premissas!$C$27:$I$27,1,BC3)+BC53</f>
        <v/>
      </c>
      <c r="BD79" s="12">
        <f>Premissas!$F$36+INDEX(Premissas!$C$25:$I$25,1,BD3)+2*BD10+INDEX(Premissas!$C$26:$I$26,1,BD3)+INDEX(Premissas!$C$27:$I$27,1,BD3)+BD53</f>
        <v/>
      </c>
      <c r="BE79" s="12">
        <f>Premissas!$F$36+INDEX(Premissas!$C$25:$I$25,1,BE3)+2*BE10+INDEX(Premissas!$C$26:$I$26,1,BE3)+INDEX(Premissas!$C$27:$I$27,1,BE3)+BE53</f>
        <v/>
      </c>
      <c r="BF79" s="12">
        <f>Premissas!$F$36+INDEX(Premissas!$C$25:$I$25,1,BF3)+2*BF10+INDEX(Premissas!$C$26:$I$26,1,BF3)+INDEX(Premissas!$C$27:$I$27,1,BF3)+BF53</f>
        <v/>
      </c>
      <c r="BG79" s="12">
        <f>Premissas!$F$36+INDEX(Premissas!$C$25:$I$25,1,BG3)+2*BG10+INDEX(Premissas!$C$26:$I$26,1,BG3)+INDEX(Premissas!$C$27:$I$27,1,BG3)+BG53</f>
        <v/>
      </c>
      <c r="BH79" s="12">
        <f>Premissas!$F$36+INDEX(Premissas!$C$25:$I$25,1,BH3)+2*BH10+INDEX(Premissas!$C$26:$I$26,1,BH3)+INDEX(Premissas!$C$27:$I$27,1,BH3)+BH53</f>
        <v/>
      </c>
      <c r="BI79" s="12">
        <f>Premissas!$F$36+INDEX(Premissas!$C$25:$I$25,1,BI3)+2*BI10+INDEX(Premissas!$C$26:$I$26,1,BI3)+INDEX(Premissas!$C$27:$I$27,1,BI3)+BI53</f>
        <v/>
      </c>
      <c r="BJ79" s="12">
        <f>Premissas!$F$36+INDEX(Premissas!$C$25:$I$25,1,BJ3)+2*BJ10+INDEX(Premissas!$C$26:$I$26,1,BJ3)+INDEX(Premissas!$C$27:$I$27,1,BJ3)+BJ53</f>
        <v/>
      </c>
      <c r="BK79" s="12">
        <f>Premissas!$F$36+INDEX(Premissas!$C$25:$I$25,1,BK3)+2*BK10+INDEX(Premissas!$C$26:$I$26,1,BK3)+INDEX(Premissas!$C$27:$I$27,1,BK3)+BK53</f>
        <v/>
      </c>
      <c r="BL79" s="12">
        <f>Premissas!$F$36+INDEX(Premissas!$C$25:$I$25,1,BL3)+2*BL10+INDEX(Premissas!$C$26:$I$26,1,BL3)+INDEX(Premissas!$C$27:$I$27,1,BL3)+BL53</f>
        <v/>
      </c>
      <c r="BM79" s="12">
        <f>Premissas!$F$36+INDEX(Premissas!$C$25:$I$25,1,BM3)+2*BM10+INDEX(Premissas!$C$26:$I$26,1,BM3)+INDEX(Premissas!$C$27:$I$27,1,BM3)+BM53</f>
        <v/>
      </c>
      <c r="BN79" s="12">
        <f>Premissas!$F$36+INDEX(Premissas!$C$25:$I$25,1,BN3)+2*BN10+INDEX(Premissas!$C$26:$I$26,1,BN3)+INDEX(Premissas!$C$27:$I$27,1,BN3)+BN53</f>
        <v/>
      </c>
      <c r="BO79" s="12">
        <f>Premissas!$F$36+INDEX(Premissas!$C$25:$I$25,1,BO3)+2*BO10+INDEX(Premissas!$C$26:$I$26,1,BO3)+INDEX(Premissas!$C$27:$I$27,1,BO3)+BO53</f>
        <v/>
      </c>
      <c r="BP79" s="12">
        <f>Premissas!$F$36+INDEX(Premissas!$C$25:$I$25,1,BP3)+2*BP10+INDEX(Premissas!$C$26:$I$26,1,BP3)+INDEX(Premissas!$C$27:$I$27,1,BP3)+BP53</f>
        <v/>
      </c>
      <c r="BQ79" s="12">
        <f>Premissas!$F$36+INDEX(Premissas!$C$25:$I$25,1,BQ3)+2*BQ10+INDEX(Premissas!$C$26:$I$26,1,BQ3)+INDEX(Premissas!$C$27:$I$27,1,BQ3)+BQ53</f>
        <v/>
      </c>
      <c r="BR79" s="12">
        <f>Premissas!$F$36+INDEX(Premissas!$C$25:$I$25,1,BR3)+2*BR10+INDEX(Premissas!$C$26:$I$26,1,BR3)+INDEX(Premissas!$C$27:$I$27,1,BR3)+BR53</f>
        <v/>
      </c>
      <c r="BS79" s="12">
        <f>Premissas!$F$36+INDEX(Premissas!$C$25:$I$25,1,BS3)+2*BS10+INDEX(Premissas!$C$26:$I$26,1,BS3)+INDEX(Premissas!$C$27:$I$27,1,BS3)+BS53</f>
        <v/>
      </c>
      <c r="BT79" s="12">
        <f>Premissas!$F$36+INDEX(Premissas!$C$25:$I$25,1,BT3)+2*BT10+INDEX(Premissas!$C$26:$I$26,1,BT3)+INDEX(Premissas!$C$27:$I$27,1,BT3)+BT53</f>
        <v/>
      </c>
      <c r="BU79" s="12">
        <f>Premissas!$F$36+INDEX(Premissas!$C$25:$I$25,1,BU3)+2*BU10+INDEX(Premissas!$C$26:$I$26,1,BU3)+INDEX(Premissas!$C$27:$I$27,1,BU3)+BU53</f>
        <v/>
      </c>
      <c r="BV79" s="12">
        <f>Premissas!$F$36+INDEX(Premissas!$C$25:$I$25,1,BV3)+2*BV10+INDEX(Premissas!$C$26:$I$26,1,BV3)+INDEX(Premissas!$C$27:$I$27,1,BV3)+BV53</f>
        <v/>
      </c>
      <c r="BW79" s="12">
        <f>Premissas!$F$36+INDEX(Premissas!$C$25:$I$25,1,BW3)+2*BW10+INDEX(Premissas!$C$26:$I$26,1,BW3)+INDEX(Premissas!$C$27:$I$27,1,BW3)+BW53</f>
        <v/>
      </c>
      <c r="BX79" s="12">
        <f>Premissas!$F$36+INDEX(Premissas!$C$25:$I$25,1,BX3)+2*BX10+INDEX(Premissas!$C$26:$I$26,1,BX3)+INDEX(Premissas!$C$27:$I$27,1,BX3)+BX53</f>
        <v/>
      </c>
      <c r="BY79" s="12">
        <f>Premissas!$F$36+INDEX(Premissas!$C$25:$I$25,1,BY3)+2*BY10+INDEX(Premissas!$C$26:$I$26,1,BY3)+INDEX(Premissas!$C$27:$I$27,1,BY3)+BY53</f>
        <v/>
      </c>
      <c r="BZ79" s="12">
        <f>Premissas!$F$36+INDEX(Premissas!$C$25:$I$25,1,BZ3)+2*BZ10+INDEX(Premissas!$C$26:$I$26,1,BZ3)+INDEX(Premissas!$C$27:$I$27,1,BZ3)+BZ53</f>
        <v/>
      </c>
      <c r="CA79" s="12">
        <f>Premissas!$F$36+INDEX(Premissas!$C$25:$I$25,1,CA3)+2*CA10+INDEX(Premissas!$C$26:$I$26,1,CA3)+INDEX(Premissas!$C$27:$I$27,1,CA3)+CA53</f>
        <v/>
      </c>
      <c r="CB79" s="12">
        <f>Premissas!$F$36+INDEX(Premissas!$C$25:$I$25,1,CB3)+2*CB10+INDEX(Premissas!$C$26:$I$26,1,CB3)+INDEX(Premissas!$C$27:$I$27,1,CB3)+CB53</f>
        <v/>
      </c>
      <c r="CC79" s="12">
        <f>Premissas!$F$36+INDEX(Premissas!$C$25:$I$25,1,CC3)+2*CC10+INDEX(Premissas!$C$26:$I$26,1,CC3)+INDEX(Premissas!$C$27:$I$27,1,CC3)+CC53</f>
        <v/>
      </c>
      <c r="CD79" s="12">
        <f>Premissas!$F$36+INDEX(Premissas!$C$25:$I$25,1,CD3)+2*CD10+INDEX(Premissas!$C$26:$I$26,1,CD3)+INDEX(Premissas!$C$27:$I$27,1,CD3)+CD53</f>
        <v/>
      </c>
      <c r="CE79" s="12">
        <f>Premissas!$F$36+INDEX(Premissas!$C$25:$I$25,1,CE3)+2*CE10+INDEX(Premissas!$C$26:$I$26,1,CE3)+INDEX(Premissas!$C$27:$I$27,1,CE3)+CE53</f>
        <v/>
      </c>
      <c r="CF79" s="12">
        <f>Premissas!$F$36+INDEX(Premissas!$C$25:$I$25,1,CF3)+2*CF10+INDEX(Premissas!$C$26:$I$26,1,CF3)+INDEX(Premissas!$C$27:$I$27,1,CF3)+CF53</f>
        <v/>
      </c>
      <c r="CG79" s="12">
        <f>Premissas!$F$36+INDEX(Premissas!$C$25:$I$25,1,CG3)+2*CG10+INDEX(Premissas!$C$26:$I$26,1,CG3)+INDEX(Premissas!$C$27:$I$27,1,CG3)+CG53</f>
        <v/>
      </c>
      <c r="CH79" s="12">
        <f>Premissas!$F$36+INDEX(Premissas!$C$25:$I$25,1,CH3)+2*CH10+INDEX(Premissas!$C$26:$I$26,1,CH3)+INDEX(Premissas!$C$27:$I$27,1,CH3)+CH53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Cenários e testes de estresse (valores gerados por sensibilidade_clinicas.py)</t>
        </is>
      </c>
    </row>
    <row r="3">
      <c r="A3" s="6" t="inlineStr">
        <is>
          <t>Indicador</t>
        </is>
      </c>
      <c r="B3" s="7" t="inlineStr">
        <is>
          <t>Conservador</t>
        </is>
      </c>
      <c r="C3" s="7" t="inlineStr">
        <is>
          <t>Base</t>
        </is>
      </c>
      <c r="D3" s="7" t="inlineStr">
        <is>
          <t>Otimista</t>
        </is>
      </c>
    </row>
    <row r="4">
      <c r="A4" t="inlineStr">
        <is>
          <t>Receita recorrente anualizada no ano 5</t>
        </is>
      </c>
      <c r="B4" s="33" t="n">
        <v>12231292.7187586</v>
      </c>
      <c r="C4" s="33" t="n">
        <v>28891732.8173504</v>
      </c>
      <c r="D4" s="33" t="n">
        <v>67158966.9252677</v>
      </c>
    </row>
    <row r="5">
      <c r="A5" t="inlineStr">
        <is>
          <t>Receita recorrente anualizada no ano 7</t>
        </is>
      </c>
      <c r="B5" s="33" t="n">
        <v>22843375.5351529</v>
      </c>
      <c r="C5" s="33" t="n">
        <v>57646411.8351047</v>
      </c>
      <c r="D5" s="33" t="n">
        <v>149690317.612557</v>
      </c>
    </row>
    <row r="6">
      <c r="A6" t="inlineStr">
        <is>
          <t>Mês de equilíbrio (EBITDA positivo daí em diante)</t>
        </is>
      </c>
      <c r="B6" s="34" t="inlineStr">
        <is>
          <t>não chega</t>
        </is>
      </c>
      <c r="C6" s="34" t="n">
        <v>53</v>
      </c>
      <c r="D6" s="34" t="n">
        <v>30</v>
      </c>
    </row>
    <row r="7">
      <c r="A7" t="inlineStr">
        <is>
          <t>Capital necessário (pior caixa acumulado)</t>
        </is>
      </c>
      <c r="B7" s="33" t="n">
        <v>42026403.9027047</v>
      </c>
      <c r="C7" s="33" t="n">
        <v>10834474.403638</v>
      </c>
      <c r="D7" s="33" t="n">
        <v>4266071.01998387</v>
      </c>
    </row>
    <row r="8">
      <c r="A8" t="inlineStr">
        <is>
          <t>Margem bruta no ano 5</t>
        </is>
      </c>
      <c r="B8" s="35" t="n">
        <v>0.462949602524542</v>
      </c>
      <c r="C8" s="35" t="n">
        <v>0.6483488949127439</v>
      </c>
      <c r="D8" s="35" t="n">
        <v>0.754519472480409</v>
      </c>
    </row>
    <row r="9">
      <c r="A9" t="inlineStr">
        <is>
          <t>LTV/CAC ponderado pelo mix, com CAC total do ano 5</t>
        </is>
      </c>
      <c r="B9" s="36" t="n">
        <v>1.3143150766331</v>
      </c>
      <c r="C9" s="36" t="n">
        <v>4.60018930267899</v>
      </c>
      <c r="D9" s="36" t="n">
        <v>14.5758176509269</v>
      </c>
    </row>
    <row r="10">
      <c r="A10" t="inlineStr">
        <is>
          <t>Recuperação do CAC total, ponderada (meses)</t>
        </is>
      </c>
      <c r="B10" s="37" t="n">
        <v>21.2951733052363</v>
      </c>
      <c r="C10" s="37" t="n">
        <v>8.908706185638851</v>
      </c>
      <c r="D10" s="37" t="n">
        <v>4.49665775653735</v>
      </c>
    </row>
    <row r="11">
      <c r="A11" t="inlineStr">
        <is>
          <t>CAC total no ano 5</t>
        </is>
      </c>
      <c r="B11" s="33" t="n">
        <v>33257.0625622981</v>
      </c>
      <c r="C11" s="33" t="n">
        <v>20550.3064721588</v>
      </c>
      <c r="D11" s="33" t="n">
        <v>12658.8495926745</v>
      </c>
    </row>
    <row r="12">
      <c r="A12" t="inlineStr">
        <is>
          <t>Mês em que a receita anualizada chega a R$ 50 mi</t>
        </is>
      </c>
      <c r="B12" s="34" t="inlineStr">
        <is>
          <t>não chega</t>
        </is>
      </c>
      <c r="C12" s="34" t="n">
        <v>78</v>
      </c>
      <c r="D12" s="34" t="n">
        <v>53</v>
      </c>
    </row>
    <row r="13">
      <c r="A13" t="inlineStr">
        <is>
          <t>Participação no mercado nesse mês</t>
        </is>
      </c>
      <c r="B13" s="35" t="n"/>
      <c r="C13" s="35" t="n">
        <v>0.0248471952334786</v>
      </c>
      <c r="D13" s="35" t="n">
        <v>0.013593308565679</v>
      </c>
    </row>
    <row r="14">
      <c r="A14" t="inlineStr">
        <is>
          <t>Clínicas ativas no ano 5</t>
        </is>
      </c>
      <c r="B14" s="38" t="n">
        <v>235.728466103194</v>
      </c>
      <c r="C14" s="38" t="n">
        <v>509.936802772554</v>
      </c>
      <c r="D14" s="38" t="n">
        <v>1072.18839630499</v>
      </c>
    </row>
    <row r="16">
      <c r="A16" s="2" t="inlineStr">
        <is>
          <t>Testes de estresse (cenário base, uma mudança por vez, salvo indicação)</t>
        </is>
      </c>
    </row>
    <row r="17" ht="60" customHeight="1">
      <c r="A17" s="6" t="inlineStr">
        <is>
          <t>Teste</t>
        </is>
      </c>
      <c r="B17" s="7" t="inlineStr">
        <is>
          <t>Receita recorrente anualizada no ano 5</t>
        </is>
      </c>
      <c r="C17" s="7" t="inlineStr">
        <is>
          <t>Receita recorrente anualizada no ano 7</t>
        </is>
      </c>
      <c r="D17" s="7" t="inlineStr">
        <is>
          <t>Mês de equilíbrio (EBITDA positivo daí em diante)</t>
        </is>
      </c>
      <c r="E17" s="7" t="inlineStr">
        <is>
          <t>Capital necessário (pior caixa acumulado)</t>
        </is>
      </c>
      <c r="F17" s="7" t="inlineStr">
        <is>
          <t>Margem bruta no ano 5</t>
        </is>
      </c>
      <c r="G17" s="7" t="inlineStr">
        <is>
          <t>LTV/CAC ponderado pelo mix, com CAC total do ano 5</t>
        </is>
      </c>
      <c r="H17" s="7" t="inlineStr">
        <is>
          <t>Recuperação do CAC total, ponderada (meses)</t>
        </is>
      </c>
      <c r="I17" s="7" t="inlineStr">
        <is>
          <t>CAC total no ano 5</t>
        </is>
      </c>
      <c r="J17" s="7" t="inlineStr">
        <is>
          <t>Mês em que a receita anualizada chega a R$ 50 mi</t>
        </is>
      </c>
      <c r="K17" s="7" t="inlineStr">
        <is>
          <t>Participação no mercado nesse mês</t>
        </is>
      </c>
      <c r="L17" s="7" t="inlineStr">
        <is>
          <t>Clínicas ativas no ano 5</t>
        </is>
      </c>
    </row>
    <row r="18">
      <c r="A18" t="inlineStr">
        <is>
          <t>Churn 50% maior em todos os planos</t>
        </is>
      </c>
      <c r="B18" s="33" t="n">
        <v>24053424.3647944</v>
      </c>
      <c r="C18" s="33" t="n">
        <v>45040122.4756843</v>
      </c>
      <c r="D18" s="34" t="n">
        <v>63</v>
      </c>
      <c r="E18" s="33" t="n">
        <v>12776473.3373735</v>
      </c>
      <c r="F18" s="35" t="n">
        <v>0.647557988369785</v>
      </c>
      <c r="G18" s="36" t="n">
        <v>3.06131124864943</v>
      </c>
      <c r="H18" s="37" t="n">
        <v>9.03794489494652</v>
      </c>
      <c r="I18" s="33" t="n">
        <v>20848.4300188328</v>
      </c>
      <c r="J18" s="34" t="inlineStr">
        <is>
          <t>não chega</t>
        </is>
      </c>
      <c r="K18" s="35" t="n"/>
      <c r="L18" s="38" t="n">
        <v>424.717458477456</v>
      </c>
    </row>
    <row r="19">
      <c r="A19" t="inlineStr">
        <is>
          <t>CAC 50% maior (mídia e venda ativa)</t>
        </is>
      </c>
      <c r="B19" s="33" t="n">
        <v>21713964.6966276</v>
      </c>
      <c r="C19" s="33" t="n">
        <v>43192050.0507106</v>
      </c>
      <c r="D19" s="34" t="n">
        <v>66</v>
      </c>
      <c r="E19" s="33" t="n">
        <v>15954066.7762607</v>
      </c>
      <c r="F19" s="35" t="n">
        <v>0.64837666875921</v>
      </c>
      <c r="G19" s="36" t="n">
        <v>3.47284483741814</v>
      </c>
      <c r="H19" s="37" t="n">
        <v>11.800623642706</v>
      </c>
      <c r="I19" s="33" t="n">
        <v>27221.2852648728</v>
      </c>
      <c r="J19" s="34" t="inlineStr">
        <is>
          <t>não chega</t>
        </is>
      </c>
      <c r="K19" s="35" t="n"/>
      <c r="L19" s="38" t="n">
        <v>383.207159800159</v>
      </c>
    </row>
    <row r="20">
      <c r="A20" t="inlineStr">
        <is>
          <t>Metade das clínicas por especialista</t>
        </is>
      </c>
      <c r="B20" s="33" t="n">
        <v>28891732.8173504</v>
      </c>
      <c r="C20" s="33" t="n">
        <v>57646411.8351047</v>
      </c>
      <c r="D20" s="34" t="n">
        <v>67</v>
      </c>
      <c r="E20" s="33" t="n">
        <v>17020239.5144587</v>
      </c>
      <c r="F20" s="35" t="n">
        <v>0.477476988507005</v>
      </c>
      <c r="G20" s="36" t="n">
        <v>3.30256064187074</v>
      </c>
      <c r="H20" s="37" t="n">
        <v>12.5810500207082</v>
      </c>
      <c r="I20" s="33" t="n">
        <v>20550.3064721588</v>
      </c>
      <c r="J20" s="34" t="n">
        <v>78</v>
      </c>
      <c r="K20" s="35" t="n">
        <v>0.0248471952334786</v>
      </c>
      <c r="L20" s="38" t="n">
        <v>509.936802772554</v>
      </c>
    </row>
    <row r="21">
      <c r="A21" t="inlineStr">
        <is>
          <t>O dobro de clínicas por especialista</t>
        </is>
      </c>
      <c r="B21" s="33" t="n">
        <v>28891732.8173504</v>
      </c>
      <c r="C21" s="33" t="n">
        <v>57646411.8351047</v>
      </c>
      <c r="D21" s="34" t="n">
        <v>50</v>
      </c>
      <c r="E21" s="33" t="n">
        <v>9142706.444594949</v>
      </c>
      <c r="F21" s="35" t="n">
        <v>0.733784848115613</v>
      </c>
      <c r="G21" s="36" t="n">
        <v>5.24900363308312</v>
      </c>
      <c r="H21" s="37" t="n">
        <v>7.77409674494994</v>
      </c>
      <c r="I21" s="33" t="n">
        <v>20550.3064721588</v>
      </c>
      <c r="J21" s="34" t="n">
        <v>78</v>
      </c>
      <c r="K21" s="35" t="n">
        <v>0.0248471952334786</v>
      </c>
      <c r="L21" s="38" t="n">
        <v>509.936802772554</v>
      </c>
    </row>
    <row r="22">
      <c r="A22" t="inlineStr">
        <is>
          <t>Preços 20% menores</t>
        </is>
      </c>
      <c r="B22" s="33" t="n">
        <v>23113386.2538804</v>
      </c>
      <c r="C22" s="33" t="n">
        <v>46117129.4680837</v>
      </c>
      <c r="D22" s="34" t="n">
        <v>68</v>
      </c>
      <c r="E22" s="33" t="n">
        <v>17307173.4467785</v>
      </c>
      <c r="F22" s="35" t="n">
        <v>0.573131436577361</v>
      </c>
      <c r="G22" s="36" t="n">
        <v>3.25534025931109</v>
      </c>
      <c r="H22" s="37" t="n">
        <v>12.7424268776407</v>
      </c>
      <c r="I22" s="33" t="n">
        <v>20550.3064721588</v>
      </c>
      <c r="J22" s="34" t="inlineStr">
        <is>
          <t>não chega</t>
        </is>
      </c>
      <c r="K22" s="35" t="n"/>
      <c r="L22" s="38" t="n">
        <v>509.936802772554</v>
      </c>
    </row>
    <row r="23">
      <c r="A23" t="inlineStr">
        <is>
          <t>Sem receita de expansão</t>
        </is>
      </c>
      <c r="B23" s="33" t="n">
        <v>26778325.2921602</v>
      </c>
      <c r="C23" s="33" t="n">
        <v>52232884.2464452</v>
      </c>
      <c r="D23" s="34" t="n">
        <v>55</v>
      </c>
      <c r="E23" s="33" t="n">
        <v>11499535.203299</v>
      </c>
      <c r="F23" s="35" t="n">
        <v>0.6539037792978361</v>
      </c>
      <c r="G23" s="36" t="n">
        <v>4.60018930267899</v>
      </c>
      <c r="H23" s="37" t="n">
        <v>8.908706185638851</v>
      </c>
      <c r="I23" s="33" t="n">
        <v>20550.3064721588</v>
      </c>
      <c r="J23" s="34" t="n">
        <v>82</v>
      </c>
      <c r="K23" s="35" t="n">
        <v>0.0271501695963585</v>
      </c>
      <c r="L23" s="38" t="n">
        <v>509.936802772554</v>
      </c>
    </row>
    <row r="24">
      <c r="A24" t="inlineStr">
        <is>
          <t>Sem clínicas odontológicas</t>
        </is>
      </c>
      <c r="B24" s="33" t="n">
        <v>19804376.8044947</v>
      </c>
      <c r="C24" s="33" t="n">
        <v>38811645.9815417</v>
      </c>
      <c r="D24" s="34" t="n">
        <v>63</v>
      </c>
      <c r="E24" s="33" t="n">
        <v>11507281.5816231</v>
      </c>
      <c r="F24" s="35" t="n">
        <v>0.6483644370032841</v>
      </c>
      <c r="G24" s="36" t="n">
        <v>4.41830892423462</v>
      </c>
      <c r="H24" s="37" t="n">
        <v>9.27543447021085</v>
      </c>
      <c r="I24" s="33" t="n">
        <v>21396.2630547334</v>
      </c>
      <c r="J24" s="34" t="inlineStr">
        <is>
          <t>não chega</t>
        </is>
      </c>
      <c r="K24" s="35" t="n"/>
      <c r="L24" s="38" t="n">
        <v>348.297388234406</v>
      </c>
    </row>
    <row r="25">
      <c r="A25" t="inlineStr">
        <is>
          <t>Mercado de clínicas médicas no conservador e sem odontologia</t>
        </is>
      </c>
      <c r="B25" s="33" t="n">
        <v>19804376.8044947</v>
      </c>
      <c r="C25" s="33" t="n">
        <v>38811645.9815417</v>
      </c>
      <c r="D25" s="34" t="n">
        <v>63</v>
      </c>
      <c r="E25" s="33" t="n">
        <v>11507281.5816231</v>
      </c>
      <c r="F25" s="35" t="n">
        <v>0.6483644370032841</v>
      </c>
      <c r="G25" s="36" t="n">
        <v>4.41830892423462</v>
      </c>
      <c r="H25" s="37" t="n">
        <v>9.27543447021085</v>
      </c>
      <c r="I25" s="33" t="n">
        <v>21396.2630547334</v>
      </c>
      <c r="J25" s="34" t="inlineStr">
        <is>
          <t>não chega</t>
        </is>
      </c>
      <c r="K25" s="35" t="n"/>
      <c r="L25" s="38" t="n">
        <v>348.297388234406</v>
      </c>
    </row>
    <row r="26">
      <c r="A26" t="inlineStr">
        <is>
          <t>CAC da pesquisa de clínicas (cerca de R$ 12 mil, 40% menor)</t>
        </is>
      </c>
      <c r="B26" s="33" t="n">
        <v>43247268.6944331</v>
      </c>
      <c r="C26" s="33" t="n">
        <v>86555135.35839389</v>
      </c>
      <c r="D26" s="34" t="n">
        <v>40</v>
      </c>
      <c r="E26" s="33" t="n">
        <v>6699780.00666848</v>
      </c>
      <c r="F26" s="35" t="n">
        <v>0.648320978185673</v>
      </c>
      <c r="G26" s="36" t="n">
        <v>6.81342141700235</v>
      </c>
      <c r="H26" s="37" t="n">
        <v>6.01485397536389</v>
      </c>
      <c r="I26" s="33" t="n">
        <v>13874.8646552369</v>
      </c>
      <c r="J26" s="34" t="n">
        <v>64</v>
      </c>
      <c r="K26" s="35" t="n">
        <v>0.0253126280271507</v>
      </c>
      <c r="L26" s="38" t="n">
        <v>763.396088717344</v>
      </c>
    </row>
    <row r="27">
      <c r="A27" t="inlineStr">
        <is>
          <t>Churn e CAC 50% maiores juntos</t>
        </is>
      </c>
      <c r="B27" s="33" t="n">
        <v>18076967.6460509</v>
      </c>
      <c r="C27" s="33" t="n">
        <v>33732331.5651165</v>
      </c>
      <c r="D27" s="34" t="n">
        <v>79</v>
      </c>
      <c r="E27" s="33" t="n">
        <v>20316543.1870924</v>
      </c>
      <c r="F27" s="35" t="n">
        <v>0.647585981812456</v>
      </c>
      <c r="G27" s="36" t="n">
        <v>2.30888364439855</v>
      </c>
      <c r="H27" s="37" t="n">
        <v>11.9832640500084</v>
      </c>
      <c r="I27" s="33" t="n">
        <v>27642.5940684243</v>
      </c>
      <c r="J27" s="34" t="inlineStr">
        <is>
          <t>não chega</t>
        </is>
      </c>
      <c r="K27" s="35" t="n"/>
      <c r="L27" s="38" t="n">
        <v>319.144165051841</v>
      </c>
    </row>
    <row r="28">
      <c r="A28" t="inlineStr">
        <is>
          <t>Só clínicas de 5 ou mais médicos (sem o Essencial; mercado pela metade)</t>
        </is>
      </c>
      <c r="B28" s="33" t="n">
        <v>39610067.6971686</v>
      </c>
      <c r="C28" s="33" t="n">
        <v>80113969.6041548</v>
      </c>
      <c r="D28" s="34" t="n">
        <v>41</v>
      </c>
      <c r="E28" s="33" t="n">
        <v>7382451.64329356</v>
      </c>
      <c r="F28" s="35" t="n">
        <v>0.663490951987704</v>
      </c>
      <c r="G28" s="36" t="n">
        <v>6.72148240744255</v>
      </c>
      <c r="H28" s="37" t="n">
        <v>6.59819257690646</v>
      </c>
      <c r="I28" s="33" t="n">
        <v>20475.7311444087</v>
      </c>
      <c r="J28" s="34" t="n">
        <v>67</v>
      </c>
      <c r="K28" s="35" t="n">
        <v>0.0388197066395088</v>
      </c>
      <c r="L28" s="38" t="n">
        <v>532.124638624235</v>
      </c>
    </row>
    <row r="29">
      <c r="A29" t="inlineStr">
        <is>
          <t>Só 5 ou mais médicos, com CAC 30% maior (venda mais longa)</t>
        </is>
      </c>
      <c r="B29" s="33" t="n">
        <v>32798250.2831494</v>
      </c>
      <c r="C29" s="33" t="n">
        <v>66210847.5703096</v>
      </c>
      <c r="D29" s="34" t="n">
        <v>50</v>
      </c>
      <c r="E29" s="33" t="n">
        <v>9083670.56235436</v>
      </c>
      <c r="F29" s="35" t="n">
        <v>0.663499560062997</v>
      </c>
      <c r="G29" s="36" t="n">
        <v>5.58423852024124</v>
      </c>
      <c r="H29" s="37" t="n">
        <v>7.94193069759472</v>
      </c>
      <c r="I29" s="33" t="n">
        <v>24645.6640717992</v>
      </c>
      <c r="J29" s="34" t="n">
        <v>74</v>
      </c>
      <c r="K29" s="35" t="n">
        <v>0.0389314875507955</v>
      </c>
      <c r="L29" s="38" t="n">
        <v>440.576793271047</v>
      </c>
    </row>
    <row r="31">
      <c r="A31" s="2" t="inlineStr">
        <is>
          <t>Condições mínimas: multiplicador sobre a premissa do cenário para passar no critério (uma variável por vez)</t>
        </is>
      </c>
    </row>
    <row r="32">
      <c r="A32" s="6" t="inlineStr">
        <is>
          <t>Critério e variável</t>
        </is>
      </c>
      <c r="B32" s="7" t="inlineStr">
        <is>
          <t>No cenário base</t>
        </is>
      </c>
      <c r="C32" s="7" t="inlineStr">
        <is>
          <t>No conservador</t>
        </is>
      </c>
    </row>
    <row r="33">
      <c r="A33" t="inlineStr">
        <is>
          <t>Margem de 70%: clínicas por especialista (× premissa)</t>
        </is>
      </c>
      <c r="B33" t="n">
        <v>1.44</v>
      </c>
      <c r="C33" t="inlineStr">
        <is>
          <t>não passa na grade</t>
        </is>
      </c>
    </row>
    <row r="34">
      <c r="A34" t="inlineStr">
        <is>
          <t>Margem de 70%: preços (× premissa)</t>
        </is>
      </c>
      <c r="B34" t="n">
        <v>1.2</v>
      </c>
      <c r="C34" t="inlineStr">
        <is>
          <t>não passa na grade</t>
        </is>
      </c>
    </row>
    <row r="35">
      <c r="A35" t="inlineStr">
        <is>
          <t>LTV/CAC de 3: churn máximo (× premissa)</t>
        </is>
      </c>
      <c r="B35" t="n">
        <v>1.54</v>
      </c>
      <c r="C35" t="inlineStr">
        <is>
          <t>não passa na grade</t>
        </is>
      </c>
    </row>
    <row r="36">
      <c r="A36" t="inlineStr">
        <is>
          <t>LTV/CAC de 3: CAC máximo (× premissa)</t>
        </is>
      </c>
      <c r="B36" t="n">
        <v>1.92</v>
      </c>
      <c r="C36" t="inlineStr">
        <is>
          <t>não passa na grade</t>
        </is>
      </c>
    </row>
    <row r="37">
      <c r="A37" t="inlineStr">
        <is>
          <t>Recuperação em 12 meses: CAC máximo (× premissa)</t>
        </is>
      </c>
      <c r="B37" t="n">
        <v>1.54</v>
      </c>
      <c r="C37" t="inlineStr">
        <is>
          <t>não passa na grade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Sensibilidade no cenário base (valores gerados por script)</t>
        </is>
      </c>
    </row>
    <row r="3">
      <c r="A3" s="6" t="inlineStr">
        <is>
          <t>Premissa (ordenada pelo impacto)</t>
        </is>
      </c>
      <c r="B3" s="7" t="inlineStr">
        <is>
          <t>Valor pessimista</t>
        </is>
      </c>
      <c r="C3" s="7" t="inlineStr">
        <is>
          <t>Valor otimista</t>
        </is>
      </c>
      <c r="D3" s="7" t="inlineStr">
        <is>
          <t>ARR ano 7 (pess.)</t>
        </is>
      </c>
      <c r="E3" s="7" t="inlineStr">
        <is>
          <t>ARR ano 7 (ot.)</t>
        </is>
      </c>
      <c r="F3" s="7" t="inlineStr">
        <is>
          <t>Capital (pess.)</t>
        </is>
      </c>
      <c r="G3" s="7" t="inlineStr">
        <is>
          <t>Capital (ot.)</t>
        </is>
      </c>
      <c r="H3" s="7" t="inlineStr">
        <is>
          <t>Margem ano 5 (pess. / ot.)</t>
        </is>
      </c>
      <c r="I3" s="7" t="inlineStr">
        <is>
          <t>LTV/CAC (pess. / ot.)</t>
        </is>
      </c>
    </row>
    <row r="4">
      <c r="A4" t="inlineStr">
        <is>
          <t>CAC (×1,5 a ×0,67)</t>
        </is>
      </c>
      <c r="B4" t="n">
        <v>1.5</v>
      </c>
      <c r="C4" t="n">
        <v>0.67</v>
      </c>
      <c r="D4" s="33" t="n">
        <v>43192050.0507106</v>
      </c>
      <c r="E4" s="33" t="n">
        <v>79004349.3664422</v>
      </c>
      <c r="F4" s="33" t="n">
        <v>15954066.7762607</v>
      </c>
      <c r="G4" s="33" t="n">
        <v>7471590.75038084</v>
      </c>
      <c r="H4" t="inlineStr">
        <is>
          <t>64.8% / 64.8%</t>
        </is>
      </c>
      <c r="I4" t="inlineStr">
        <is>
          <t>3.5x / 6.2x</t>
        </is>
      </c>
    </row>
    <row r="5">
      <c r="A5" t="inlineStr">
        <is>
          <t>Preços (×0,8 a ×1,2)</t>
        </is>
      </c>
      <c r="B5" t="n">
        <v>0.8</v>
      </c>
      <c r="C5" t="n">
        <v>1.2</v>
      </c>
      <c r="D5" s="33" t="n">
        <v>46117129.4680837</v>
      </c>
      <c r="E5" s="33" t="n">
        <v>69175694.20212559</v>
      </c>
      <c r="F5" s="33" t="n">
        <v>17307173.4467785</v>
      </c>
      <c r="G5" s="33" t="n">
        <v>8031472.48830144</v>
      </c>
      <c r="H5" t="inlineStr">
        <is>
          <t>57.3% / 70.0%</t>
        </is>
      </c>
      <c r="I5" t="inlineStr">
        <is>
          <t>3.3x / 5.9x</t>
        </is>
      </c>
    </row>
    <row r="6">
      <c r="A6" t="inlineStr">
        <is>
          <t>Churn (todos os planos, ×0,67 a ×1,5)</t>
        </is>
      </c>
      <c r="B6" t="n">
        <v>1.5</v>
      </c>
      <c r="C6" t="n">
        <v>0.67</v>
      </c>
      <c r="D6" s="33" t="n">
        <v>45040122.4756843</v>
      </c>
      <c r="E6" s="33" t="n">
        <v>69421966.2335908</v>
      </c>
      <c r="F6" s="33" t="n">
        <v>12776473.3373735</v>
      </c>
      <c r="G6" s="33" t="n">
        <v>9739943.389436761</v>
      </c>
      <c r="H6" t="inlineStr">
        <is>
          <t>64.8% / 64.9%</t>
        </is>
      </c>
      <c r="I6" t="inlineStr">
        <is>
          <t>3.1x / 6.9x</t>
        </is>
      </c>
    </row>
    <row r="7">
      <c r="A7" t="inlineStr">
        <is>
          <t>Clínicas por especialista (×0,67 a ×1,5)</t>
        </is>
      </c>
      <c r="B7" t="n">
        <v>0.67</v>
      </c>
      <c r="C7" t="n">
        <v>1.5</v>
      </c>
      <c r="D7" s="33" t="n">
        <v>57646411.8351047</v>
      </c>
      <c r="E7" s="33" t="n">
        <v>57646411.8351047</v>
      </c>
      <c r="F7" s="33" t="n">
        <v>13187198.5854637</v>
      </c>
      <c r="G7" s="33" t="n">
        <v>9552031.580445319</v>
      </c>
      <c r="H7" t="inlineStr">
        <is>
          <t>56.4% / 70.5%</t>
        </is>
      </c>
      <c r="I7" t="inlineStr">
        <is>
          <t>4.0x / 5.0x</t>
        </is>
      </c>
    </row>
    <row r="8">
      <c r="A8" t="inlineStr">
        <is>
          <t>Receita de expansão (0% a 1% ao mês)</t>
        </is>
      </c>
      <c r="B8" t="n">
        <v>0</v>
      </c>
      <c r="C8" t="n">
        <v>0.01</v>
      </c>
      <c r="D8" s="33" t="n">
        <v>52232884.2464452</v>
      </c>
      <c r="E8" s="33" t="n">
        <v>61255430.2275443</v>
      </c>
      <c r="F8" s="33" t="n">
        <v>11499535.203299</v>
      </c>
      <c r="G8" s="33" t="n">
        <v>10425253.5068211</v>
      </c>
      <c r="H8" t="inlineStr">
        <is>
          <t>65.4% / 64.5%</t>
        </is>
      </c>
      <c r="I8" t="inlineStr">
        <is>
          <t>4.6x / 4.6x</t>
        </is>
      </c>
    </row>
    <row r="9">
      <c r="A9" t="inlineStr">
        <is>
          <t>Indicação (0,4% a 1,2% da base por mês)</t>
        </is>
      </c>
      <c r="B9" t="n">
        <v>0.004</v>
      </c>
      <c r="C9" t="n">
        <v>0.012</v>
      </c>
      <c r="D9" s="33" t="n">
        <v>53484425.1617666</v>
      </c>
      <c r="E9" s="33" t="n">
        <v>62362360.8589538</v>
      </c>
      <c r="F9" s="33" t="n">
        <v>11323902.5094469</v>
      </c>
      <c r="G9" s="33" t="n">
        <v>10355817.9815544</v>
      </c>
      <c r="H9" t="inlineStr">
        <is>
          <t>64.8% / 64.8%</t>
        </is>
      </c>
      <c r="I9" t="inlineStr">
        <is>
          <t>4.4x / 4.8x</t>
        </is>
      </c>
    </row>
    <row r="10">
      <c r="A10" t="inlineStr">
        <is>
          <t>Custo do especialista (R$ 14 mil a R$ 10 mil)</t>
        </is>
      </c>
      <c r="B10" t="n">
        <v>14000</v>
      </c>
      <c r="C10" t="n">
        <v>10000</v>
      </c>
      <c r="D10" s="33" t="n">
        <v>57646411.8351047</v>
      </c>
      <c r="E10" s="33" t="n">
        <v>57646411.8351047</v>
      </c>
      <c r="F10" s="33" t="n">
        <v>11564803.9296871</v>
      </c>
      <c r="G10" s="33" t="n">
        <v>10153543.6738926</v>
      </c>
      <c r="H10" t="inlineStr">
        <is>
          <t>62.0% / 67.7%</t>
        </is>
      </c>
      <c r="I10" t="inlineStr">
        <is>
          <t>4.4x / 4.8x</t>
        </is>
      </c>
    </row>
    <row r="11">
      <c r="A11" t="inlineStr">
        <is>
          <t>Custo de implantação (R$ 3.000 a R$ 1.000)</t>
        </is>
      </c>
      <c r="B11" t="n">
        <v>3000</v>
      </c>
      <c r="C11" t="n">
        <v>1000</v>
      </c>
      <c r="D11" s="33" t="n">
        <v>57646411.8351047</v>
      </c>
      <c r="E11" s="33" t="n">
        <v>57646411.8351047</v>
      </c>
      <c r="F11" s="33" t="n">
        <v>11505789.5360424</v>
      </c>
      <c r="G11" s="33" t="n">
        <v>10402974.1929136</v>
      </c>
      <c r="H11" t="inlineStr">
        <is>
          <t>62.9% / 66.1%</t>
        </is>
      </c>
      <c r="I11" t="inlineStr">
        <is>
          <t>4.5x / 4.6x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2026-10-20T17:07:29Z</dcterms:created>
  <dcterms:modified xmlns:dcterms="http://purl.org/dc/terms/" xmlns:xsi="http://www.w3.org/2001/XMLSchema-instance" xsi:type="dcterms:W3CDTF">2026-10-20T17:07:29Z</dcterms:modified>
</cp:coreProperties>
</file>