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Resumo" sheetId="2" state="visible" r:id="rId4"/>
    <sheet name="Unit_Economics" sheetId="3" state="visible" r:id="rId5"/>
    <sheet name="Mercado" sheetId="4" state="visible" r:id="rId6"/>
    <sheet name="Modelo_Conservador" sheetId="5" state="visible" r:id="rId7"/>
    <sheet name="Modelo_Base" sheetId="6" state="visible" r:id="rId8"/>
    <sheet name="Modelo_Otimista" sheetId="7" state="visible" r:id="rId9"/>
    <sheet name="Fontes_e_Nota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<sst xmlns="http://schemas.openxmlformats.org/spreadsheetml/2006/main" count="464" uniqueCount="280">
  <si>
    <t xml:space="preserve">Jalecon: premissas do modelo financeiro</t>
  </si>
  <si>
    <t xml:space="preserve">Legenda: texto azul = premissa editável · preto = fórmula · verde = vínculo com outra aba · fundo amarelo = premissa-chave a validar. Valores em R$ nominais, mês 1 = jan/2027.</t>
  </si>
  <si>
    <t xml:space="preserve">Geral</t>
  </si>
  <si>
    <t xml:space="preserve">Câmbio (R$ por US$)</t>
  </si>
  <si>
    <t xml:space="preserve">Premissa do grupo; ajustar à cotação do dia da banca.</t>
  </si>
  <si>
    <t xml:space="preserve">Carga tributária no Simples Nacional (% da receita)</t>
  </si>
  <si>
    <t xml:space="preserve">Alíquota efetiva média estimada para SaaS no Anexo III/V; confirmar com contador.</t>
  </si>
  <si>
    <t xml:space="preserve">Carga tributária após sair do Simples (% da receita)</t>
  </si>
  <si>
    <t xml:space="preserve">Aproximação de Lucro Presumido (PIS/COFINS 3,65% + ISS ~2,9% + IRPJ/CSLL presumidos ~9,8%); confirmar com contador.</t>
  </si>
  <si>
    <t xml:space="preserve">Limite anual do Simples Nacional (R$)</t>
  </si>
  <si>
    <t xml:space="preserve">Lei Complementar 123/2006.</t>
  </si>
  <si>
    <t xml:space="preserve">Taxa de meio de pagamento (% da receita)</t>
  </si>
  <si>
    <t xml:space="preserve">Média de gateways de cartão/Pix recorrente.</t>
  </si>
  <si>
    <t xml:space="preserve">Encargos e benefícios CLT (% do salário)</t>
  </si>
  <si>
    <t xml:space="preserve">Média de mercado para CLT no Brasil.</t>
  </si>
  <si>
    <t xml:space="preserve">Encargos sobre pró-labore (% do pró-labore)</t>
  </si>
  <si>
    <t xml:space="preserve">INSS patronal no pró-labore (fora do Simples Anexo III).</t>
  </si>
  <si>
    <t xml:space="preserve">% de clientes no plano anual</t>
  </si>
  <si>
    <t xml:space="preserve">Premissa; validar na pré-venda.</t>
  </si>
  <si>
    <t xml:space="preserve">Desconto do plano anual</t>
  </si>
  <si>
    <t xml:space="preserve">Premissa de política comercial.</t>
  </si>
  <si>
    <t xml:space="preserve">Aporte pré-seed no mês 1 (R$)</t>
  </si>
  <si>
    <t xml:space="preserve">Valor a decidir após o modelo; ver aba Resumo (necessidade de caixa).</t>
  </si>
  <si>
    <t xml:space="preserve">Planos</t>
  </si>
  <si>
    <t xml:space="preserve">Item</t>
  </si>
  <si>
    <t xml:space="preserve">Essencial</t>
  </si>
  <si>
    <t xml:space="preserve">Consultório</t>
  </si>
  <si>
    <t xml:space="preserve">Autoridade</t>
  </si>
  <si>
    <t xml:space="preserve">Clínica</t>
  </si>
  <si>
    <t xml:space="preserve">Nota</t>
  </si>
  <si>
    <t xml:space="preserve">Preço mensal (R$)</t>
  </si>
  <si>
    <t xml:space="preserve">Ancorado entre geradores de post (R$ 50 a 600) e agências (R$ 1,5 mil a 12 mil). Validar com Van Westendorp.</t>
  </si>
  <si>
    <t xml:space="preserve">Taxa de implantação média por novo cliente (R$)</t>
  </si>
  <si>
    <t xml:space="preserve">Marca + site + diagnóstico completo; isenta no plano anual (já refletido na média).</t>
  </si>
  <si>
    <t xml:space="preserve">Churn mensal no ano 1 (cenário base)</t>
  </si>
  <si>
    <t xml:space="preserve">SaaS para pequenos negócios tem mediana perto de 3,5%/mês; planos maiores retêm mais.</t>
  </si>
  <si>
    <t xml:space="preserve">Custo de IA por conta/mês (US$)</t>
  </si>
  <si>
    <t xml:space="preserve">Estimativa: ~0,6 a 1,5 milhão de tokens/mês por conta com Claude Sonnet 5.5 (US$ 2/10 por milhão) e cache; inclui imagens.</t>
  </si>
  <si>
    <t xml:space="preserve">Infra, APIs e hospedagem por conta/mês (R$)</t>
  </si>
  <si>
    <t xml:space="preserve">Hospedagem de site, banco de dados, APIs de publicação e WhatsApp.</t>
  </si>
  <si>
    <t xml:space="preserve">Contas por gestor de conta humano</t>
  </si>
  <si>
    <t xml:space="preserve">Só planos com revisão humana dedicada. 0 = sem gestor.</t>
  </si>
  <si>
    <t xml:space="preserve">Salário mensal do gestor de conta (R$)</t>
  </si>
  <si>
    <t xml:space="preserve">Melhoria anual do churn (redução relativa por ano)</t>
  </si>
  <si>
    <t xml:space="preserve">Produto e sucesso do cliente amadurecem; aplicado a partir do ano 2.</t>
  </si>
  <si>
    <t xml:space="preserve">Mix de novos clientes por plano</t>
  </si>
  <si>
    <t xml:space="preserve">Ano</t>
  </si>
  <si>
    <t xml:space="preserve">Soma</t>
  </si>
  <si>
    <t xml:space="preserve">Ano 1</t>
  </si>
  <si>
    <t xml:space="preserve">Ano 2</t>
  </si>
  <si>
    <t xml:space="preserve">Ano 3</t>
  </si>
  <si>
    <t xml:space="preserve">Ano 4</t>
  </si>
  <si>
    <t xml:space="preserve">Ano 5</t>
  </si>
  <si>
    <t xml:space="preserve">Aquisição e receitas adicionais (cenário base)</t>
  </si>
  <si>
    <t xml:space="preserve">Mídia paga e inbound: orçamento mensal (R$)</t>
  </si>
  <si>
    <t xml:space="preserve">Meta, Google, conteúdo, ferramentas de captação.</t>
  </si>
  <si>
    <t xml:space="preserve">Parcerias: novos clientes por mês</t>
  </si>
  <si>
    <t xml:space="preserve">Residências, sociedades de especialidade, contadores médicos, coworkings de consultório.</t>
  </si>
  <si>
    <t xml:space="preserve">Serviços adicionais (% da receita recorrente)</t>
  </si>
  <si>
    <t xml:space="preserve">Check-up de conformidade avulso, gestão de tráfego, ensaio de fotos (comissão), domínio.</t>
  </si>
  <si>
    <t xml:space="preserve">CAC de mídia paga no ano 1 (R$ por cliente)</t>
  </si>
  <si>
    <t xml:space="preserve">Premissa-chave: SaaS para pequenos negócios com venda assistida. Validar com testes de campanha.</t>
  </si>
  <si>
    <t xml:space="preserve">Queda anual do CAC (marca, indicação, conteúdo)</t>
  </si>
  <si>
    <t xml:space="preserve">CAC de mídia paga por ano (R$)</t>
  </si>
  <si>
    <t xml:space="preserve">Indicação: novos clientes por mês (% da base ativa)</t>
  </si>
  <si>
    <t xml:space="preserve">Cenários</t>
  </si>
  <si>
    <t xml:space="preserve">Alavanca</t>
  </si>
  <si>
    <t xml:space="preserve">Conservador</t>
  </si>
  <si>
    <t xml:space="preserve">Base</t>
  </si>
  <si>
    <t xml:space="preserve">Otimista</t>
  </si>
  <si>
    <t xml:space="preserve">Multiplicador do CAC</t>
  </si>
  <si>
    <t xml:space="preserve">CAC 30% maior no conservador, 20% menor no otimista.</t>
  </si>
  <si>
    <t xml:space="preserve">Multiplicador do churn</t>
  </si>
  <si>
    <t xml:space="preserve">Multiplicador de parcerias e indicação</t>
  </si>
  <si>
    <t xml:space="preserve">Multiplicador de serviços adicionais</t>
  </si>
  <si>
    <t xml:space="preserve">Multiplicador do orçamento de mídia</t>
  </si>
  <si>
    <t xml:space="preserve">No conservador a empresa gasta menos por ter menos caixa.</t>
  </si>
  <si>
    <t xml:space="preserve">Rodada seed (R$)</t>
  </si>
  <si>
    <t xml:space="preserve">Premissa de captação futura; não é compromisso.</t>
  </si>
  <si>
    <t xml:space="preserve">Mês da rodada seed</t>
  </si>
  <si>
    <t xml:space="preserve">Equipe (custo mensal por pessoa e quadro por ano)</t>
  </si>
  <si>
    <t xml:space="preserve">Função</t>
  </si>
  <si>
    <t xml:space="preserve">Salário (R$)</t>
  </si>
  <si>
    <t xml:space="preserve">Encargos</t>
  </si>
  <si>
    <t xml:space="preserve">Engenharia de software</t>
  </si>
  <si>
    <t xml:space="preserve">Plataforma, integrações (Meta, Google, WhatsApp, agendas).</t>
  </si>
  <si>
    <t xml:space="preserve">Engenharia de IA e dados</t>
  </si>
  <si>
    <t xml:space="preserve">Agentes, Guardião, avaliação de qualidade, dados de conversão.</t>
  </si>
  <si>
    <t xml:space="preserve">Produto e design</t>
  </si>
  <si>
    <t xml:space="preserve">Ano 1: designer de produto; gestão de produto com a fundadora (Mariana).</t>
  </si>
  <si>
    <t xml:space="preserve">Marketing e growth</t>
  </si>
  <si>
    <t xml:space="preserve">Ano 1 conduzido pelo fundador de marketing (Vitor).</t>
  </si>
  <si>
    <t xml:space="preserve">Vendas (inside sales)</t>
  </si>
  <si>
    <t xml:space="preserve">Salário fixo; comissão incluída no CAC.</t>
  </si>
  <si>
    <t xml:space="preserve">Sucesso do cliente e suporte</t>
  </si>
  <si>
    <t xml:space="preserve">Onboarding e suporte geral (gestores de conta dedicados estão no custo do serviço).</t>
  </si>
  <si>
    <t xml:space="preserve">Médicos revisores de conteúdo (PJ)</t>
  </si>
  <si>
    <t xml:space="preserve">Revisão científica por especialidade.</t>
  </si>
  <si>
    <t xml:space="preserve">Financeiro e administrativo</t>
  </si>
  <si>
    <t xml:space="preserve">Fundadores (quantidade)</t>
  </si>
  <si>
    <t xml:space="preserve">Mariana, Vitor, Fabiana, Manuella e Alessandra em tempo integral; Daniela como estagiária/part-time a definir.</t>
  </si>
  <si>
    <t xml:space="preserve">Pró-labore mensal por fundador (R$)</t>
  </si>
  <si>
    <t xml:space="preserve">Baixo no ano 1 para preservar caixa; sobe com a receita.</t>
  </si>
  <si>
    <t xml:space="preserve">Custo mensal total de pessoal (R$)</t>
  </si>
  <si>
    <t xml:space="preserve">Quadro total (pessoas, sem gestores de conta)</t>
  </si>
  <si>
    <t xml:space="preserve">Outras despesas mensais (R$)</t>
  </si>
  <si>
    <t xml:space="preserve">Jurídico e curadoria normativa (advogado de direito médico)</t>
  </si>
  <si>
    <t xml:space="preserve">Mantém a biblioteca do Guardião atualizada.</t>
  </si>
  <si>
    <t xml:space="preserve">Marca: eventos, congressos e conteúdo institucional</t>
  </si>
  <si>
    <t xml:space="preserve">Ferramentas e software internos</t>
  </si>
  <si>
    <t xml:space="preserve">Escritório / coworking</t>
  </si>
  <si>
    <t xml:space="preserve">Contabilidade, seguros e outras despesas</t>
  </si>
  <si>
    <t xml:space="preserve">Jalecon: resumo anual e comparação de cenários</t>
  </si>
  <si>
    <t xml:space="preserve">Todos os valores vêm das abas Modelo_*. Para mudar premissas, edite a aba Premissas.</t>
  </si>
  <si>
    <t xml:space="preserve">DRE anual: cenário base (R$)</t>
  </si>
  <si>
    <t xml:space="preserve">Linha</t>
  </si>
  <si>
    <t xml:space="preserve">Ano 1 (2027)</t>
  </si>
  <si>
    <t xml:space="preserve">Ano 2 (2028)</t>
  </si>
  <si>
    <t xml:space="preserve">Ano 3 (2029)</t>
  </si>
  <si>
    <t xml:space="preserve">Ano 4 (2030)</t>
  </si>
  <si>
    <t xml:space="preserve">Ano 5 (2031)</t>
  </si>
  <si>
    <t xml:space="preserve">Clientes ativos no fim do ano</t>
  </si>
  <si>
    <t xml:space="preserve">ARR no fim do ano</t>
  </si>
  <si>
    <t xml:space="preserve">Receita recorrente</t>
  </si>
  <si>
    <t xml:space="preserve">Taxas de implantação</t>
  </si>
  <si>
    <t xml:space="preserve">Serviços adicionais</t>
  </si>
  <si>
    <t xml:space="preserve">Receita bruta</t>
  </si>
  <si>
    <t xml:space="preserve">(-) Impostos</t>
  </si>
  <si>
    <t xml:space="preserve">Receita líquida</t>
  </si>
  <si>
    <t xml:space="preserve">(-) Custo do serviço</t>
  </si>
  <si>
    <t xml:space="preserve">Lucro bruto</t>
  </si>
  <si>
    <t xml:space="preserve">Margem bruta</t>
  </si>
  <si>
    <t xml:space="preserve">(-) Pessoal</t>
  </si>
  <si>
    <t xml:space="preserve">(-) Mídia, comissões e marca</t>
  </si>
  <si>
    <t xml:space="preserve">(-) Demais despesas</t>
  </si>
  <si>
    <t xml:space="preserve">EBITDA</t>
  </si>
  <si>
    <t xml:space="preserve">Margem EBITDA</t>
  </si>
  <si>
    <t xml:space="preserve">Caixa no fim do ano</t>
  </si>
  <si>
    <t xml:space="preserve">Quadro de pessoas (sem gestores de conta)</t>
  </si>
  <si>
    <t xml:space="preserve">Comparação de cenários</t>
  </si>
  <si>
    <t xml:space="preserve">Indicador</t>
  </si>
  <si>
    <t xml:space="preserve">Clientes ativos no fim do ano 3</t>
  </si>
  <si>
    <t xml:space="preserve">Clientes ativos no fim do ano 5</t>
  </si>
  <si>
    <t xml:space="preserve">ARR no fim do ano 3 (R$)</t>
  </si>
  <si>
    <t xml:space="preserve">ARR no fim do ano 5 (R$)</t>
  </si>
  <si>
    <t xml:space="preserve">Receita bruta do ano 5 (R$)</t>
  </si>
  <si>
    <t xml:space="preserve">EBITDA do ano 5 (R$)</t>
  </si>
  <si>
    <t xml:space="preserve">Mês do equilíbrio (EBITDA positivo daí em diante)</t>
  </si>
  <si>
    <t xml:space="preserve">Menor saldo de caixa no período (R$)</t>
  </si>
  <si>
    <t xml:space="preserve">Total captado no período (R$)</t>
  </si>
  <si>
    <t xml:space="preserve">Leitura: 999 em 'mês do equilíbrio' significa que o cenário não chega ao equilíbrio em 60 meses. Caixa negativo indica necessidade de captação adicional.</t>
  </si>
  <si>
    <t xml:space="preserve">Necessidade de caixa antes da rodada seed (cenário base)</t>
  </si>
  <si>
    <t xml:space="preserve">Queima acumulada até o mês anterior ao seed (R$)</t>
  </si>
  <si>
    <t xml:space="preserve">Reserva de segurança (meses de queima média)</t>
  </si>
  <si>
    <t xml:space="preserve">Pré-seed recomendado (R$)</t>
  </si>
  <si>
    <t xml:space="preserve">Cobre a queima até o seed mais a reserva, arredondado para R$ 100 mil.</t>
  </si>
  <si>
    <t xml:space="preserve">Clientes ativos no fim de cada ano por cenário (dados do gráfico)</t>
  </si>
  <si>
    <t xml:space="preserve">Receita bruta e EBITDA por ano (cenário base, dados do gráfico)</t>
  </si>
  <si>
    <t xml:space="preserve">Jalecon: economia por cliente (cenário base, ano 1)</t>
  </si>
  <si>
    <t xml:space="preserve">Margem de contribuição por conta e retorno do custo de aquisição.</t>
  </si>
  <si>
    <t xml:space="preserve">Preço efetivo mensal (R$, após desconto anual)</t>
  </si>
  <si>
    <t xml:space="preserve">(-) Impostos (Simples)</t>
  </si>
  <si>
    <t xml:space="preserve">(-) IA</t>
  </si>
  <si>
    <t xml:space="preserve">(-) Infra e APIs</t>
  </si>
  <si>
    <t xml:space="preserve">(-) Gestor de conta (rateio)</t>
  </si>
  <si>
    <t xml:space="preserve">(-) Meio de pagamento</t>
  </si>
  <si>
    <t xml:space="preserve">Margem de contribuição mensal (R$)</t>
  </si>
  <si>
    <t xml:space="preserve">Margem de contribuição (%)</t>
  </si>
  <si>
    <t xml:space="preserve">Churn mensal (ano 1, base)</t>
  </si>
  <si>
    <t xml:space="preserve">Vida média do cliente (meses)</t>
  </si>
  <si>
    <t xml:space="preserve">LTV: margem acumulada na vida do cliente (R$)</t>
  </si>
  <si>
    <t xml:space="preserve">CAC de mídia paga, ano 1 (R$)</t>
  </si>
  <si>
    <t xml:space="preserve">LTV / CAC</t>
  </si>
  <si>
    <t xml:space="preserve">Payback do CAC (meses)</t>
  </si>
  <si>
    <t xml:space="preserve">Referência de mercado: LTV/CAC acima de 3x e payback abaixo de 12 meses são considerados saudáveis para SaaS.</t>
  </si>
  <si>
    <t xml:space="preserve">Jalecon: tamanho de mercado (TAM, SAM, SOM)</t>
  </si>
  <si>
    <t xml:space="preserve">Valor</t>
  </si>
  <si>
    <t xml:space="preserve">Fonte / nota</t>
  </si>
  <si>
    <t xml:space="preserve">Médicos em atividade no Brasil (projeção 2025)</t>
  </si>
  <si>
    <t xml:space="preserve">Demografia Médica no Brasil 2025 (FMUSP, AMB, Ministério da Saúde).</t>
  </si>
  <si>
    <t xml:space="preserve">% de médicos sem contrato formal (atuação autônoma/PJ)</t>
  </si>
  <si>
    <t xml:space="preserve">Demografia Médica 2025: subiu de 30% (2015) para 48% (2025).</t>
  </si>
  <si>
    <t xml:space="preserve">% dos especialistas no Sudeste</t>
  </si>
  <si>
    <t xml:space="preserve">Demografia Médica 2025.</t>
  </si>
  <si>
    <t xml:space="preserve">Receita anual média por conta (R$)</t>
  </si>
  <si>
    <t xml:space="preserve">Plano Consultório + serviços adicionais do ano 3.</t>
  </si>
  <si>
    <t xml:space="preserve">TAM: todos os médicos × receita anual por conta (R$)</t>
  </si>
  <si>
    <t xml:space="preserve">Mercado total se todo médico assinasse.</t>
  </si>
  <si>
    <t xml:space="preserve">SAM: médicos autônomos/PJ (quantidade)</t>
  </si>
  <si>
    <t xml:space="preserve">Quem precisa gerar a própria demanda.</t>
  </si>
  <si>
    <t xml:space="preserve">SAM (R$ por ano)</t>
  </si>
  <si>
    <t xml:space="preserve">SOM ano 5: clientes do cenário base</t>
  </si>
  <si>
    <t xml:space="preserve">Calculado pelo modelo.</t>
  </si>
  <si>
    <t xml:space="preserve">SOM como % do SAM</t>
  </si>
  <si>
    <t xml:space="preserve">SOM (ARR do ano 5, cenário base, R$)</t>
  </si>
  <si>
    <t xml:space="preserve">Primeiro segmento: autônomos no Sudeste (quantidade, aproximação)</t>
  </si>
  <si>
    <t xml:space="preserve">Aproximação usando a participação do Sudeste nos especialistas.</t>
  </si>
  <si>
    <t xml:space="preserve">Expansão: outras profissões de saúde (estimativas a confirmar nos conselhos)</t>
  </si>
  <si>
    <t xml:space="preserve">Cirurgiões-dentistas</t>
  </si>
  <si>
    <t xml:space="preserve">Estimativa; confirmar no painel do CFO.</t>
  </si>
  <si>
    <t xml:space="preserve">Psicólogos</t>
  </si>
  <si>
    <t xml:space="preserve">Estimativa; confirmar no CFP.</t>
  </si>
  <si>
    <t xml:space="preserve">Nutricionistas</t>
  </si>
  <si>
    <t xml:space="preserve">Estimativa; o CFN cita 'mais de 110 mil' em nota antiga.</t>
  </si>
  <si>
    <t xml:space="preserve">Fisioterapeutas</t>
  </si>
  <si>
    <t xml:space="preserve">Estimativa; confirmar no COFFITO.</t>
  </si>
  <si>
    <t xml:space="preserve">Profissionais na expansão (total)</t>
  </si>
  <si>
    <t xml:space="preserve">TAM ampliado (médicos + expansão, R$ por ano)</t>
  </si>
  <si>
    <t xml:space="preserve">Jalecon: projeção mensal, cenário conservador</t>
  </si>
  <si>
    <t xml:space="preserve">Cenário (1 = conservador, 2 = base, 3 = otimista)</t>
  </si>
  <si>
    <t xml:space="preserve">Mês</t>
  </si>
  <si>
    <t xml:space="preserve">Aquisição</t>
  </si>
  <si>
    <t xml:space="preserve">Orçamento de mídia paga (R$)</t>
  </si>
  <si>
    <t xml:space="preserve">CAC de mídia paga (R$)</t>
  </si>
  <si>
    <t xml:space="preserve">Novos clientes: mídia paga</t>
  </si>
  <si>
    <t xml:space="preserve">Novos clientes: parcerias</t>
  </si>
  <si>
    <t xml:space="preserve">Novos clientes: indicação</t>
  </si>
  <si>
    <t xml:space="preserve">Novos clientes: total</t>
  </si>
  <si>
    <t xml:space="preserve">Clientes por plano</t>
  </si>
  <si>
    <t xml:space="preserve">Novos: Essencial</t>
  </si>
  <si>
    <t xml:space="preserve">Novos: Consultório</t>
  </si>
  <si>
    <t xml:space="preserve">Novos: Autoridade</t>
  </si>
  <si>
    <t xml:space="preserve">Novos: Clínica</t>
  </si>
  <si>
    <t xml:space="preserve">Cancelamentos: Essencial</t>
  </si>
  <si>
    <t xml:space="preserve">Cancelamentos: Consultório</t>
  </si>
  <si>
    <t xml:space="preserve">Cancelamentos: Autoridade</t>
  </si>
  <si>
    <t xml:space="preserve">Cancelamentos: Clínica</t>
  </si>
  <si>
    <t xml:space="preserve">Ativos: Essencial</t>
  </si>
  <si>
    <t xml:space="preserve">Ativos: Consultório</t>
  </si>
  <si>
    <t xml:space="preserve">Ativos: Autoridade</t>
  </si>
  <si>
    <t xml:space="preserve">Ativos: Clínica</t>
  </si>
  <si>
    <t xml:space="preserve">Clientes ativos: total</t>
  </si>
  <si>
    <t xml:space="preserve">Receita (R$)</t>
  </si>
  <si>
    <t xml:space="preserve">Receita recorrente: Essencial</t>
  </si>
  <si>
    <t xml:space="preserve">Receita recorrente: Consultório</t>
  </si>
  <si>
    <t xml:space="preserve">Receita recorrente: Autoridade</t>
  </si>
  <si>
    <t xml:space="preserve">Receita recorrente: Clínica</t>
  </si>
  <si>
    <t xml:space="preserve">Receita recorrente mensal (MRR)</t>
  </si>
  <si>
    <t xml:space="preserve">(-) Impostos sobre receita</t>
  </si>
  <si>
    <t xml:space="preserve">Custo do serviço (R$)</t>
  </si>
  <si>
    <t xml:space="preserve">IA (modelos de linguagem e imagem)</t>
  </si>
  <si>
    <t xml:space="preserve">Infraestrutura e APIs</t>
  </si>
  <si>
    <t xml:space="preserve">Gestores de conta (revisão humana)</t>
  </si>
  <si>
    <t xml:space="preserve">Meio de pagamento</t>
  </si>
  <si>
    <t xml:space="preserve">Custo do serviço total</t>
  </si>
  <si>
    <t xml:space="preserve">Margem bruta (% da receita líquida)</t>
  </si>
  <si>
    <t xml:space="preserve">Despesas operacionais (R$)</t>
  </si>
  <si>
    <t xml:space="preserve">Pessoal</t>
  </si>
  <si>
    <t xml:space="preserve">Mídia paga e inbound</t>
  </si>
  <si>
    <t xml:space="preserve">Comissões de vendas (10% do primeiro mês dos novos)</t>
  </si>
  <si>
    <t xml:space="preserve">Jurídico e curadoria normativa</t>
  </si>
  <si>
    <t xml:space="preserve">Marca: eventos e congressos</t>
  </si>
  <si>
    <t xml:space="preserve">Ferramentas internas</t>
  </si>
  <si>
    <t xml:space="preserve">Escritório</t>
  </si>
  <si>
    <t xml:space="preserve">Contabilidade, seguros e outros</t>
  </si>
  <si>
    <t xml:space="preserve">Despesas operacionais totais</t>
  </si>
  <si>
    <t xml:space="preserve">Margem EBITDA (% da receita líquida)</t>
  </si>
  <si>
    <t xml:space="preserve">Caixa (R$)</t>
  </si>
  <si>
    <t xml:space="preserve">Aportes de capital</t>
  </si>
  <si>
    <t xml:space="preserve">Saldo de caixa no fim do mês</t>
  </si>
  <si>
    <t xml:space="preserve">Indicadores</t>
  </si>
  <si>
    <t xml:space="preserve">ARR (MRR × 12)</t>
  </si>
  <si>
    <t xml:space="preserve">Receita recorrente média por cliente (ARPA)</t>
  </si>
  <si>
    <t xml:space="preserve">Churn mensal total (% da base do mês anterior)</t>
  </si>
  <si>
    <t xml:space="preserve">Mês com EBITDA positivo daí em diante (auxiliar)</t>
  </si>
  <si>
    <t xml:space="preserve">Jalecon: projeção mensal, cenário base</t>
  </si>
  <si>
    <t xml:space="preserve">Jalecon: projeção mensal, cenário otimista</t>
  </si>
  <si>
    <t xml:space="preserve">Fontes de mercado</t>
  </si>
  <si>
    <t xml:space="preserve">Demografia Médica no Brasil 2025 (FMUSP, AMB, Ministério da Saúde): https://www.medway.com.br/conteudos/demografia-medica-no-brasil-2025-veja-os-principais-dados-do-novo-levantamento/</t>
  </si>
  <si>
    <t xml:space="preserve">Vínculos sem contrato formal 30% → 48%: https://www.medway.com.br/conteudos/como-esta-o-mercado-e-a-remuneracao-na-medicina/</t>
  </si>
  <si>
    <t xml:space="preserve">Preços de agências de marketing em saúde: https://farmacerto.com/quanto-custa-marketing-saude-brasil/ ; https://plusbusiness.com.br/blog/quanto-custa-agencia-de-marketing-digital/</t>
  </si>
  <si>
    <t xml:space="preserve">Preços de geradores de conteúdo médico com IA: https://www.pulmo.com.br/ ; https://instamed.temfavo.com/ ; https://www.doutorconteudo.com.br/ ; https://medcontent-ai.vercel.app/</t>
  </si>
  <si>
    <t xml:space="preserve">Preços de modelos de IA (Claude Sonnet 5.5: US$ 2 / US$ 10 por milhão de tokens de entrada/saída; Haiku 5.5: US$ 0,10 / 0,50; Batch com 50% de desconto): documentação da Anthropic, outubro/2026.</t>
  </si>
  <si>
    <t xml:space="preserve">Notas de método</t>
  </si>
  <si>
    <t xml:space="preserve">1. Clientes são calculados como valores esperados (podem ser fracionados); a exibição arredonda.</t>
  </si>
  <si>
    <t xml:space="preserve">2. Fluxo de caixa = EBITDA + aportes. Não considera capital de giro, capex relevante nem IR/CSLL além do que está na carga sobre receita.</t>
  </si>
  <si>
    <t xml:space="preserve">3. A troca de regime tributário usa a receita do ano anterior contra o limite do Simples.</t>
  </si>
  <si>
    <t xml:space="preserve">4. CAC de mídia paga inclui mídia e ferramentas de captação; comissões de vendas estão em linha própria; parcerias e indicação não têm CAC de mídia.</t>
  </si>
  <si>
    <t xml:space="preserve">5. Cenários alteram CAC, churn, parcerias/indicação, serviços adicionais, orçamento de mídia e a rodada seed. Todas as outras premissas são iguais.</t>
  </si>
  <si>
    <t xml:space="preserve">6. Tudo o que está em azul é premissa e deve ser revisado após as entrevistas de validação (Kit de Validação, documento 06).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</si>
</sst>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%;\(0.0%\);\-"/>
    <numFmt numFmtId="167" formatCode="&quot;R$ &quot;#,##0;&quot;(R$ &quot;#,##0\);\-"/>
    <numFmt numFmtId="168" formatCode="#,##0;\(#,##0\);\-"/>
    <numFmt numFmtId="169" formatCode="0.0\x"/>
    <numFmt numFmtId="170" formatCode="#,##0.0;\(#,##0.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44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4A4F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00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9EB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2440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C5A36"/>
      <rgbColor rgb="FFFFFFCC"/>
      <rgbColor rgb="FFE9EBF2"/>
      <rgbColor rgb="FF660066"/>
      <rgbColor rgb="FFE8A27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4F6E"/>
      <rgbColor rgb="FF969696"/>
      <rgbColor rgb="FF003366"/>
      <rgbColor rgb="FF3F6B57"/>
      <rgbColor rgb="FF003300"/>
      <rgbColor rgb="FF333300"/>
      <rgbColor rgb="FF993300"/>
      <rgbColor rgb="FF993366"/>
      <rgbColor rgb="FF333399"/>
      <rgbColor rgb="FF1F24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Clientes ativos no fim do 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Resumo!B44</c:f>
              <c:strCache>
                <c:ptCount val="1"/>
                <c:pt idx="0">
                  <c:v>Conservador</c:v>
                </c:pt>
              </c:strCache>
            </c:strRef>
          </c:tx>
          <c:spPr>
            <a:solidFill>
              <a:srgbClr val="9c5a36"/>
            </a:solidFill>
            <a:ln w="28080">
              <a:solidFill>
                <a:srgbClr val="9c5a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Resumo!$A$45:$A$49</c:f>
              <c:strCache>
                <c:ptCount val="5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f>Resumo!$B$45:$B$49</c:f>
              <c:numCache>
                <c:formatCode>#,##0;\(#,##0\);\-</c:formatCode>
                <c:ptCount val="5"/>
                <c:pt idx="0">
                  <c:v>109.194968933777</c:v>
                </c:pt>
                <c:pt idx="1">
                  <c:v>408.107497068361</c:v>
                </c:pt>
                <c:pt idx="2">
                  <c:v>1058.80749579483</c:v>
                </c:pt>
                <c:pt idx="3">
                  <c:v>2108.20935597269</c:v>
                </c:pt>
                <c:pt idx="4">
                  <c:v>3529.56597008924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Resumo!C44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1f2440"/>
            </a:solidFill>
            <a:ln w="28080">
              <a:solidFill>
                <a:srgbClr val="1f24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Resumo!$A$45:$A$49</c:f>
              <c:strCache>
                <c:ptCount val="5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f>Resumo!$C$45:$C$49</c:f>
              <c:numCache>
                <c:formatCode>#,##0;\(#,##0\);\-</c:formatCode>
                <c:ptCount val="5"/>
                <c:pt idx="0">
                  <c:v>185.335016784013</c:v>
                </c:pt>
                <c:pt idx="1">
                  <c:v>709.494566736163</c:v>
                </c:pt>
                <c:pt idx="2">
                  <c:v>1870.49410810804</c:v>
                </c:pt>
                <c:pt idx="3">
                  <c:v>3790.97747565895</c:v>
                </c:pt>
                <c:pt idx="4">
                  <c:v>6465.10736743354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Resumo!D44</c:f>
              <c:strCache>
                <c:ptCount val="1"/>
                <c:pt idx="0">
                  <c:v>Otimista</c:v>
                </c:pt>
              </c:strCache>
            </c:strRef>
          </c:tx>
          <c:spPr>
            <a:solidFill>
              <a:srgbClr val="3f6b57"/>
            </a:solidFill>
            <a:ln w="28080">
              <a:solidFill>
                <a:srgbClr val="3f6b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Resumo!$A$45:$A$49</c:f>
              <c:strCache>
                <c:ptCount val="5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f>Resumo!$D$45:$D$49</c:f>
              <c:numCache>
                <c:formatCode>#,##0;\(#,##0\);\-</c:formatCode>
                <c:ptCount val="5"/>
                <c:pt idx="0">
                  <c:v>275.612252931809</c:v>
                </c:pt>
                <c:pt idx="1">
                  <c:v>1077.27924915275</c:v>
                </c:pt>
                <c:pt idx="2">
                  <c:v>2882.84848471691</c:v>
                </c:pt>
                <c:pt idx="3">
                  <c:v>5939.54699669101</c:v>
                </c:pt>
                <c:pt idx="4">
                  <c:v>10308.4109029177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965204"/>
        <c:axId val="24614974"/>
      </c:lineChart>
      <c:catAx>
        <c:axId val="649652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614974"/>
        <c:crosses val="autoZero"/>
        <c:auto val="1"/>
        <c:lblAlgn val="ctr"/>
        <c:lblOffset val="100"/>
        <c:noMultiLvlLbl val="0"/>
      </c:catAx>
      <c:valAx>
        <c:axId val="246149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652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bruta e EBITDA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Resumo!B53</c:f>
              <c:strCache>
                <c:ptCount val="1"/>
                <c:pt idx="0">
                  <c:v>Receita bruta</c:v>
                </c:pt>
              </c:strCache>
            </c:strRef>
          </c:tx>
          <c:spPr>
            <a:solidFill>
              <a:srgbClr val="1f244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Resumo!$A$54:$A$58</c:f>
              <c:strCache>
                <c:ptCount val="5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f>Resumo!$B$54:$B$58</c:f>
              <c:numCache>
                <c:formatCode>"R$ "#,##0;"(R$ "#,##0\);\-</c:formatCode>
                <c:ptCount val="5"/>
                <c:pt idx="0">
                  <c:v>873270.166475072</c:v>
                </c:pt>
                <c:pt idx="1">
                  <c:v>4532675.26337339</c:v>
                </c:pt>
                <c:pt idx="2">
                  <c:v>15064817.2251188</c:v>
                </c:pt>
                <c:pt idx="3">
                  <c:v>35780120.2997077</c:v>
                </c:pt>
                <c:pt idx="4">
                  <c:v>69092178.9705347</c:v>
                </c:pt>
              </c:numCache>
            </c:numRef>
          </c:val>
        </c:ser>
        <c:ser>
          <c:idx val="1"/>
          <c:order val="1"/>
          <c:tx>
            <c:strRef>
              <c:f>Resumo!C53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e8a27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Resumo!$A$54:$A$58</c:f>
              <c:strCache>
                <c:ptCount val="5"/>
                <c:pt idx="0">
                  <c:v>Ano 1</c:v>
                </c:pt>
                <c:pt idx="1">
                  <c:v>Ano 2</c:v>
                </c:pt>
                <c:pt idx="2">
                  <c:v>Ano 3</c:v>
                </c:pt>
                <c:pt idx="3">
                  <c:v>Ano 4</c:v>
                </c:pt>
                <c:pt idx="4">
                  <c:v>Ano 5</c:v>
                </c:pt>
              </c:strCache>
            </c:strRef>
          </c:cat>
          <c:val>
            <c:numRef>
              <c:f>Resumo!$C$54:$C$58</c:f>
              <c:numCache>
                <c:formatCode>"R$ "#,##0;"(R$ "#,##0\);\-</c:formatCode>
                <c:ptCount val="5"/>
                <c:pt idx="0">
                  <c:v>-1781983.46653849</c:v>
                </c:pt>
                <c:pt idx="1">
                  <c:v>-2512746.07453386</c:v>
                </c:pt>
                <c:pt idx="2">
                  <c:v>489496.870411547</c:v>
                </c:pt>
                <c:pt idx="3">
                  <c:v>8026370.1833495</c:v>
                </c:pt>
                <c:pt idx="4">
                  <c:v>24886537.9006869</c:v>
                </c:pt>
              </c:numCache>
            </c:numRef>
          </c:val>
        </c:ser>
        <c:gapWidth val="150"/>
        <c:overlap val="0"/>
        <c:axId val="24896822"/>
        <c:axId val="11290059"/>
      </c:barChart>
      <c:catAx>
        <c:axId val="248968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90059"/>
        <c:crosses val="autoZero"/>
        <c:auto val="1"/>
        <c:lblAlgn val="ctr"/>
        <c:lblOffset val="100"/>
        <c:noMultiLvlLbl val="0"/>
      </c:catAx>
      <c:valAx>
        <c:axId val="112900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;&quot;(R$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968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42</xdr:row>
      <xdr:rowOff>160560</xdr:rowOff>
    </xdr:from>
    <xdr:to>
      <xdr:col>13</xdr:col>
      <xdr:colOff>38880</xdr:colOff>
      <xdr:row>57</xdr:row>
      <xdr:rowOff>182880</xdr:rowOff>
    </xdr:to>
    <xdr:graphicFrame>
      <xdr:nvGraphicFramePr>
        <xdr:cNvPr id="0" name="Chart 1"/>
        <xdr:cNvGraphicFramePr/>
      </xdr:nvGraphicFramePr>
      <xdr:xfrm>
        <a:off x="7753320" y="8191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51</xdr:row>
      <xdr:rowOff>160920</xdr:rowOff>
    </xdr:from>
    <xdr:to>
      <xdr:col>13</xdr:col>
      <xdr:colOff>38880</xdr:colOff>
      <xdr:row>66</xdr:row>
      <xdr:rowOff>182880</xdr:rowOff>
    </xdr:to>
    <xdr:graphicFrame>
      <xdr:nvGraphicFramePr>
        <xdr:cNvPr id="1" name="Chart 2"/>
        <xdr:cNvGraphicFramePr/>
      </xdr:nvGraphicFramePr>
      <xdr:xfrm>
        <a:off x="7753320" y="9906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6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5" t="s">
        <v>3</v>
      </c>
      <c r="B5" s="6" t="n">
        <v>5.4</v>
      </c>
      <c r="I5" s="7" t="s">
        <v>4</v>
      </c>
    </row>
    <row r="6" customFormat="false" ht="15" hidden="false" customHeight="false" outlineLevel="0" collapsed="false">
      <c r="A6" s="5" t="s">
        <v>5</v>
      </c>
      <c r="B6" s="8" t="n">
        <v>0.11</v>
      </c>
      <c r="I6" s="7" t="s">
        <v>6</v>
      </c>
    </row>
    <row r="7" customFormat="false" ht="15" hidden="false" customHeight="false" outlineLevel="0" collapsed="false">
      <c r="A7" s="5" t="s">
        <v>7</v>
      </c>
      <c r="B7" s="8" t="n">
        <v>0.1633</v>
      </c>
      <c r="I7" s="7" t="s">
        <v>8</v>
      </c>
    </row>
    <row r="8" customFormat="false" ht="15" hidden="false" customHeight="false" outlineLevel="0" collapsed="false">
      <c r="A8" s="5" t="s">
        <v>9</v>
      </c>
      <c r="B8" s="9" t="n">
        <v>4800000</v>
      </c>
      <c r="I8" s="7" t="s">
        <v>10</v>
      </c>
    </row>
    <row r="9" customFormat="false" ht="15" hidden="false" customHeight="false" outlineLevel="0" collapsed="false">
      <c r="A9" s="5" t="s">
        <v>11</v>
      </c>
      <c r="B9" s="8" t="n">
        <v>0.035</v>
      </c>
      <c r="I9" s="7" t="s">
        <v>12</v>
      </c>
    </row>
    <row r="10" customFormat="false" ht="15" hidden="false" customHeight="false" outlineLevel="0" collapsed="false">
      <c r="A10" s="5" t="s">
        <v>13</v>
      </c>
      <c r="B10" s="8" t="n">
        <v>0.7</v>
      </c>
      <c r="I10" s="7" t="s">
        <v>14</v>
      </c>
    </row>
    <row r="11" customFormat="false" ht="15" hidden="false" customHeight="false" outlineLevel="0" collapsed="false">
      <c r="A11" s="5" t="s">
        <v>15</v>
      </c>
      <c r="B11" s="8" t="n">
        <v>0.2</v>
      </c>
      <c r="I11" s="7" t="s">
        <v>16</v>
      </c>
    </row>
    <row r="12" customFormat="false" ht="15" hidden="false" customHeight="false" outlineLevel="0" collapsed="false">
      <c r="A12" s="5" t="s">
        <v>17</v>
      </c>
      <c r="B12" s="8" t="n">
        <v>0.3</v>
      </c>
      <c r="I12" s="7" t="s">
        <v>18</v>
      </c>
    </row>
    <row r="13" customFormat="false" ht="15" hidden="false" customHeight="false" outlineLevel="0" collapsed="false">
      <c r="A13" s="5" t="s">
        <v>19</v>
      </c>
      <c r="B13" s="8" t="n">
        <v>0.15</v>
      </c>
      <c r="I13" s="7" t="s">
        <v>20</v>
      </c>
    </row>
    <row r="14" customFormat="false" ht="15" hidden="false" customHeight="false" outlineLevel="0" collapsed="false">
      <c r="A14" s="5" t="s">
        <v>21</v>
      </c>
      <c r="B14" s="10" t="n">
        <v>3300000</v>
      </c>
      <c r="I14" s="7" t="s">
        <v>22</v>
      </c>
    </row>
    <row r="16" customFormat="false" ht="15" hidden="false" customHeight="false" outlineLevel="0" collapsed="false">
      <c r="A16" s="3" t="s">
        <v>23</v>
      </c>
      <c r="B16" s="4"/>
      <c r="C16" s="4"/>
      <c r="D16" s="4"/>
      <c r="E16" s="4"/>
      <c r="F16" s="4"/>
      <c r="G16" s="4"/>
      <c r="H16" s="4"/>
      <c r="I16" s="4"/>
    </row>
    <row r="17" customFormat="false" ht="15" hidden="false" customHeight="false" outlineLevel="0" collapsed="false">
      <c r="A17" s="11" t="s">
        <v>24</v>
      </c>
      <c r="B17" s="12" t="s">
        <v>25</v>
      </c>
      <c r="C17" s="12" t="s">
        <v>26</v>
      </c>
      <c r="D17" s="12" t="s">
        <v>27</v>
      </c>
      <c r="E17" s="12" t="s">
        <v>28</v>
      </c>
      <c r="F17" s="12"/>
      <c r="G17" s="12"/>
      <c r="H17" s="12"/>
      <c r="I17" s="12" t="s">
        <v>29</v>
      </c>
    </row>
    <row r="18" customFormat="false" ht="15" hidden="false" customHeight="false" outlineLevel="0" collapsed="false">
      <c r="A18" s="5" t="s">
        <v>30</v>
      </c>
      <c r="B18" s="10" t="n">
        <v>297</v>
      </c>
      <c r="C18" s="10" t="n">
        <v>697</v>
      </c>
      <c r="D18" s="10" t="n">
        <v>1497</v>
      </c>
      <c r="E18" s="10" t="n">
        <v>3900</v>
      </c>
      <c r="I18" s="7" t="s">
        <v>31</v>
      </c>
    </row>
    <row r="19" customFormat="false" ht="15" hidden="false" customHeight="false" outlineLevel="0" collapsed="false">
      <c r="A19" s="5" t="s">
        <v>32</v>
      </c>
      <c r="B19" s="9" t="n">
        <v>0</v>
      </c>
      <c r="C19" s="9" t="n">
        <v>490</v>
      </c>
      <c r="D19" s="9" t="n">
        <v>990</v>
      </c>
      <c r="E19" s="9" t="n">
        <v>2900</v>
      </c>
      <c r="I19" s="7" t="s">
        <v>33</v>
      </c>
    </row>
    <row r="20" customFormat="false" ht="15" hidden="false" customHeight="false" outlineLevel="0" collapsed="false">
      <c r="A20" s="5" t="s">
        <v>34</v>
      </c>
      <c r="B20" s="13" t="n">
        <v>0.05</v>
      </c>
      <c r="C20" s="13" t="n">
        <v>0.03</v>
      </c>
      <c r="D20" s="13" t="n">
        <v>0.025</v>
      </c>
      <c r="E20" s="13" t="n">
        <v>0.02</v>
      </c>
      <c r="I20" s="7" t="s">
        <v>35</v>
      </c>
    </row>
    <row r="21" customFormat="false" ht="15" hidden="false" customHeight="false" outlineLevel="0" collapsed="false">
      <c r="A21" s="5" t="s">
        <v>36</v>
      </c>
      <c r="B21" s="6" t="n">
        <v>4</v>
      </c>
      <c r="C21" s="6" t="n">
        <v>9</v>
      </c>
      <c r="D21" s="6" t="n">
        <v>18</v>
      </c>
      <c r="E21" s="6" t="n">
        <v>45</v>
      </c>
      <c r="I21" s="7" t="s">
        <v>37</v>
      </c>
    </row>
    <row r="22" customFormat="false" ht="15" hidden="false" customHeight="false" outlineLevel="0" collapsed="false">
      <c r="A22" s="5" t="s">
        <v>38</v>
      </c>
      <c r="B22" s="9" t="n">
        <v>8</v>
      </c>
      <c r="C22" s="9" t="n">
        <v>12</v>
      </c>
      <c r="D22" s="9" t="n">
        <v>18</v>
      </c>
      <c r="E22" s="9" t="n">
        <v>40</v>
      </c>
      <c r="I22" s="7" t="s">
        <v>39</v>
      </c>
    </row>
    <row r="23" customFormat="false" ht="15" hidden="false" customHeight="false" outlineLevel="0" collapsed="false">
      <c r="A23" s="5" t="s">
        <v>40</v>
      </c>
      <c r="B23" s="14" t="n">
        <v>0</v>
      </c>
      <c r="C23" s="14" t="n">
        <v>0</v>
      </c>
      <c r="D23" s="14" t="n">
        <v>40</v>
      </c>
      <c r="E23" s="14" t="n">
        <v>20</v>
      </c>
      <c r="I23" s="7" t="s">
        <v>41</v>
      </c>
    </row>
    <row r="24" customFormat="false" ht="15" hidden="false" customHeight="false" outlineLevel="0" collapsed="false">
      <c r="A24" s="5" t="s">
        <v>42</v>
      </c>
      <c r="B24" s="9" t="n">
        <v>7000</v>
      </c>
    </row>
    <row r="25" customFormat="false" ht="15" hidden="false" customHeight="false" outlineLevel="0" collapsed="false">
      <c r="A25" s="5" t="s">
        <v>43</v>
      </c>
      <c r="B25" s="8" t="n">
        <v>0.08</v>
      </c>
      <c r="I25" s="7" t="s">
        <v>44</v>
      </c>
    </row>
    <row r="27" customFormat="false" ht="15" hidden="false" customHeight="false" outlineLevel="0" collapsed="false">
      <c r="A27" s="3" t="s">
        <v>45</v>
      </c>
      <c r="B27" s="4"/>
      <c r="C27" s="4"/>
      <c r="D27" s="4"/>
      <c r="E27" s="4"/>
      <c r="F27" s="4"/>
      <c r="G27" s="4"/>
      <c r="H27" s="4"/>
      <c r="I27" s="4"/>
    </row>
    <row r="28" customFormat="false" ht="15" hidden="false" customHeight="false" outlineLevel="0" collapsed="false">
      <c r="A28" s="11" t="s">
        <v>46</v>
      </c>
      <c r="B28" s="12" t="s">
        <v>25</v>
      </c>
      <c r="C28" s="12" t="s">
        <v>26</v>
      </c>
      <c r="D28" s="12" t="s">
        <v>27</v>
      </c>
      <c r="E28" s="12" t="s">
        <v>28</v>
      </c>
      <c r="F28" s="12" t="s">
        <v>47</v>
      </c>
    </row>
    <row r="29" customFormat="false" ht="15" hidden="false" customHeight="false" outlineLevel="0" collapsed="false">
      <c r="A29" s="5" t="s">
        <v>48</v>
      </c>
      <c r="B29" s="8" t="n">
        <v>0.4</v>
      </c>
      <c r="C29" s="8" t="n">
        <v>0.5</v>
      </c>
      <c r="D29" s="8" t="n">
        <v>0.1</v>
      </c>
      <c r="E29" s="8" t="n">
        <v>0</v>
      </c>
      <c r="F29" s="15" t="n">
        <f aca="false">SUM(B29:E29)</f>
        <v>1</v>
      </c>
    </row>
    <row r="30" customFormat="false" ht="15" hidden="false" customHeight="false" outlineLevel="0" collapsed="false">
      <c r="A30" s="5" t="s">
        <v>49</v>
      </c>
      <c r="B30" s="8" t="n">
        <v>0.35</v>
      </c>
      <c r="C30" s="8" t="n">
        <v>0.5</v>
      </c>
      <c r="D30" s="8" t="n">
        <v>0.13</v>
      </c>
      <c r="E30" s="8" t="n">
        <v>0.02</v>
      </c>
      <c r="F30" s="15" t="n">
        <f aca="false">SUM(B30:E30)</f>
        <v>1</v>
      </c>
    </row>
    <row r="31" customFormat="false" ht="15" hidden="false" customHeight="false" outlineLevel="0" collapsed="false">
      <c r="A31" s="5" t="s">
        <v>50</v>
      </c>
      <c r="B31" s="8" t="n">
        <v>0.3</v>
      </c>
      <c r="C31" s="8" t="n">
        <v>0.5</v>
      </c>
      <c r="D31" s="8" t="n">
        <v>0.15</v>
      </c>
      <c r="E31" s="8" t="n">
        <v>0.05</v>
      </c>
      <c r="F31" s="15" t="n">
        <f aca="false">SUM(B31:E31)</f>
        <v>1</v>
      </c>
    </row>
    <row r="32" customFormat="false" ht="15" hidden="false" customHeight="false" outlineLevel="0" collapsed="false">
      <c r="A32" s="5" t="s">
        <v>51</v>
      </c>
      <c r="B32" s="8" t="n">
        <v>0.28</v>
      </c>
      <c r="C32" s="8" t="n">
        <v>0.5</v>
      </c>
      <c r="D32" s="8" t="n">
        <v>0.16</v>
      </c>
      <c r="E32" s="8" t="n">
        <v>0.06</v>
      </c>
      <c r="F32" s="15" t="n">
        <f aca="false">SUM(B32:E32)</f>
        <v>1</v>
      </c>
    </row>
    <row r="33" customFormat="false" ht="15" hidden="false" customHeight="false" outlineLevel="0" collapsed="false">
      <c r="A33" s="5" t="s">
        <v>52</v>
      </c>
      <c r="B33" s="8" t="n">
        <v>0.25</v>
      </c>
      <c r="C33" s="8" t="n">
        <v>0.5</v>
      </c>
      <c r="D33" s="8" t="n">
        <v>0.18</v>
      </c>
      <c r="E33" s="8" t="n">
        <v>0.07</v>
      </c>
      <c r="F33" s="15" t="n">
        <f aca="false">SUM(B33:E33)</f>
        <v>1</v>
      </c>
    </row>
    <row r="35" customFormat="false" ht="15" hidden="false" customHeight="false" outlineLevel="0" collapsed="false">
      <c r="A35" s="3" t="s">
        <v>53</v>
      </c>
      <c r="B35" s="4"/>
      <c r="C35" s="4"/>
      <c r="D35" s="4"/>
      <c r="E35" s="4"/>
      <c r="F35" s="4"/>
      <c r="G35" s="4"/>
      <c r="H35" s="4"/>
      <c r="I35" s="4"/>
    </row>
    <row r="36" customFormat="false" ht="15" hidden="false" customHeight="false" outlineLevel="0" collapsed="false">
      <c r="A36" s="11" t="s">
        <v>24</v>
      </c>
      <c r="B36" s="12" t="s">
        <v>48</v>
      </c>
      <c r="C36" s="12" t="s">
        <v>49</v>
      </c>
      <c r="D36" s="12" t="s">
        <v>50</v>
      </c>
      <c r="E36" s="12" t="s">
        <v>51</v>
      </c>
      <c r="F36" s="12" t="s">
        <v>52</v>
      </c>
      <c r="G36" s="12"/>
      <c r="H36" s="12" t="s">
        <v>29</v>
      </c>
    </row>
    <row r="37" customFormat="false" ht="15" hidden="false" customHeight="false" outlineLevel="0" collapsed="false">
      <c r="A37" s="5" t="s">
        <v>54</v>
      </c>
      <c r="B37" s="9" t="n">
        <v>25000</v>
      </c>
      <c r="C37" s="9" t="n">
        <v>70000</v>
      </c>
      <c r="D37" s="9" t="n">
        <v>150000</v>
      </c>
      <c r="E37" s="9" t="n">
        <v>240000</v>
      </c>
      <c r="F37" s="9" t="n">
        <v>320000</v>
      </c>
      <c r="H37" s="7" t="s">
        <v>55</v>
      </c>
    </row>
    <row r="38" customFormat="false" ht="15" hidden="false" customHeight="false" outlineLevel="0" collapsed="false">
      <c r="A38" s="5" t="s">
        <v>56</v>
      </c>
      <c r="B38" s="14" t="n">
        <v>4</v>
      </c>
      <c r="C38" s="14" t="n">
        <v>12</v>
      </c>
      <c r="D38" s="14" t="n">
        <v>25</v>
      </c>
      <c r="E38" s="14" t="n">
        <v>40</v>
      </c>
      <c r="F38" s="14" t="n">
        <v>55</v>
      </c>
      <c r="H38" s="7" t="s">
        <v>57</v>
      </c>
    </row>
    <row r="39" customFormat="false" ht="15" hidden="false" customHeight="false" outlineLevel="0" collapsed="false">
      <c r="A39" s="5" t="s">
        <v>58</v>
      </c>
      <c r="B39" s="8" t="n">
        <v>0.05</v>
      </c>
      <c r="C39" s="8" t="n">
        <v>0.08</v>
      </c>
      <c r="D39" s="8" t="n">
        <v>0.11</v>
      </c>
      <c r="E39" s="8" t="n">
        <v>0.13</v>
      </c>
      <c r="F39" s="8" t="n">
        <v>0.15</v>
      </c>
      <c r="H39" s="7" t="s">
        <v>59</v>
      </c>
    </row>
    <row r="40" customFormat="false" ht="15" hidden="false" customHeight="false" outlineLevel="0" collapsed="false">
      <c r="A40" s="5" t="s">
        <v>60</v>
      </c>
      <c r="B40" s="10" t="n">
        <v>1800</v>
      </c>
      <c r="H40" s="7" t="s">
        <v>61</v>
      </c>
    </row>
    <row r="41" customFormat="false" ht="15" hidden="false" customHeight="false" outlineLevel="0" collapsed="false">
      <c r="A41" s="5" t="s">
        <v>62</v>
      </c>
      <c r="B41" s="8" t="n">
        <v>0.07</v>
      </c>
    </row>
    <row r="42" customFormat="false" ht="15" hidden="false" customHeight="false" outlineLevel="0" collapsed="false">
      <c r="A42" s="5" t="s">
        <v>63</v>
      </c>
      <c r="B42" s="16" t="n">
        <f aca="false">$B$40</f>
        <v>1800</v>
      </c>
      <c r="C42" s="16" t="n">
        <f aca="false">B42*(1-$B$41)</f>
        <v>1674</v>
      </c>
      <c r="D42" s="16" t="n">
        <f aca="false">C42*(1-$B$41)</f>
        <v>1556.82</v>
      </c>
      <c r="E42" s="16" t="n">
        <f aca="false">D42*(1-$B$41)</f>
        <v>1447.8426</v>
      </c>
      <c r="F42" s="16" t="n">
        <f aca="false">E42*(1-$B$41)</f>
        <v>1346.493618</v>
      </c>
    </row>
    <row r="43" customFormat="false" ht="15" hidden="false" customHeight="false" outlineLevel="0" collapsed="false">
      <c r="A43" s="5" t="s">
        <v>64</v>
      </c>
      <c r="B43" s="8" t="n">
        <v>0.01</v>
      </c>
    </row>
    <row r="45" customFormat="false" ht="15" hidden="false" customHeight="false" outlineLevel="0" collapsed="false">
      <c r="A45" s="3" t="s">
        <v>65</v>
      </c>
      <c r="B45" s="4"/>
      <c r="C45" s="4"/>
      <c r="D45" s="4"/>
      <c r="E45" s="4"/>
      <c r="F45" s="4"/>
      <c r="G45" s="4"/>
      <c r="H45" s="4"/>
      <c r="I45" s="4"/>
    </row>
    <row r="46" customFormat="false" ht="15" hidden="false" customHeight="false" outlineLevel="0" collapsed="false">
      <c r="A46" s="11" t="s">
        <v>66</v>
      </c>
      <c r="B46" s="12" t="s">
        <v>67</v>
      </c>
      <c r="C46" s="12" t="s">
        <v>68</v>
      </c>
      <c r="D46" s="12" t="s">
        <v>69</v>
      </c>
      <c r="E46" s="12"/>
      <c r="F46" s="12"/>
      <c r="G46" s="12"/>
      <c r="H46" s="12" t="s">
        <v>29</v>
      </c>
    </row>
    <row r="47" customFormat="false" ht="15" hidden="false" customHeight="false" outlineLevel="0" collapsed="false">
      <c r="A47" s="5" t="s">
        <v>70</v>
      </c>
      <c r="B47" s="17" t="n">
        <v>1.3</v>
      </c>
      <c r="C47" s="17" t="n">
        <v>1</v>
      </c>
      <c r="D47" s="17" t="n">
        <v>0.8</v>
      </c>
      <c r="H47" s="7" t="s">
        <v>71</v>
      </c>
    </row>
    <row r="48" customFormat="false" ht="15" hidden="false" customHeight="false" outlineLevel="0" collapsed="false">
      <c r="A48" s="5" t="s">
        <v>72</v>
      </c>
      <c r="B48" s="17" t="n">
        <v>1.3</v>
      </c>
      <c r="C48" s="17" t="n">
        <v>1</v>
      </c>
      <c r="D48" s="17" t="n">
        <v>0.8</v>
      </c>
      <c r="H48" s="7"/>
    </row>
    <row r="49" customFormat="false" ht="15" hidden="false" customHeight="false" outlineLevel="0" collapsed="false">
      <c r="A49" s="5" t="s">
        <v>73</v>
      </c>
      <c r="B49" s="17" t="n">
        <v>0.7</v>
      </c>
      <c r="C49" s="17" t="n">
        <v>1</v>
      </c>
      <c r="D49" s="17" t="n">
        <v>1.3</v>
      </c>
      <c r="H49" s="7"/>
    </row>
    <row r="50" customFormat="false" ht="15" hidden="false" customHeight="false" outlineLevel="0" collapsed="false">
      <c r="A50" s="5" t="s">
        <v>74</v>
      </c>
      <c r="B50" s="17" t="n">
        <v>0.7</v>
      </c>
      <c r="C50" s="17" t="n">
        <v>1</v>
      </c>
      <c r="D50" s="17" t="n">
        <v>1.2</v>
      </c>
      <c r="H50" s="7"/>
    </row>
    <row r="51" customFormat="false" ht="15" hidden="false" customHeight="false" outlineLevel="0" collapsed="false">
      <c r="A51" s="5" t="s">
        <v>75</v>
      </c>
      <c r="B51" s="17" t="n">
        <v>0.8</v>
      </c>
      <c r="C51" s="17" t="n">
        <v>1</v>
      </c>
      <c r="D51" s="17" t="n">
        <v>1.15</v>
      </c>
      <c r="H51" s="7" t="s">
        <v>76</v>
      </c>
    </row>
    <row r="52" customFormat="false" ht="15" hidden="false" customHeight="false" outlineLevel="0" collapsed="false">
      <c r="A52" s="5" t="s">
        <v>77</v>
      </c>
      <c r="B52" s="9" t="n">
        <v>5000000</v>
      </c>
      <c r="C52" s="9" t="n">
        <v>8000000</v>
      </c>
      <c r="D52" s="9" t="n">
        <v>10000000</v>
      </c>
      <c r="H52" s="7" t="s">
        <v>78</v>
      </c>
    </row>
    <row r="53" customFormat="false" ht="15" hidden="false" customHeight="false" outlineLevel="0" collapsed="false">
      <c r="A53" s="5" t="s">
        <v>79</v>
      </c>
      <c r="B53" s="14" t="n">
        <v>20</v>
      </c>
      <c r="C53" s="14" t="n">
        <v>16</v>
      </c>
      <c r="D53" s="14" t="n">
        <v>14</v>
      </c>
      <c r="H53" s="7"/>
    </row>
    <row r="55" customFormat="false" ht="15" hidden="false" customHeight="false" outlineLevel="0" collapsed="false">
      <c r="A55" s="3" t="s">
        <v>80</v>
      </c>
      <c r="B55" s="4"/>
      <c r="C55" s="4"/>
      <c r="D55" s="4"/>
      <c r="E55" s="4"/>
      <c r="F55" s="4"/>
      <c r="G55" s="4"/>
      <c r="H55" s="4"/>
      <c r="I55" s="4"/>
    </row>
    <row r="56" customFormat="false" ht="15" hidden="false" customHeight="false" outlineLevel="0" collapsed="false">
      <c r="A56" s="11" t="s">
        <v>81</v>
      </c>
      <c r="B56" s="12" t="s">
        <v>82</v>
      </c>
      <c r="C56" s="12" t="s">
        <v>83</v>
      </c>
      <c r="D56" s="12" t="s">
        <v>48</v>
      </c>
      <c r="E56" s="12" t="s">
        <v>49</v>
      </c>
      <c r="F56" s="12" t="s">
        <v>50</v>
      </c>
      <c r="G56" s="12" t="s">
        <v>51</v>
      </c>
      <c r="H56" s="12" t="s">
        <v>52</v>
      </c>
      <c r="I56" s="12" t="s">
        <v>29</v>
      </c>
    </row>
    <row r="57" customFormat="false" ht="15" hidden="false" customHeight="false" outlineLevel="0" collapsed="false">
      <c r="A57" s="5" t="s">
        <v>84</v>
      </c>
      <c r="B57" s="9" t="n">
        <v>14000</v>
      </c>
      <c r="C57" s="15" t="n">
        <f aca="false">$B$10</f>
        <v>0.7</v>
      </c>
      <c r="D57" s="14" t="n">
        <v>2</v>
      </c>
      <c r="E57" s="14" t="n">
        <v>4</v>
      </c>
      <c r="F57" s="14" t="n">
        <v>7</v>
      </c>
      <c r="G57" s="14" t="n">
        <v>10</v>
      </c>
      <c r="H57" s="14" t="n">
        <v>13</v>
      </c>
      <c r="I57" s="7" t="s">
        <v>85</v>
      </c>
    </row>
    <row r="58" customFormat="false" ht="15" hidden="false" customHeight="false" outlineLevel="0" collapsed="false">
      <c r="A58" s="5" t="s">
        <v>86</v>
      </c>
      <c r="B58" s="9" t="n">
        <v>18000</v>
      </c>
      <c r="C58" s="15" t="n">
        <f aca="false">$B$10</f>
        <v>0.7</v>
      </c>
      <c r="D58" s="14" t="n">
        <v>1</v>
      </c>
      <c r="E58" s="14" t="n">
        <v>2</v>
      </c>
      <c r="F58" s="14" t="n">
        <v>3</v>
      </c>
      <c r="G58" s="14" t="n">
        <v>4</v>
      </c>
      <c r="H58" s="14" t="n">
        <v>5</v>
      </c>
      <c r="I58" s="7" t="s">
        <v>87</v>
      </c>
    </row>
    <row r="59" customFormat="false" ht="15" hidden="false" customHeight="false" outlineLevel="0" collapsed="false">
      <c r="A59" s="5" t="s">
        <v>88</v>
      </c>
      <c r="B59" s="9" t="n">
        <v>12000</v>
      </c>
      <c r="C59" s="15" t="n">
        <f aca="false">$B$10</f>
        <v>0.7</v>
      </c>
      <c r="D59" s="14" t="n">
        <v>1</v>
      </c>
      <c r="E59" s="14" t="n">
        <v>2</v>
      </c>
      <c r="F59" s="14" t="n">
        <v>3</v>
      </c>
      <c r="G59" s="14" t="n">
        <v>4</v>
      </c>
      <c r="H59" s="14" t="n">
        <v>5</v>
      </c>
      <c r="I59" s="7" t="s">
        <v>89</v>
      </c>
    </row>
    <row r="60" customFormat="false" ht="15" hidden="false" customHeight="false" outlineLevel="0" collapsed="false">
      <c r="A60" s="5" t="s">
        <v>90</v>
      </c>
      <c r="B60" s="9" t="n">
        <v>10000</v>
      </c>
      <c r="C60" s="15" t="n">
        <f aca="false">$B$10</f>
        <v>0.7</v>
      </c>
      <c r="D60" s="14" t="n">
        <v>0</v>
      </c>
      <c r="E60" s="14" t="n">
        <v>2</v>
      </c>
      <c r="F60" s="14" t="n">
        <v>3</v>
      </c>
      <c r="G60" s="14" t="n">
        <v>5</v>
      </c>
      <c r="H60" s="14" t="n">
        <v>6</v>
      </c>
      <c r="I60" s="7" t="s">
        <v>91</v>
      </c>
    </row>
    <row r="61" customFormat="false" ht="15" hidden="false" customHeight="false" outlineLevel="0" collapsed="false">
      <c r="A61" s="5" t="s">
        <v>92</v>
      </c>
      <c r="B61" s="9" t="n">
        <v>7000</v>
      </c>
      <c r="C61" s="15" t="n">
        <f aca="false">$B$10</f>
        <v>0.7</v>
      </c>
      <c r="D61" s="14" t="n">
        <v>1</v>
      </c>
      <c r="E61" s="14" t="n">
        <v>3</v>
      </c>
      <c r="F61" s="14" t="n">
        <v>6</v>
      </c>
      <c r="G61" s="14" t="n">
        <v>9</v>
      </c>
      <c r="H61" s="14" t="n">
        <v>12</v>
      </c>
      <c r="I61" s="7" t="s">
        <v>93</v>
      </c>
    </row>
    <row r="62" customFormat="false" ht="15" hidden="false" customHeight="false" outlineLevel="0" collapsed="false">
      <c r="A62" s="5" t="s">
        <v>94</v>
      </c>
      <c r="B62" s="9" t="n">
        <v>6500</v>
      </c>
      <c r="C62" s="15" t="n">
        <f aca="false">$B$10</f>
        <v>0.7</v>
      </c>
      <c r="D62" s="14" t="n">
        <v>1</v>
      </c>
      <c r="E62" s="14" t="n">
        <v>2</v>
      </c>
      <c r="F62" s="14" t="n">
        <v>4</v>
      </c>
      <c r="G62" s="14" t="n">
        <v>7</v>
      </c>
      <c r="H62" s="14" t="n">
        <v>10</v>
      </c>
      <c r="I62" s="7" t="s">
        <v>95</v>
      </c>
    </row>
    <row r="63" customFormat="false" ht="15" hidden="false" customHeight="false" outlineLevel="0" collapsed="false">
      <c r="A63" s="5" t="s">
        <v>96</v>
      </c>
      <c r="B63" s="9" t="n">
        <v>9000</v>
      </c>
      <c r="C63" s="8" t="n">
        <v>0</v>
      </c>
      <c r="D63" s="14" t="n">
        <v>1</v>
      </c>
      <c r="E63" s="14" t="n">
        <v>1</v>
      </c>
      <c r="F63" s="14" t="n">
        <v>2</v>
      </c>
      <c r="G63" s="14" t="n">
        <v>3</v>
      </c>
      <c r="H63" s="14" t="n">
        <v>4</v>
      </c>
      <c r="I63" s="7" t="s">
        <v>97</v>
      </c>
    </row>
    <row r="64" customFormat="false" ht="15" hidden="false" customHeight="false" outlineLevel="0" collapsed="false">
      <c r="A64" s="5" t="s">
        <v>98</v>
      </c>
      <c r="B64" s="9" t="n">
        <v>8000</v>
      </c>
      <c r="C64" s="15" t="n">
        <f aca="false">$B$10</f>
        <v>0.7</v>
      </c>
      <c r="D64" s="14" t="n">
        <v>0</v>
      </c>
      <c r="E64" s="14" t="n">
        <v>1</v>
      </c>
      <c r="F64" s="14" t="n">
        <v>2</v>
      </c>
      <c r="G64" s="14" t="n">
        <v>3</v>
      </c>
      <c r="H64" s="14" t="n">
        <v>4</v>
      </c>
      <c r="I64" s="7"/>
    </row>
    <row r="65" customFormat="false" ht="15" hidden="false" customHeight="false" outlineLevel="0" collapsed="false">
      <c r="A65" s="5" t="s">
        <v>99</v>
      </c>
      <c r="C65" s="15" t="n">
        <f aca="false">$B$11</f>
        <v>0.2</v>
      </c>
      <c r="D65" s="14" t="n">
        <v>5</v>
      </c>
      <c r="E65" s="14" t="n">
        <v>5</v>
      </c>
      <c r="F65" s="14" t="n">
        <v>5</v>
      </c>
      <c r="G65" s="14" t="n">
        <v>5</v>
      </c>
      <c r="H65" s="14" t="n">
        <v>5</v>
      </c>
      <c r="I65" s="7" t="s">
        <v>100</v>
      </c>
    </row>
    <row r="66" customFormat="false" ht="15" hidden="false" customHeight="false" outlineLevel="0" collapsed="false">
      <c r="A66" s="5" t="s">
        <v>101</v>
      </c>
      <c r="D66" s="9" t="n">
        <v>5000</v>
      </c>
      <c r="E66" s="9" t="n">
        <v>10000</v>
      </c>
      <c r="F66" s="9" t="n">
        <v>15000</v>
      </c>
      <c r="G66" s="9" t="n">
        <v>20000</v>
      </c>
      <c r="H66" s="9" t="n">
        <v>22000</v>
      </c>
      <c r="I66" s="7" t="s">
        <v>102</v>
      </c>
    </row>
    <row r="67" customFormat="false" ht="15" hidden="false" customHeight="false" outlineLevel="0" collapsed="false">
      <c r="A67" s="18" t="s">
        <v>103</v>
      </c>
      <c r="D67" s="16" t="n">
        <f aca="false">SUMPRODUCT($B$57:$B$64,1+$C$57:$C$64,D57:D64)+D65*D66*(1+$C$65)</f>
        <v>160550</v>
      </c>
      <c r="E67" s="16" t="n">
        <f aca="false">SUMPRODUCT($B$57:$B$64,1+$C$57:$C$64,E57:E64)+E65*E66*(1+$C$65)</f>
        <v>371600</v>
      </c>
      <c r="F67" s="16" t="n">
        <f aca="false">SUMPRODUCT($B$57:$B$64,1+$C$57:$C$64,F57:F64)+F65*F66*(1+$C$65)</f>
        <v>621400</v>
      </c>
      <c r="G67" s="16" t="n">
        <f aca="false">SUMPRODUCT($B$57:$B$64,1+$C$57:$C$64,G57:G64)+G65*G66*(1+$C$65)</f>
        <v>899250</v>
      </c>
      <c r="H67" s="16" t="n">
        <f aca="false">SUMPRODUCT($B$57:$B$64,1+$C$57:$C$64,H57:H64)+H65*H66*(1+$C$65)</f>
        <v>1142100</v>
      </c>
    </row>
    <row r="68" customFormat="false" ht="15" hidden="false" customHeight="false" outlineLevel="0" collapsed="false">
      <c r="A68" s="5" t="s">
        <v>104</v>
      </c>
      <c r="D68" s="19" t="n">
        <f aca="false">SUM(D57:D64)+D65</f>
        <v>12</v>
      </c>
      <c r="E68" s="19" t="n">
        <f aca="false">SUM(E57:E64)+E65</f>
        <v>22</v>
      </c>
      <c r="F68" s="19" t="n">
        <f aca="false">SUM(F57:F64)+F65</f>
        <v>35</v>
      </c>
      <c r="G68" s="19" t="n">
        <f aca="false">SUM(G57:G64)+G65</f>
        <v>50</v>
      </c>
      <c r="H68" s="19" t="n">
        <f aca="false">SUM(H57:H64)+H65</f>
        <v>64</v>
      </c>
    </row>
    <row r="70" customFormat="false" ht="15" hidden="false" customHeight="false" outlineLevel="0" collapsed="false">
      <c r="A70" s="3" t="s">
        <v>105</v>
      </c>
      <c r="B70" s="4"/>
      <c r="C70" s="4"/>
      <c r="D70" s="4"/>
      <c r="E70" s="4"/>
      <c r="F70" s="4"/>
      <c r="G70" s="4"/>
      <c r="H70" s="4"/>
      <c r="I70" s="4"/>
    </row>
    <row r="71" customFormat="false" ht="15" hidden="false" customHeight="false" outlineLevel="0" collapsed="false">
      <c r="A71" s="11" t="s">
        <v>24</v>
      </c>
      <c r="B71" s="12" t="s">
        <v>48</v>
      </c>
      <c r="C71" s="12" t="s">
        <v>49</v>
      </c>
      <c r="D71" s="12" t="s">
        <v>50</v>
      </c>
      <c r="E71" s="12" t="s">
        <v>51</v>
      </c>
      <c r="F71" s="12" t="s">
        <v>52</v>
      </c>
      <c r="G71" s="12"/>
      <c r="H71" s="12" t="s">
        <v>29</v>
      </c>
    </row>
    <row r="72" customFormat="false" ht="15" hidden="false" customHeight="false" outlineLevel="0" collapsed="false">
      <c r="A72" s="5" t="s">
        <v>106</v>
      </c>
      <c r="B72" s="9" t="n">
        <v>5000</v>
      </c>
      <c r="C72" s="9" t="n">
        <v>8000</v>
      </c>
      <c r="D72" s="9" t="n">
        <v>12000</v>
      </c>
      <c r="E72" s="9" t="n">
        <v>18000</v>
      </c>
      <c r="F72" s="9" t="n">
        <v>25000</v>
      </c>
      <c r="H72" s="7" t="s">
        <v>107</v>
      </c>
    </row>
    <row r="73" customFormat="false" ht="15" hidden="false" customHeight="false" outlineLevel="0" collapsed="false">
      <c r="A73" s="5" t="s">
        <v>108</v>
      </c>
      <c r="B73" s="9" t="n">
        <v>2000</v>
      </c>
      <c r="C73" s="9" t="n">
        <v>8000</v>
      </c>
      <c r="D73" s="9" t="n">
        <v>15000</v>
      </c>
      <c r="E73" s="9" t="n">
        <v>25000</v>
      </c>
      <c r="F73" s="9" t="n">
        <v>35000</v>
      </c>
      <c r="H73" s="7"/>
    </row>
    <row r="74" customFormat="false" ht="15" hidden="false" customHeight="false" outlineLevel="0" collapsed="false">
      <c r="A74" s="5" t="s">
        <v>109</v>
      </c>
      <c r="B74" s="9" t="n">
        <v>3000</v>
      </c>
      <c r="C74" s="9" t="n">
        <v>8000</v>
      </c>
      <c r="D74" s="9" t="n">
        <v>15000</v>
      </c>
      <c r="E74" s="9" t="n">
        <v>25000</v>
      </c>
      <c r="F74" s="9" t="n">
        <v>35000</v>
      </c>
      <c r="H74" s="7"/>
    </row>
    <row r="75" customFormat="false" ht="15" hidden="false" customHeight="false" outlineLevel="0" collapsed="false">
      <c r="A75" s="5" t="s">
        <v>110</v>
      </c>
      <c r="B75" s="9" t="n">
        <v>2000</v>
      </c>
      <c r="C75" s="9" t="n">
        <v>6000</v>
      </c>
      <c r="D75" s="9" t="n">
        <v>15000</v>
      </c>
      <c r="E75" s="9" t="n">
        <v>25000</v>
      </c>
      <c r="F75" s="9" t="n">
        <v>35000</v>
      </c>
      <c r="H75" s="7"/>
    </row>
    <row r="76" customFormat="false" ht="15" hidden="false" customHeight="false" outlineLevel="0" collapsed="false">
      <c r="A76" s="5" t="s">
        <v>111</v>
      </c>
      <c r="B76" s="9" t="n">
        <v>3000</v>
      </c>
      <c r="C76" s="9" t="n">
        <v>5000</v>
      </c>
      <c r="D76" s="9" t="n">
        <v>9000</v>
      </c>
      <c r="E76" s="9" t="n">
        <v>14000</v>
      </c>
      <c r="F76" s="9" t="n">
        <v>20000</v>
      </c>
      <c r="H76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4" customFormat="false" ht="15" hidden="false" customHeight="false" outlineLevel="0" collapsed="false">
      <c r="A4" s="3" t="s">
        <v>114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11" t="s">
        <v>115</v>
      </c>
      <c r="B5" s="12" t="s">
        <v>116</v>
      </c>
      <c r="C5" s="12" t="s">
        <v>117</v>
      </c>
      <c r="D5" s="12" t="s">
        <v>118</v>
      </c>
      <c r="E5" s="12" t="s">
        <v>119</v>
      </c>
      <c r="F5" s="12" t="s">
        <v>120</v>
      </c>
    </row>
    <row r="6" customFormat="false" ht="15" hidden="false" customHeight="false" outlineLevel="0" collapsed="false">
      <c r="A6" s="5" t="s">
        <v>121</v>
      </c>
      <c r="B6" s="20" t="n">
        <f aca="false">INDEX(Modelo_Base!$C$26:$BJ$26,1*12)</f>
        <v>185.335016784013</v>
      </c>
      <c r="C6" s="20" t="n">
        <f aca="false">INDEX(Modelo_Base!$C$26:$BJ$26,2*12)</f>
        <v>709.494566736163</v>
      </c>
      <c r="D6" s="20" t="n">
        <f aca="false">INDEX(Modelo_Base!$C$26:$BJ$26,3*12)</f>
        <v>1870.49410810804</v>
      </c>
      <c r="E6" s="20" t="n">
        <f aca="false">INDEX(Modelo_Base!$C$26:$BJ$26,4*12)</f>
        <v>3790.97747565895</v>
      </c>
      <c r="F6" s="20" t="n">
        <f aca="false">INDEX(Modelo_Base!$C$26:$BJ$26,5*12)</f>
        <v>6465.10736743354</v>
      </c>
    </row>
    <row r="7" customFormat="false" ht="15" hidden="false" customHeight="false" outlineLevel="0" collapsed="false">
      <c r="A7" s="5" t="s">
        <v>122</v>
      </c>
      <c r="B7" s="21" t="n">
        <f aca="false">INDEX(Modelo_Base!$C$62:$BJ$62,1*12)</f>
        <v>1343066.86383673</v>
      </c>
      <c r="C7" s="21" t="n">
        <f aca="false">INDEX(Modelo_Base!$C$62:$BJ$62,2*12)</f>
        <v>5944061.58011658</v>
      </c>
      <c r="D7" s="21" t="n">
        <f aca="false">INDEX(Modelo_Base!$C$62:$BJ$62,3*12)</f>
        <v>18263945.0176831</v>
      </c>
      <c r="E7" s="21" t="n">
        <f aca="false">INDEX(Modelo_Base!$C$62:$BJ$62,4*12)</f>
        <v>39883663.0926128</v>
      </c>
      <c r="F7" s="21" t="n">
        <f aca="false">INDEX(Modelo_Base!$C$62:$BJ$62,5*12)</f>
        <v>72438951.2604562</v>
      </c>
    </row>
    <row r="8" customFormat="false" ht="15" hidden="false" customHeight="false" outlineLevel="0" collapsed="false">
      <c r="A8" s="5" t="s">
        <v>123</v>
      </c>
      <c r="B8" s="21" t="n">
        <f aca="false">SUMIFS(Modelo_Base!$C$32:$BJ$32,Modelo_Base!$C$4:$BJ$4,1)</f>
        <v>757819.822152644</v>
      </c>
      <c r="C8" s="21" t="n">
        <f aca="false">SUMIFS(Modelo_Base!$C$32:$BJ$32,Modelo_Base!$C$4:$BJ$4,2)</f>
        <v>3917805.11286843</v>
      </c>
      <c r="D8" s="21" t="n">
        <f aca="false">SUMIFS(Modelo_Base!$C$32:$BJ$32,Modelo_Base!$C$4:$BJ$4,3)</f>
        <v>12791921.0005977</v>
      </c>
      <c r="E8" s="21" t="n">
        <f aca="false">SUMIFS(Modelo_Base!$C$32:$BJ$32,Modelo_Base!$C$4:$BJ$4,4)</f>
        <v>30231632.2082406</v>
      </c>
      <c r="F8" s="21" t="n">
        <f aca="false">SUMIFS(Modelo_Base!$C$32:$BJ$32,Modelo_Base!$C$4:$BJ$4,5)</f>
        <v>57837828.6300371</v>
      </c>
    </row>
    <row r="9" customFormat="false" ht="15" hidden="false" customHeight="false" outlineLevel="0" collapsed="false">
      <c r="A9" s="5" t="s">
        <v>124</v>
      </c>
      <c r="B9" s="21" t="n">
        <f aca="false">SUMIFS(Modelo_Base!$C$33:$BJ$33,Modelo_Base!$C$4:$BJ$4,1)</f>
        <v>77559.3532147949</v>
      </c>
      <c r="C9" s="21" t="n">
        <f aca="false">SUMIFS(Modelo_Base!$C$33:$BJ$33,Modelo_Base!$C$4:$BJ$4,2)</f>
        <v>301445.74147548</v>
      </c>
      <c r="D9" s="21" t="n">
        <f aca="false">SUMIFS(Modelo_Base!$C$33:$BJ$33,Modelo_Base!$C$4:$BJ$4,3)</f>
        <v>865784.914455346</v>
      </c>
      <c r="E9" s="21" t="n">
        <f aca="false">SUMIFS(Modelo_Base!$C$33:$BJ$33,Modelo_Base!$C$4:$BJ$4,4)</f>
        <v>1618375.90439576</v>
      </c>
      <c r="F9" s="21" t="n">
        <f aca="false">SUMIFS(Modelo_Base!$C$33:$BJ$33,Modelo_Base!$C$4:$BJ$4,5)</f>
        <v>2578676.04599209</v>
      </c>
    </row>
    <row r="10" customFormat="false" ht="15" hidden="false" customHeight="false" outlineLevel="0" collapsed="false">
      <c r="A10" s="5" t="s">
        <v>125</v>
      </c>
      <c r="B10" s="21" t="n">
        <f aca="false">SUMIFS(Modelo_Base!$C$34:$BJ$34,Modelo_Base!$C$4:$BJ$4,1)</f>
        <v>37890.9911076322</v>
      </c>
      <c r="C10" s="21" t="n">
        <f aca="false">SUMIFS(Modelo_Base!$C$34:$BJ$34,Modelo_Base!$C$4:$BJ$4,2)</f>
        <v>313424.409029475</v>
      </c>
      <c r="D10" s="21" t="n">
        <f aca="false">SUMIFS(Modelo_Base!$C$34:$BJ$34,Modelo_Base!$C$4:$BJ$4,3)</f>
        <v>1407111.31006575</v>
      </c>
      <c r="E10" s="21" t="n">
        <f aca="false">SUMIFS(Modelo_Base!$C$34:$BJ$34,Modelo_Base!$C$4:$BJ$4,4)</f>
        <v>3930112.18707128</v>
      </c>
      <c r="F10" s="21" t="n">
        <f aca="false">SUMIFS(Modelo_Base!$C$34:$BJ$34,Modelo_Base!$C$4:$BJ$4,5)</f>
        <v>8675674.29450556</v>
      </c>
    </row>
    <row r="11" customFormat="false" ht="15" hidden="false" customHeight="false" outlineLevel="0" collapsed="false">
      <c r="A11" s="18" t="s">
        <v>126</v>
      </c>
      <c r="B11" s="21" t="n">
        <f aca="false">SUMIFS(Modelo_Base!$C$35:$BJ$35,Modelo_Base!$C$4:$BJ$4,1)</f>
        <v>873270.166475072</v>
      </c>
      <c r="C11" s="21" t="n">
        <f aca="false">SUMIFS(Modelo_Base!$C$35:$BJ$35,Modelo_Base!$C$4:$BJ$4,2)</f>
        <v>4532675.26337339</v>
      </c>
      <c r="D11" s="21" t="n">
        <f aca="false">SUMIFS(Modelo_Base!$C$35:$BJ$35,Modelo_Base!$C$4:$BJ$4,3)</f>
        <v>15064817.2251188</v>
      </c>
      <c r="E11" s="21" t="n">
        <f aca="false">SUMIFS(Modelo_Base!$C$35:$BJ$35,Modelo_Base!$C$4:$BJ$4,4)</f>
        <v>35780120.2997077</v>
      </c>
      <c r="F11" s="21" t="n">
        <f aca="false">SUMIFS(Modelo_Base!$C$35:$BJ$35,Modelo_Base!$C$4:$BJ$4,5)</f>
        <v>69092178.9705347</v>
      </c>
    </row>
    <row r="12" customFormat="false" ht="15" hidden="false" customHeight="false" outlineLevel="0" collapsed="false">
      <c r="A12" s="5" t="s">
        <v>127</v>
      </c>
      <c r="B12" s="21" t="n">
        <f aca="false">SUMIFS(Modelo_Base!$C$36:$BJ$36,Modelo_Base!$C$4:$BJ$4,1)</f>
        <v>-96059.7183122579</v>
      </c>
      <c r="C12" s="21" t="n">
        <f aca="false">SUMIFS(Modelo_Base!$C$36:$BJ$36,Modelo_Base!$C$4:$BJ$4,2)</f>
        <v>-498594.278971072</v>
      </c>
      <c r="D12" s="21" t="n">
        <f aca="false">SUMIFS(Modelo_Base!$C$36:$BJ$36,Modelo_Base!$C$4:$BJ$4,3)</f>
        <v>-1657129.89476307</v>
      </c>
      <c r="E12" s="21" t="n">
        <f aca="false">SUMIFS(Modelo_Base!$C$36:$BJ$36,Modelo_Base!$C$4:$BJ$4,4)</f>
        <v>-5842893.64494226</v>
      </c>
      <c r="F12" s="21" t="n">
        <f aca="false">SUMIFS(Modelo_Base!$C$36:$BJ$36,Modelo_Base!$C$4:$BJ$4,5)</f>
        <v>-11282752.8258883</v>
      </c>
    </row>
    <row r="13" customFormat="false" ht="15" hidden="false" customHeight="false" outlineLevel="0" collapsed="false">
      <c r="A13" s="18" t="s">
        <v>128</v>
      </c>
      <c r="B13" s="21" t="n">
        <f aca="false">SUMIFS(Modelo_Base!$C$37:$BJ$37,Modelo_Base!$C$4:$BJ$4,1)</f>
        <v>777210.448162814</v>
      </c>
      <c r="C13" s="21" t="n">
        <f aca="false">SUMIFS(Modelo_Base!$C$37:$BJ$37,Modelo_Base!$C$4:$BJ$4,2)</f>
        <v>4034080.98440231</v>
      </c>
      <c r="D13" s="21" t="n">
        <f aca="false">SUMIFS(Modelo_Base!$C$37:$BJ$37,Modelo_Base!$C$4:$BJ$4,3)</f>
        <v>13407687.3303557</v>
      </c>
      <c r="E13" s="21" t="n">
        <f aca="false">SUMIFS(Modelo_Base!$C$37:$BJ$37,Modelo_Base!$C$4:$BJ$4,4)</f>
        <v>29937226.6547654</v>
      </c>
      <c r="F13" s="21" t="n">
        <f aca="false">SUMIFS(Modelo_Base!$C$37:$BJ$37,Modelo_Base!$C$4:$BJ$4,5)</f>
        <v>57809426.1446464</v>
      </c>
    </row>
    <row r="14" customFormat="false" ht="15" hidden="false" customHeight="false" outlineLevel="0" collapsed="false">
      <c r="A14" s="5" t="s">
        <v>129</v>
      </c>
      <c r="B14" s="21" t="n">
        <f aca="false">SUMIFS(Modelo_Base!$C$43:$BJ$43,Modelo_Base!$C$4:$BJ$4,1)</f>
        <v>-138682.833034582</v>
      </c>
      <c r="C14" s="21" t="n">
        <f aca="false">SUMIFS(Modelo_Base!$C$43:$BJ$43,Modelo_Base!$C$4:$BJ$4,2)</f>
        <v>-776997.860577546</v>
      </c>
      <c r="D14" s="21" t="n">
        <f aca="false">SUMIFS(Modelo_Base!$C$43:$BJ$43,Modelo_Base!$C$4:$BJ$4,3)</f>
        <v>-2731580.33191718</v>
      </c>
      <c r="E14" s="21" t="n">
        <f aca="false">SUMIFS(Modelo_Base!$C$43:$BJ$43,Modelo_Base!$C$4:$BJ$4,4)</f>
        <v>-6702146.47814592</v>
      </c>
      <c r="F14" s="21" t="n">
        <f aca="false">SUMIFS(Modelo_Base!$C$43:$BJ$43,Modelo_Base!$C$4:$BJ$4,5)</f>
        <v>-13180217.1634179</v>
      </c>
    </row>
    <row r="15" customFormat="false" ht="15" hidden="false" customHeight="false" outlineLevel="0" collapsed="false">
      <c r="A15" s="18" t="s">
        <v>130</v>
      </c>
      <c r="B15" s="21" t="n">
        <f aca="false">SUMIFS(Modelo_Base!$C$44:$BJ$44,Modelo_Base!$C$4:$BJ$4,1)</f>
        <v>638527.615128232</v>
      </c>
      <c r="C15" s="21" t="n">
        <f aca="false">SUMIFS(Modelo_Base!$C$44:$BJ$44,Modelo_Base!$C$4:$BJ$4,2)</f>
        <v>3257083.12382477</v>
      </c>
      <c r="D15" s="21" t="n">
        <f aca="false">SUMIFS(Modelo_Base!$C$44:$BJ$44,Modelo_Base!$C$4:$BJ$4,3)</f>
        <v>10676106.9984385</v>
      </c>
      <c r="E15" s="21" t="n">
        <f aca="false">SUMIFS(Modelo_Base!$C$44:$BJ$44,Modelo_Base!$C$4:$BJ$4,4)</f>
        <v>23235080.1766195</v>
      </c>
      <c r="F15" s="21" t="n">
        <f aca="false">SUMIFS(Modelo_Base!$C$44:$BJ$44,Modelo_Base!$C$4:$BJ$4,5)</f>
        <v>44629208.9812286</v>
      </c>
    </row>
    <row r="16" customFormat="false" ht="15" hidden="false" customHeight="false" outlineLevel="0" collapsed="false">
      <c r="A16" s="5" t="s">
        <v>131</v>
      </c>
      <c r="B16" s="15" t="n">
        <f aca="false">IFERROR(B15/B13,0)</f>
        <v>0.821563344442418</v>
      </c>
      <c r="C16" s="15" t="n">
        <f aca="false">IFERROR(C15/C13,0)</f>
        <v>0.807391605775444</v>
      </c>
      <c r="D16" s="15" t="n">
        <f aca="false">IFERROR(D15/D13,0)</f>
        <v>0.796267598981613</v>
      </c>
      <c r="E16" s="15" t="n">
        <f aca="false">IFERROR(E15/E13,0)</f>
        <v>0.776126674810772</v>
      </c>
      <c r="F16" s="15" t="n">
        <f aca="false">IFERROR(F15/F13,0)</f>
        <v>0.772005742965874</v>
      </c>
    </row>
    <row r="17" customFormat="false" ht="15" hidden="false" customHeight="false" outlineLevel="0" collapsed="false">
      <c r="A17" s="5" t="s">
        <v>132</v>
      </c>
      <c r="B17" s="21" t="n">
        <f aca="false">SUMIFS(Modelo_Base!$C$47:$BJ$47,Modelo_Base!$C$4:$BJ$4,1)</f>
        <v>-1926600</v>
      </c>
      <c r="C17" s="21" t="n">
        <f aca="false">SUMIFS(Modelo_Base!$C$47:$BJ$47,Modelo_Base!$C$4:$BJ$4,2)</f>
        <v>-4459200</v>
      </c>
      <c r="D17" s="21" t="n">
        <f aca="false">SUMIFS(Modelo_Base!$C$47:$BJ$47,Modelo_Base!$C$4:$BJ$4,3)</f>
        <v>-7456800</v>
      </c>
      <c r="E17" s="21" t="n">
        <f aca="false">SUMIFS(Modelo_Base!$C$47:$BJ$47,Modelo_Base!$C$4:$BJ$4,4)</f>
        <v>-10791000</v>
      </c>
      <c r="F17" s="21" t="n">
        <f aca="false">SUMIFS(Modelo_Base!$C$47:$BJ$47,Modelo_Base!$C$4:$BJ$4,5)</f>
        <v>-13705200</v>
      </c>
    </row>
    <row r="18" customFormat="false" ht="15" hidden="false" customHeight="false" outlineLevel="0" collapsed="false">
      <c r="A18" s="5" t="s">
        <v>133</v>
      </c>
      <c r="B18" s="21" t="n">
        <f aca="false">SUMIFS(Modelo_Base!$C$48:$BJ$48,Modelo_Base!$C$4:$BJ$4,1)+SUMIFS(Modelo_Base!$C$49:$BJ$49,Modelo_Base!$C$4:$BJ$4,1)+SUMIFS(Modelo_Base!$C$51:$BJ$51,Modelo_Base!$C$4:$BJ$4,1)</f>
        <v>-337911.081666723</v>
      </c>
      <c r="C18" s="21" t="n">
        <f aca="false">SUMIFS(Modelo_Base!$C$48:$BJ$48,Modelo_Base!$C$4:$BJ$4,2)+SUMIFS(Modelo_Base!$C$49:$BJ$49,Modelo_Base!$C$4:$BJ$4,2)+SUMIFS(Modelo_Base!$C$51:$BJ$51,Modelo_Base!$C$4:$BJ$4,2)</f>
        <v>-986629.198358631</v>
      </c>
      <c r="D18" s="21" t="n">
        <f aca="false">SUMIFS(Modelo_Base!$C$48:$BJ$48,Modelo_Base!$C$4:$BJ$4,3)+SUMIFS(Modelo_Base!$C$49:$BJ$49,Modelo_Base!$C$4:$BJ$4,3)+SUMIFS(Modelo_Base!$C$51:$BJ$51,Modelo_Base!$C$4:$BJ$4,3)</f>
        <v>-2117810.128027</v>
      </c>
      <c r="E18" s="21" t="n">
        <f aca="false">SUMIFS(Modelo_Base!$C$48:$BJ$48,Modelo_Base!$C$4:$BJ$4,4)+SUMIFS(Modelo_Base!$C$49:$BJ$49,Modelo_Base!$C$4:$BJ$4,4)+SUMIFS(Modelo_Base!$C$51:$BJ$51,Modelo_Base!$C$4:$BJ$4,4)</f>
        <v>-3433709.99327</v>
      </c>
      <c r="F18" s="21" t="n">
        <f aca="false">SUMIFS(Modelo_Base!$C$48:$BJ$48,Modelo_Base!$C$4:$BJ$4,5)+SUMIFS(Modelo_Base!$C$49:$BJ$49,Modelo_Base!$C$4:$BJ$4,5)+SUMIFS(Modelo_Base!$C$51:$BJ$51,Modelo_Base!$C$4:$BJ$4,5)</f>
        <v>-4657471.08054168</v>
      </c>
    </row>
    <row r="19" customFormat="false" ht="15" hidden="false" customHeight="false" outlineLevel="0" collapsed="false">
      <c r="A19" s="5" t="s">
        <v>134</v>
      </c>
      <c r="B19" s="21" t="n">
        <f aca="false">SUMIFS(Modelo_Base!$C$50:$BJ$50,Modelo_Base!$C$4:$BJ$4,1)+SUMIFS(Modelo_Base!$C$52:$BJ$52,Modelo_Base!$C$4:$BJ$4,1)+SUMIFS(Modelo_Base!$C$53:$BJ$53,Modelo_Base!$C$4:$BJ$4,1)+SUMIFS(Modelo_Base!$C$54:$BJ$54,Modelo_Base!$C$4:$BJ$4,1)</f>
        <v>-156000</v>
      </c>
      <c r="C19" s="21" t="n">
        <f aca="false">SUMIFS(Modelo_Base!$C$50:$BJ$50,Modelo_Base!$C$4:$BJ$4,2)+SUMIFS(Modelo_Base!$C$52:$BJ$52,Modelo_Base!$C$4:$BJ$4,2)+SUMIFS(Modelo_Base!$C$53:$BJ$53,Modelo_Base!$C$4:$BJ$4,2)+SUMIFS(Modelo_Base!$C$54:$BJ$54,Modelo_Base!$C$4:$BJ$4,2)</f>
        <v>-324000</v>
      </c>
      <c r="D19" s="21" t="n">
        <f aca="false">SUMIFS(Modelo_Base!$C$50:$BJ$50,Modelo_Base!$C$4:$BJ$4,3)+SUMIFS(Modelo_Base!$C$52:$BJ$52,Modelo_Base!$C$4:$BJ$4,3)+SUMIFS(Modelo_Base!$C$53:$BJ$53,Modelo_Base!$C$4:$BJ$4,3)+SUMIFS(Modelo_Base!$C$54:$BJ$54,Modelo_Base!$C$4:$BJ$4,3)</f>
        <v>-612000</v>
      </c>
      <c r="E19" s="21" t="n">
        <f aca="false">SUMIFS(Modelo_Base!$C$50:$BJ$50,Modelo_Base!$C$4:$BJ$4,4)+SUMIFS(Modelo_Base!$C$52:$BJ$52,Modelo_Base!$C$4:$BJ$4,4)+SUMIFS(Modelo_Base!$C$53:$BJ$53,Modelo_Base!$C$4:$BJ$4,4)+SUMIFS(Modelo_Base!$C$54:$BJ$54,Modelo_Base!$C$4:$BJ$4,4)</f>
        <v>-984000</v>
      </c>
      <c r="F19" s="21" t="n">
        <f aca="false">SUMIFS(Modelo_Base!$C$50:$BJ$50,Modelo_Base!$C$4:$BJ$4,5)+SUMIFS(Modelo_Base!$C$52:$BJ$52,Modelo_Base!$C$4:$BJ$4,5)+SUMIFS(Modelo_Base!$C$53:$BJ$53,Modelo_Base!$C$4:$BJ$4,5)+SUMIFS(Modelo_Base!$C$54:$BJ$54,Modelo_Base!$C$4:$BJ$4,5)</f>
        <v>-1380000</v>
      </c>
    </row>
    <row r="20" customFormat="false" ht="15" hidden="false" customHeight="false" outlineLevel="0" collapsed="false">
      <c r="A20" s="18" t="s">
        <v>135</v>
      </c>
      <c r="B20" s="21" t="n">
        <f aca="false">SUMIFS(Modelo_Base!$C$56:$BJ$56,Modelo_Base!$C$4:$BJ$4,1)</f>
        <v>-1781983.46653849</v>
      </c>
      <c r="C20" s="21" t="n">
        <f aca="false">SUMIFS(Modelo_Base!$C$56:$BJ$56,Modelo_Base!$C$4:$BJ$4,2)</f>
        <v>-2512746.07453386</v>
      </c>
      <c r="D20" s="21" t="n">
        <f aca="false">SUMIFS(Modelo_Base!$C$56:$BJ$56,Modelo_Base!$C$4:$BJ$4,3)</f>
        <v>489496.870411547</v>
      </c>
      <c r="E20" s="21" t="n">
        <f aca="false">SUMIFS(Modelo_Base!$C$56:$BJ$56,Modelo_Base!$C$4:$BJ$4,4)</f>
        <v>8026370.1833495</v>
      </c>
      <c r="F20" s="21" t="n">
        <f aca="false">SUMIFS(Modelo_Base!$C$56:$BJ$56,Modelo_Base!$C$4:$BJ$4,5)</f>
        <v>24886537.9006869</v>
      </c>
    </row>
    <row r="21" customFormat="false" ht="15" hidden="false" customHeight="false" outlineLevel="0" collapsed="false">
      <c r="A21" s="5" t="s">
        <v>136</v>
      </c>
      <c r="B21" s="15" t="n">
        <f aca="false">IFERROR(B20/B13,0)</f>
        <v>-2.29279401833928</v>
      </c>
      <c r="C21" s="15" t="n">
        <f aca="false">IFERROR(C20/C13,0)</f>
        <v>-0.622879432576922</v>
      </c>
      <c r="D21" s="15" t="n">
        <f aca="false">IFERROR(D20/D13,0)</f>
        <v>0.0365086728494406</v>
      </c>
      <c r="E21" s="15" t="n">
        <f aca="false">IFERROR(E20/E13,0)</f>
        <v>0.268106671199346</v>
      </c>
      <c r="F21" s="15" t="n">
        <f aca="false">IFERROR(F20/F13,0)</f>
        <v>0.430492733804651</v>
      </c>
    </row>
    <row r="22" customFormat="false" ht="15" hidden="false" customHeight="false" outlineLevel="0" collapsed="false">
      <c r="A22" s="5" t="s">
        <v>137</v>
      </c>
      <c r="B22" s="21" t="n">
        <f aca="false">INDEX(Modelo_Base!$C$60:$BJ$60,1*12)</f>
        <v>1518016.53346151</v>
      </c>
      <c r="C22" s="21" t="n">
        <f aca="false">INDEX(Modelo_Base!$C$60:$BJ$60,2*12)</f>
        <v>7005270.45892764</v>
      </c>
      <c r="D22" s="21" t="n">
        <f aca="false">INDEX(Modelo_Base!$C$60:$BJ$60,3*12)</f>
        <v>7494767.32933919</v>
      </c>
      <c r="E22" s="21" t="n">
        <f aca="false">INDEX(Modelo_Base!$C$60:$BJ$60,4*12)</f>
        <v>15521137.5126887</v>
      </c>
      <c r="F22" s="21" t="n">
        <f aca="false">INDEX(Modelo_Base!$C$60:$BJ$60,5*12)</f>
        <v>40407675.4133756</v>
      </c>
    </row>
    <row r="23" customFormat="false" ht="15" hidden="false" customHeight="false" outlineLevel="0" collapsed="false">
      <c r="A23" s="5" t="s">
        <v>138</v>
      </c>
      <c r="B23" s="20" t="n">
        <f aca="false">INDEX(Premissas!$D$68:$H$68,1)</f>
        <v>12</v>
      </c>
      <c r="C23" s="20" t="n">
        <f aca="false">INDEX(Premissas!$D$68:$H$68,2)</f>
        <v>22</v>
      </c>
      <c r="D23" s="20" t="n">
        <f aca="false">INDEX(Premissas!$D$68:$H$68,3)</f>
        <v>35</v>
      </c>
      <c r="E23" s="20" t="n">
        <f aca="false">INDEX(Premissas!$D$68:$H$68,4)</f>
        <v>50</v>
      </c>
      <c r="F23" s="20" t="n">
        <f aca="false">INDEX(Premissas!$D$68:$H$68,5)</f>
        <v>64</v>
      </c>
    </row>
    <row r="25" customFormat="false" ht="15" hidden="false" customHeight="false" outlineLevel="0" collapsed="false">
      <c r="A25" s="3" t="s">
        <v>139</v>
      </c>
      <c r="B25" s="4"/>
      <c r="C25" s="4"/>
      <c r="D25" s="4"/>
      <c r="E25" s="4"/>
      <c r="F25" s="4"/>
      <c r="G25" s="4"/>
    </row>
    <row r="26" customFormat="false" ht="15" hidden="false" customHeight="false" outlineLevel="0" collapsed="false">
      <c r="A26" s="11" t="s">
        <v>140</v>
      </c>
      <c r="B26" s="12" t="s">
        <v>67</v>
      </c>
      <c r="C26" s="12" t="s">
        <v>68</v>
      </c>
      <c r="D26" s="12" t="s">
        <v>69</v>
      </c>
    </row>
    <row r="27" customFormat="false" ht="15" hidden="false" customHeight="false" outlineLevel="0" collapsed="false">
      <c r="A27" s="5" t="s">
        <v>141</v>
      </c>
      <c r="B27" s="20" t="n">
        <f aca="false">INDEX(Modelo_Conservador!$C$26:$BJ$26,3*12)</f>
        <v>1058.80749579483</v>
      </c>
      <c r="C27" s="20" t="n">
        <f aca="false">INDEX(Modelo_Base!$C$26:$BJ$26,3*12)</f>
        <v>1870.49410810804</v>
      </c>
      <c r="D27" s="20" t="n">
        <f aca="false">INDEX(Modelo_Otimista!$C$26:$BJ$26,3*12)</f>
        <v>2882.84848471691</v>
      </c>
    </row>
    <row r="28" customFormat="false" ht="15" hidden="false" customHeight="false" outlineLevel="0" collapsed="false">
      <c r="A28" s="5" t="s">
        <v>142</v>
      </c>
      <c r="B28" s="20" t="n">
        <f aca="false">INDEX(Modelo_Conservador!$C$26:$BJ$26,5*12)</f>
        <v>3529.56597008924</v>
      </c>
      <c r="C28" s="20" t="n">
        <f aca="false">INDEX(Modelo_Base!$C$26:$BJ$26,5*12)</f>
        <v>6465.10736743354</v>
      </c>
      <c r="D28" s="20" t="n">
        <f aca="false">INDEX(Modelo_Otimista!$C$26:$BJ$26,5*12)</f>
        <v>10308.4109029177</v>
      </c>
    </row>
    <row r="29" customFormat="false" ht="15" hidden="false" customHeight="false" outlineLevel="0" collapsed="false">
      <c r="A29" s="5" t="s">
        <v>143</v>
      </c>
      <c r="B29" s="21" t="n">
        <f aca="false">INDEX(Modelo_Conservador!$C$62:$BJ$62,3*12)</f>
        <v>10493265.8634133</v>
      </c>
      <c r="C29" s="21" t="n">
        <f aca="false">INDEX(Modelo_Base!$C$62:$BJ$62,3*12)</f>
        <v>18263945.0176831</v>
      </c>
      <c r="D29" s="21" t="n">
        <f aca="false">INDEX(Modelo_Otimista!$C$62:$BJ$62,3*12)</f>
        <v>27851498.0509597</v>
      </c>
    </row>
    <row r="30" customFormat="false" ht="15" hidden="false" customHeight="false" outlineLevel="0" collapsed="false">
      <c r="A30" s="5" t="s">
        <v>144</v>
      </c>
      <c r="B30" s="21" t="n">
        <f aca="false">INDEX(Modelo_Conservador!$C$62:$BJ$62,5*12)</f>
        <v>40211470.6524432</v>
      </c>
      <c r="C30" s="21" t="n">
        <f aca="false">INDEX(Modelo_Base!$C$62:$BJ$62,5*12)</f>
        <v>72438951.2604562</v>
      </c>
      <c r="D30" s="21" t="n">
        <f aca="false">INDEX(Modelo_Otimista!$C$62:$BJ$62,5*12)</f>
        <v>114090674.091462</v>
      </c>
    </row>
    <row r="31" customFormat="false" ht="15" hidden="false" customHeight="false" outlineLevel="0" collapsed="false">
      <c r="A31" s="5" t="s">
        <v>145</v>
      </c>
      <c r="B31" s="21" t="n">
        <f aca="false">SUMIFS(Modelo_Conservador!$C$35:$BJ$35,Modelo_Conservador!$C$4:$BJ$4,5)</f>
        <v>37369920.597392</v>
      </c>
      <c r="C31" s="21" t="n">
        <f aca="false">SUMIFS(Modelo_Base!$C$35:$BJ$35,Modelo_Base!$C$4:$BJ$4,5)</f>
        <v>69092178.9705347</v>
      </c>
      <c r="D31" s="21" t="n">
        <f aca="false">SUMIFS(Modelo_Otimista!$C$35:$BJ$35,Modelo_Otimista!$C$4:$BJ$4,5)</f>
        <v>110416078.14556</v>
      </c>
    </row>
    <row r="32" customFormat="false" ht="15" hidden="false" customHeight="false" outlineLevel="0" collapsed="false">
      <c r="A32" s="5" t="s">
        <v>146</v>
      </c>
      <c r="B32" s="21" t="n">
        <f aca="false">SUMIFS(Modelo_Conservador!$C$56:$BJ$56,Modelo_Conservador!$C$4:$BJ$4,5)</f>
        <v>5072790.73877034</v>
      </c>
      <c r="C32" s="21" t="n">
        <f aca="false">SUMIFS(Modelo_Base!$C$56:$BJ$56,Modelo_Base!$C$4:$BJ$4,5)</f>
        <v>24886537.9006869</v>
      </c>
      <c r="D32" s="21" t="n">
        <f aca="false">SUMIFS(Modelo_Otimista!$C$56:$BJ$56,Modelo_Otimista!$C$4:$BJ$4,5)</f>
        <v>51279553.029728</v>
      </c>
    </row>
    <row r="33" customFormat="false" ht="15" hidden="false" customHeight="false" outlineLevel="0" collapsed="false">
      <c r="A33" s="5" t="s">
        <v>147</v>
      </c>
      <c r="B33" s="20" t="n">
        <f aca="false">MIN(Modelo_Conservador!$C$65:$BJ$65)</f>
        <v>50</v>
      </c>
      <c r="C33" s="20" t="n">
        <f aca="false">MIN(Modelo_Base!$C$65:$BJ$65)</f>
        <v>30</v>
      </c>
      <c r="D33" s="20" t="n">
        <f aca="false">MIN(Modelo_Otimista!$C$65:$BJ$65)</f>
        <v>27</v>
      </c>
    </row>
    <row r="34" customFormat="false" ht="15" hidden="false" customHeight="false" outlineLevel="0" collapsed="false">
      <c r="A34" s="5" t="s">
        <v>148</v>
      </c>
      <c r="B34" s="21" t="n">
        <f aca="false">MIN(Modelo_Conservador!$C$60:$BJ$60)</f>
        <v>-3219857.69532831</v>
      </c>
      <c r="C34" s="21" t="n">
        <f aca="false">MIN(Modelo_Base!$C$60:$BJ$60)</f>
        <v>558638.494434058</v>
      </c>
      <c r="D34" s="21" t="n">
        <f aca="false">MIN(Modelo_Otimista!$C$60:$BJ$60)</f>
        <v>1473064.37213578</v>
      </c>
    </row>
    <row r="35" customFormat="false" ht="15" hidden="false" customHeight="false" outlineLevel="0" collapsed="false">
      <c r="A35" s="5" t="s">
        <v>149</v>
      </c>
      <c r="B35" s="21" t="n">
        <f aca="false">SUM(Modelo_Conservador!$C$59:$BJ$59)</f>
        <v>8300000</v>
      </c>
      <c r="C35" s="21" t="n">
        <f aca="false">SUM(Modelo_Base!$C$59:$BJ$59)</f>
        <v>11300000</v>
      </c>
      <c r="D35" s="21" t="n">
        <f aca="false">SUM(Modelo_Otimista!$C$59:$BJ$59)</f>
        <v>13300000</v>
      </c>
    </row>
    <row r="36" customFormat="false" ht="15" hidden="false" customHeight="false" outlineLevel="0" collapsed="false">
      <c r="A36" s="2" t="s">
        <v>150</v>
      </c>
    </row>
    <row r="38" customFormat="false" ht="15" hidden="false" customHeight="false" outlineLevel="0" collapsed="false">
      <c r="A38" s="3" t="s">
        <v>151</v>
      </c>
      <c r="B38" s="4"/>
      <c r="C38" s="4"/>
      <c r="D38" s="4"/>
      <c r="E38" s="4"/>
      <c r="F38" s="4"/>
      <c r="G38" s="4"/>
    </row>
    <row r="39" customFormat="false" ht="15" hidden="false" customHeight="false" outlineLevel="0" collapsed="false">
      <c r="A39" s="5" t="s">
        <v>152</v>
      </c>
      <c r="B39" s="21" t="n">
        <f aca="false">-SUMIFS(Modelo_Base!$C$56:$BJ$56,Modelo_Base!$C$3:$BJ$3,"&lt;"&amp;INDEX(Premissas!$B$53:$D$53,2))</f>
        <v>2741361.50556594</v>
      </c>
    </row>
    <row r="40" customFormat="false" ht="15" hidden="false" customHeight="false" outlineLevel="0" collapsed="false">
      <c r="A40" s="5" t="s">
        <v>153</v>
      </c>
      <c r="B40" s="14" t="n">
        <v>3</v>
      </c>
    </row>
    <row r="41" customFormat="false" ht="15" hidden="false" customHeight="false" outlineLevel="0" collapsed="false">
      <c r="A41" s="18" t="s">
        <v>154</v>
      </c>
      <c r="B41" s="16" t="n">
        <f aca="false">ROUNDUP((B39+B39/(INDEX(Premissas!$B$53:$D$53,2)-1)*B40)/100000,0)*100000</f>
        <v>3300000</v>
      </c>
      <c r="C41" s="7" t="s">
        <v>155</v>
      </c>
    </row>
    <row r="43" customFormat="false" ht="15" hidden="false" customHeight="false" outlineLevel="0" collapsed="false">
      <c r="A43" s="3" t="s">
        <v>156</v>
      </c>
      <c r="B43" s="4"/>
      <c r="C43" s="4"/>
      <c r="D43" s="4"/>
      <c r="E43" s="4"/>
      <c r="F43" s="4"/>
      <c r="G43" s="4"/>
    </row>
    <row r="44" customFormat="false" ht="15" hidden="false" customHeight="false" outlineLevel="0" collapsed="false">
      <c r="A44" s="11" t="s">
        <v>46</v>
      </c>
      <c r="B44" s="12" t="s">
        <v>67</v>
      </c>
      <c r="C44" s="12" t="s">
        <v>68</v>
      </c>
      <c r="D44" s="12" t="s">
        <v>69</v>
      </c>
    </row>
    <row r="45" customFormat="false" ht="15" hidden="false" customHeight="false" outlineLevel="0" collapsed="false">
      <c r="A45" s="5" t="s">
        <v>48</v>
      </c>
      <c r="B45" s="20" t="n">
        <f aca="false">INDEX(Modelo_Conservador!$C$26:$BJ$26,1*12)</f>
        <v>109.194968933777</v>
      </c>
      <c r="C45" s="20" t="n">
        <f aca="false">INDEX(Modelo_Base!$C$26:$BJ$26,1*12)</f>
        <v>185.335016784013</v>
      </c>
      <c r="D45" s="20" t="n">
        <f aca="false">INDEX(Modelo_Otimista!$C$26:$BJ$26,1*12)</f>
        <v>275.612252931809</v>
      </c>
    </row>
    <row r="46" customFormat="false" ht="15" hidden="false" customHeight="false" outlineLevel="0" collapsed="false">
      <c r="A46" s="5" t="s">
        <v>49</v>
      </c>
      <c r="B46" s="20" t="n">
        <f aca="false">INDEX(Modelo_Conservador!$C$26:$BJ$26,2*12)</f>
        <v>408.107497068361</v>
      </c>
      <c r="C46" s="20" t="n">
        <f aca="false">INDEX(Modelo_Base!$C$26:$BJ$26,2*12)</f>
        <v>709.494566736163</v>
      </c>
      <c r="D46" s="20" t="n">
        <f aca="false">INDEX(Modelo_Otimista!$C$26:$BJ$26,2*12)</f>
        <v>1077.27924915275</v>
      </c>
    </row>
    <row r="47" customFormat="false" ht="15" hidden="false" customHeight="false" outlineLevel="0" collapsed="false">
      <c r="A47" s="5" t="s">
        <v>50</v>
      </c>
      <c r="B47" s="20" t="n">
        <f aca="false">INDEX(Modelo_Conservador!$C$26:$BJ$26,3*12)</f>
        <v>1058.80749579483</v>
      </c>
      <c r="C47" s="20" t="n">
        <f aca="false">INDEX(Modelo_Base!$C$26:$BJ$26,3*12)</f>
        <v>1870.49410810804</v>
      </c>
      <c r="D47" s="20" t="n">
        <f aca="false">INDEX(Modelo_Otimista!$C$26:$BJ$26,3*12)</f>
        <v>2882.84848471691</v>
      </c>
    </row>
    <row r="48" customFormat="false" ht="15" hidden="false" customHeight="false" outlineLevel="0" collapsed="false">
      <c r="A48" s="5" t="s">
        <v>51</v>
      </c>
      <c r="B48" s="20" t="n">
        <f aca="false">INDEX(Modelo_Conservador!$C$26:$BJ$26,4*12)</f>
        <v>2108.20935597269</v>
      </c>
      <c r="C48" s="20" t="n">
        <f aca="false">INDEX(Modelo_Base!$C$26:$BJ$26,4*12)</f>
        <v>3790.97747565895</v>
      </c>
      <c r="D48" s="20" t="n">
        <f aca="false">INDEX(Modelo_Otimista!$C$26:$BJ$26,4*12)</f>
        <v>5939.54699669101</v>
      </c>
    </row>
    <row r="49" customFormat="false" ht="15" hidden="false" customHeight="false" outlineLevel="0" collapsed="false">
      <c r="A49" s="5" t="s">
        <v>52</v>
      </c>
      <c r="B49" s="20" t="n">
        <f aca="false">INDEX(Modelo_Conservador!$C$26:$BJ$26,5*12)</f>
        <v>3529.56597008924</v>
      </c>
      <c r="C49" s="20" t="n">
        <f aca="false">INDEX(Modelo_Base!$C$26:$BJ$26,5*12)</f>
        <v>6465.10736743354</v>
      </c>
      <c r="D49" s="20" t="n">
        <f aca="false">INDEX(Modelo_Otimista!$C$26:$BJ$26,5*12)</f>
        <v>10308.4109029177</v>
      </c>
    </row>
    <row r="52" customFormat="false" ht="15" hidden="false" customHeight="false" outlineLevel="0" collapsed="false">
      <c r="A52" s="3" t="s">
        <v>157</v>
      </c>
      <c r="B52" s="4"/>
      <c r="C52" s="4"/>
      <c r="D52" s="4"/>
      <c r="E52" s="4"/>
      <c r="F52" s="4"/>
      <c r="G52" s="4"/>
    </row>
    <row r="53" customFormat="false" ht="15" hidden="false" customHeight="false" outlineLevel="0" collapsed="false">
      <c r="A53" s="11" t="s">
        <v>46</v>
      </c>
      <c r="B53" s="12" t="s">
        <v>126</v>
      </c>
      <c r="C53" s="12" t="s">
        <v>135</v>
      </c>
    </row>
    <row r="54" customFormat="false" ht="15" hidden="false" customHeight="false" outlineLevel="0" collapsed="false">
      <c r="A54" s="5" t="s">
        <v>48</v>
      </c>
      <c r="B54" s="16" t="n">
        <f aca="false">B11</f>
        <v>873270.166475072</v>
      </c>
      <c r="C54" s="16" t="n">
        <f aca="false">B20</f>
        <v>-1781983.46653849</v>
      </c>
    </row>
    <row r="55" customFormat="false" ht="15" hidden="false" customHeight="false" outlineLevel="0" collapsed="false">
      <c r="A55" s="5" t="s">
        <v>49</v>
      </c>
      <c r="B55" s="16" t="n">
        <f aca="false">C11</f>
        <v>4532675.26337339</v>
      </c>
      <c r="C55" s="16" t="n">
        <f aca="false">C20</f>
        <v>-2512746.07453386</v>
      </c>
    </row>
    <row r="56" customFormat="false" ht="15" hidden="false" customHeight="false" outlineLevel="0" collapsed="false">
      <c r="A56" s="5" t="s">
        <v>50</v>
      </c>
      <c r="B56" s="16" t="n">
        <f aca="false">D11</f>
        <v>15064817.2251188</v>
      </c>
      <c r="C56" s="16" t="n">
        <f aca="false">D20</f>
        <v>489496.870411547</v>
      </c>
    </row>
    <row r="57" customFormat="false" ht="15" hidden="false" customHeight="false" outlineLevel="0" collapsed="false">
      <c r="A57" s="5" t="s">
        <v>51</v>
      </c>
      <c r="B57" s="16" t="n">
        <f aca="false">E11</f>
        <v>35780120.2997077</v>
      </c>
      <c r="C57" s="16" t="n">
        <f aca="false">E20</f>
        <v>8026370.1833495</v>
      </c>
    </row>
    <row r="58" customFormat="false" ht="15" hidden="false" customHeight="false" outlineLevel="0" collapsed="false">
      <c r="A58" s="5" t="s">
        <v>52</v>
      </c>
      <c r="B58" s="16" t="n">
        <f aca="false">F11</f>
        <v>69092178.9705347</v>
      </c>
      <c r="C58" s="16" t="n">
        <f aca="false">F20</f>
        <v>24886537.9006869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15" hidden="false" customHeight="false" outlineLevel="0" collapsed="false">
      <c r="A4" s="11" t="s">
        <v>24</v>
      </c>
      <c r="B4" s="12" t="s">
        <v>25</v>
      </c>
      <c r="C4" s="12" t="s">
        <v>26</v>
      </c>
      <c r="D4" s="12" t="s">
        <v>27</v>
      </c>
      <c r="E4" s="12" t="s">
        <v>28</v>
      </c>
    </row>
    <row r="5" customFormat="false" ht="15" hidden="false" customHeight="false" outlineLevel="0" collapsed="false">
      <c r="A5" s="5" t="s">
        <v>160</v>
      </c>
      <c r="B5" s="21" t="n">
        <f aca="false">Premissas!$B$18*(1-Premissas!$B$12*Premissas!$B$13)</f>
        <v>283.635</v>
      </c>
      <c r="C5" s="21" t="n">
        <f aca="false">Premissas!$C$18*(1-Premissas!$B$12*Premissas!$B$13)</f>
        <v>665.635</v>
      </c>
      <c r="D5" s="21" t="n">
        <f aca="false">Premissas!$D$18*(1-Premissas!$B$12*Premissas!$B$13)</f>
        <v>1429.635</v>
      </c>
      <c r="E5" s="21" t="n">
        <f aca="false">Premissas!$E$18*(1-Premissas!$B$12*Premissas!$B$13)</f>
        <v>3724.5</v>
      </c>
    </row>
    <row r="6" customFormat="false" ht="15" hidden="false" customHeight="false" outlineLevel="0" collapsed="false">
      <c r="A6" s="5" t="s">
        <v>161</v>
      </c>
      <c r="B6" s="21" t="n">
        <f aca="false">-B5*Premissas!$B$6</f>
        <v>-31.19985</v>
      </c>
      <c r="C6" s="21" t="n">
        <f aca="false">-C5*Premissas!$B$6</f>
        <v>-73.21985</v>
      </c>
      <c r="D6" s="21" t="n">
        <f aca="false">-D5*Premissas!$B$6</f>
        <v>-157.25985</v>
      </c>
      <c r="E6" s="21" t="n">
        <f aca="false">-E5*Premissas!$B$6</f>
        <v>-409.695</v>
      </c>
    </row>
    <row r="7" customFormat="false" ht="15" hidden="false" customHeight="false" outlineLevel="0" collapsed="false">
      <c r="A7" s="5" t="s">
        <v>162</v>
      </c>
      <c r="B7" s="21" t="n">
        <f aca="false">-Premissas!$B$21*Premissas!$B$5</f>
        <v>-21.6</v>
      </c>
      <c r="C7" s="21" t="n">
        <f aca="false">-Premissas!$C$21*Premissas!$B$5</f>
        <v>-48.6</v>
      </c>
      <c r="D7" s="21" t="n">
        <f aca="false">-Premissas!$D$21*Premissas!$B$5</f>
        <v>-97.2</v>
      </c>
      <c r="E7" s="21" t="n">
        <f aca="false">-Premissas!$E$21*Premissas!$B$5</f>
        <v>-243</v>
      </c>
    </row>
    <row r="8" customFormat="false" ht="15" hidden="false" customHeight="false" outlineLevel="0" collapsed="false">
      <c r="A8" s="5" t="s">
        <v>163</v>
      </c>
      <c r="B8" s="21" t="n">
        <f aca="false">-Premissas!$B$22</f>
        <v>-8</v>
      </c>
      <c r="C8" s="21" t="n">
        <f aca="false">-Premissas!$C$22</f>
        <v>-12</v>
      </c>
      <c r="D8" s="21" t="n">
        <f aca="false">-Premissas!$D$22</f>
        <v>-18</v>
      </c>
      <c r="E8" s="21" t="n">
        <f aca="false">-Premissas!$E$22</f>
        <v>-40</v>
      </c>
    </row>
    <row r="9" customFormat="false" ht="15" hidden="false" customHeight="false" outlineLevel="0" collapsed="false">
      <c r="A9" s="5" t="s">
        <v>164</v>
      </c>
      <c r="B9" s="21" t="n">
        <f aca="false">-IFERROR(Premissas!$B$24*(1+Premissas!$B$10)/Premissas!$B$23,0)</f>
        <v>-0</v>
      </c>
      <c r="C9" s="21" t="n">
        <f aca="false">-IFERROR(Premissas!$B$24*(1+Premissas!$B$10)/Premissas!$C$23,0)</f>
        <v>-0</v>
      </c>
      <c r="D9" s="21" t="n">
        <f aca="false">-IFERROR(Premissas!$B$24*(1+Premissas!$B$10)/Premissas!$D$23,0)</f>
        <v>-297.5</v>
      </c>
      <c r="E9" s="21" t="n">
        <f aca="false">-IFERROR(Premissas!$B$24*(1+Premissas!$B$10)/Premissas!$E$23,0)</f>
        <v>-595</v>
      </c>
    </row>
    <row r="10" customFormat="false" ht="15" hidden="false" customHeight="false" outlineLevel="0" collapsed="false">
      <c r="A10" s="5" t="s">
        <v>165</v>
      </c>
      <c r="B10" s="21" t="n">
        <f aca="false">-B5*Premissas!$B$9</f>
        <v>-9.927225</v>
      </c>
      <c r="C10" s="21" t="n">
        <f aca="false">-C5*Premissas!$B$9</f>
        <v>-23.297225</v>
      </c>
      <c r="D10" s="21" t="n">
        <f aca="false">-D5*Premissas!$B$9</f>
        <v>-50.037225</v>
      </c>
      <c r="E10" s="21" t="n">
        <f aca="false">-E5*Premissas!$B$9</f>
        <v>-130.3575</v>
      </c>
    </row>
    <row r="11" customFormat="false" ht="15" hidden="false" customHeight="false" outlineLevel="0" collapsed="false">
      <c r="A11" s="18" t="s">
        <v>166</v>
      </c>
      <c r="B11" s="16" t="n">
        <f aca="false">SUM(B5:B10)</f>
        <v>212.907925</v>
      </c>
      <c r="C11" s="16" t="n">
        <f aca="false">SUM(C5:C10)</f>
        <v>508.517925</v>
      </c>
      <c r="D11" s="16" t="n">
        <f aca="false">SUM(D5:D10)</f>
        <v>809.637925</v>
      </c>
      <c r="E11" s="16" t="n">
        <f aca="false">SUM(E5:E10)</f>
        <v>2306.4475</v>
      </c>
    </row>
    <row r="12" customFormat="false" ht="15" hidden="false" customHeight="false" outlineLevel="0" collapsed="false">
      <c r="A12" s="5" t="s">
        <v>167</v>
      </c>
      <c r="B12" s="15" t="n">
        <f aca="false">IFERROR(B11/B5,0)</f>
        <v>0.750640523912775</v>
      </c>
      <c r="C12" s="15" t="n">
        <f aca="false">IFERROR(C11/C5,0)</f>
        <v>0.76395911422927</v>
      </c>
      <c r="D12" s="15" t="n">
        <f aca="false">IFERROR(D11/D5,0)</f>
        <v>0.566324918598104</v>
      </c>
      <c r="E12" s="15" t="n">
        <f aca="false">IFERROR(E11/E5,0)</f>
        <v>0.619263659551618</v>
      </c>
    </row>
    <row r="13" customFormat="false" ht="15" hidden="false" customHeight="false" outlineLevel="0" collapsed="false">
      <c r="A13" s="5" t="s">
        <v>168</v>
      </c>
      <c r="B13" s="22" t="n">
        <f aca="false">Premissas!$B$20</f>
        <v>0.05</v>
      </c>
      <c r="C13" s="22" t="n">
        <f aca="false">Premissas!$C$20</f>
        <v>0.03</v>
      </c>
      <c r="D13" s="22" t="n">
        <f aca="false">Premissas!$D$20</f>
        <v>0.025</v>
      </c>
      <c r="E13" s="22" t="n">
        <f aca="false">Premissas!$E$20</f>
        <v>0.02</v>
      </c>
    </row>
    <row r="14" customFormat="false" ht="15" hidden="false" customHeight="false" outlineLevel="0" collapsed="false">
      <c r="A14" s="5" t="s">
        <v>169</v>
      </c>
      <c r="B14" s="23" t="n">
        <f aca="false">IFERROR(1/B13,0)</f>
        <v>20</v>
      </c>
      <c r="C14" s="23" t="n">
        <f aca="false">IFERROR(1/C13,0)</f>
        <v>33.3333333333333</v>
      </c>
      <c r="D14" s="23" t="n">
        <f aca="false">IFERROR(1/D13,0)</f>
        <v>40</v>
      </c>
      <c r="E14" s="23" t="n">
        <f aca="false">IFERROR(1/E13,0)</f>
        <v>50</v>
      </c>
    </row>
    <row r="15" customFormat="false" ht="15" hidden="false" customHeight="false" outlineLevel="0" collapsed="false">
      <c r="A15" s="5" t="s">
        <v>170</v>
      </c>
      <c r="B15" s="16" t="n">
        <f aca="false">B11*B14</f>
        <v>4258.1585</v>
      </c>
      <c r="C15" s="16" t="n">
        <f aca="false">C11*C14</f>
        <v>16950.5975</v>
      </c>
      <c r="D15" s="16" t="n">
        <f aca="false">D11*D14</f>
        <v>32385.517</v>
      </c>
      <c r="E15" s="16" t="n">
        <f aca="false">E11*E14</f>
        <v>115322.375</v>
      </c>
    </row>
    <row r="16" customFormat="false" ht="15" hidden="false" customHeight="false" outlineLevel="0" collapsed="false">
      <c r="A16" s="5" t="s">
        <v>171</v>
      </c>
      <c r="B16" s="21" t="n">
        <f aca="false">Premissas!$B$42</f>
        <v>1800</v>
      </c>
      <c r="C16" s="21" t="n">
        <f aca="false">Premissas!$B$42</f>
        <v>1800</v>
      </c>
      <c r="D16" s="21" t="n">
        <f aca="false">Premissas!$B$42</f>
        <v>1800</v>
      </c>
      <c r="E16" s="21" t="n">
        <f aca="false">Premissas!$B$42</f>
        <v>1800</v>
      </c>
    </row>
    <row r="17" customFormat="false" ht="15" hidden="false" customHeight="false" outlineLevel="0" collapsed="false">
      <c r="A17" s="18" t="s">
        <v>172</v>
      </c>
      <c r="B17" s="24" t="n">
        <f aca="false">IFERROR(B15/B16,0)</f>
        <v>2.36564361111111</v>
      </c>
      <c r="C17" s="24" t="n">
        <f aca="false">IFERROR(C15/C16,0)</f>
        <v>9.41699861111111</v>
      </c>
      <c r="D17" s="24" t="n">
        <f aca="false">IFERROR(D15/D16,0)</f>
        <v>17.9919538888889</v>
      </c>
      <c r="E17" s="24" t="n">
        <f aca="false">IFERROR(E15/E16,0)</f>
        <v>64.0679861111111</v>
      </c>
    </row>
    <row r="18" customFormat="false" ht="15" hidden="false" customHeight="false" outlineLevel="0" collapsed="false">
      <c r="A18" s="18" t="s">
        <v>173</v>
      </c>
      <c r="B18" s="23" t="n">
        <f aca="false">IFERROR(B16/B11,0)</f>
        <v>8.45435885019311</v>
      </c>
      <c r="C18" s="23" t="n">
        <f aca="false">IFERROR(C16/C11,0)</f>
        <v>3.53969823187649</v>
      </c>
      <c r="D18" s="23" t="n">
        <f aca="false">IFERROR(D16/D11,0)</f>
        <v>2.22321601350381</v>
      </c>
      <c r="E18" s="23" t="n">
        <f aca="false">IFERROR(E16/E11,0)</f>
        <v>0.780420972079356</v>
      </c>
    </row>
    <row r="20" customFormat="false" ht="15" hidden="false" customHeight="false" outlineLevel="0" collapsed="false">
      <c r="A20" s="2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175</v>
      </c>
    </row>
    <row r="3" customFormat="false" ht="15" hidden="false" customHeight="false" outlineLevel="0" collapsed="false">
      <c r="A3" s="11" t="s">
        <v>24</v>
      </c>
      <c r="B3" s="12" t="s">
        <v>176</v>
      </c>
      <c r="C3" s="12" t="s">
        <v>177</v>
      </c>
    </row>
    <row r="4" customFormat="false" ht="15" hidden="false" customHeight="false" outlineLevel="0" collapsed="false">
      <c r="A4" s="5" t="s">
        <v>178</v>
      </c>
      <c r="B4" s="14" t="n">
        <v>635706</v>
      </c>
      <c r="C4" s="7" t="s">
        <v>179</v>
      </c>
    </row>
    <row r="5" customFormat="false" ht="15" hidden="false" customHeight="false" outlineLevel="0" collapsed="false">
      <c r="A5" s="5" t="s">
        <v>180</v>
      </c>
      <c r="B5" s="8" t="n">
        <v>0.48</v>
      </c>
      <c r="C5" s="7" t="s">
        <v>181</v>
      </c>
    </row>
    <row r="6" customFormat="false" ht="15" hidden="false" customHeight="false" outlineLevel="0" collapsed="false">
      <c r="A6" s="5" t="s">
        <v>182</v>
      </c>
      <c r="B6" s="8" t="n">
        <v>0.554</v>
      </c>
      <c r="C6" s="7" t="s">
        <v>183</v>
      </c>
    </row>
    <row r="7" customFormat="false" ht="15" hidden="false" customHeight="false" outlineLevel="0" collapsed="false">
      <c r="A7" s="5" t="s">
        <v>184</v>
      </c>
      <c r="B7" s="21" t="n">
        <f aca="false">Unit_Economics!C5*12*(1+INDEX(Premissas!$B$39:$F$39,3))</f>
        <v>8866.2582</v>
      </c>
      <c r="C7" s="7" t="s">
        <v>185</v>
      </c>
    </row>
    <row r="8" customFormat="false" ht="15" hidden="false" customHeight="false" outlineLevel="0" collapsed="false">
      <c r="A8" s="5" t="s">
        <v>186</v>
      </c>
      <c r="B8" s="16" t="n">
        <f aca="false">B4*B7</f>
        <v>5636333535.2892</v>
      </c>
      <c r="C8" s="7" t="s">
        <v>187</v>
      </c>
    </row>
    <row r="9" customFormat="false" ht="15" hidden="false" customHeight="false" outlineLevel="0" collapsed="false">
      <c r="A9" s="5" t="s">
        <v>188</v>
      </c>
      <c r="B9" s="19" t="n">
        <f aca="false">B4*B5</f>
        <v>305138.88</v>
      </c>
      <c r="C9" s="7" t="s">
        <v>189</v>
      </c>
    </row>
    <row r="10" customFormat="false" ht="15" hidden="false" customHeight="false" outlineLevel="0" collapsed="false">
      <c r="A10" s="5" t="s">
        <v>190</v>
      </c>
      <c r="B10" s="16" t="n">
        <f aca="false">B9*B7</f>
        <v>2705440096.93882</v>
      </c>
      <c r="C10" s="7"/>
    </row>
    <row r="11" customFormat="false" ht="15" hidden="false" customHeight="false" outlineLevel="0" collapsed="false">
      <c r="A11" s="5" t="s">
        <v>191</v>
      </c>
      <c r="B11" s="20" t="n">
        <f aca="false">INDEX(Modelo_Base!$C$26:$BJ$26,5*12)</f>
        <v>6465.10736743354</v>
      </c>
      <c r="C11" s="7" t="s">
        <v>192</v>
      </c>
    </row>
    <row r="12" customFormat="false" ht="15" hidden="false" customHeight="false" outlineLevel="0" collapsed="false">
      <c r="A12" s="5" t="s">
        <v>193</v>
      </c>
      <c r="B12" s="15" t="n">
        <f aca="false">IFERROR(B11/B9,0)</f>
        <v>0.0211874257630937</v>
      </c>
      <c r="C12" s="7"/>
    </row>
    <row r="13" customFormat="false" ht="15" hidden="false" customHeight="false" outlineLevel="0" collapsed="false">
      <c r="A13" s="5" t="s">
        <v>194</v>
      </c>
      <c r="B13" s="21" t="n">
        <f aca="false">INDEX(Modelo_Base!$C$62:$BJ$62,5*12)</f>
        <v>72438951.2604562</v>
      </c>
      <c r="C13" s="7"/>
    </row>
    <row r="14" customFormat="false" ht="15" hidden="false" customHeight="false" outlineLevel="0" collapsed="false">
      <c r="A14" s="5" t="s">
        <v>195</v>
      </c>
      <c r="B14" s="19" t="n">
        <f aca="false">B9*B6</f>
        <v>169046.93952</v>
      </c>
      <c r="C14" s="7" t="s">
        <v>196</v>
      </c>
    </row>
    <row r="16" customFormat="false" ht="15" hidden="false" customHeight="false" outlineLevel="0" collapsed="false">
      <c r="A16" s="3" t="s">
        <v>197</v>
      </c>
      <c r="B16" s="4"/>
      <c r="C16" s="4"/>
    </row>
    <row r="17" customFormat="false" ht="15" hidden="false" customHeight="false" outlineLevel="0" collapsed="false">
      <c r="A17" s="5" t="s">
        <v>198</v>
      </c>
      <c r="B17" s="25" t="n">
        <v>400000</v>
      </c>
      <c r="C17" s="7" t="s">
        <v>199</v>
      </c>
    </row>
    <row r="18" customFormat="false" ht="15" hidden="false" customHeight="false" outlineLevel="0" collapsed="false">
      <c r="A18" s="5" t="s">
        <v>200</v>
      </c>
      <c r="B18" s="25" t="n">
        <v>500000</v>
      </c>
      <c r="C18" s="7" t="s">
        <v>201</v>
      </c>
    </row>
    <row r="19" customFormat="false" ht="15" hidden="false" customHeight="false" outlineLevel="0" collapsed="false">
      <c r="A19" s="5" t="s">
        <v>202</v>
      </c>
      <c r="B19" s="25" t="n">
        <v>150000</v>
      </c>
      <c r="C19" s="7" t="s">
        <v>203</v>
      </c>
    </row>
    <row r="20" customFormat="false" ht="15" hidden="false" customHeight="false" outlineLevel="0" collapsed="false">
      <c r="A20" s="5" t="s">
        <v>204</v>
      </c>
      <c r="B20" s="25" t="n">
        <v>300000</v>
      </c>
      <c r="C20" s="7" t="s">
        <v>205</v>
      </c>
    </row>
    <row r="21" customFormat="false" ht="15" hidden="false" customHeight="false" outlineLevel="0" collapsed="false">
      <c r="A21" s="18" t="s">
        <v>206</v>
      </c>
      <c r="B21" s="19" t="n">
        <f aca="false">SUM(B17:B20)</f>
        <v>1350000</v>
      </c>
    </row>
    <row r="22" customFormat="false" ht="15" hidden="false" customHeight="false" outlineLevel="0" collapsed="false">
      <c r="A22" s="18" t="s">
        <v>207</v>
      </c>
      <c r="B22" s="16" t="n">
        <f aca="false">(B4+B21)*B7</f>
        <v>17605782105.2892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2" min="2" style="0" width="12"/>
  </cols>
  <sheetData>
    <row r="1" customFormat="false" ht="17.35" hidden="false" customHeight="false" outlineLevel="0" collapsed="false">
      <c r="A1" s="1" t="s">
        <v>208</v>
      </c>
    </row>
    <row r="2" customFormat="false" ht="15" hidden="false" customHeight="false" outlineLevel="0" collapsed="false">
      <c r="A2" s="5" t="s">
        <v>209</v>
      </c>
      <c r="B2" s="26" t="n">
        <v>1</v>
      </c>
    </row>
    <row r="3" customFormat="false" ht="15" hidden="false" customHeight="false" outlineLevel="0" collapsed="false">
      <c r="A3" s="5" t="s">
        <v>210</v>
      </c>
      <c r="C3" s="18" t="n">
        <v>1</v>
      </c>
      <c r="D3" s="18" t="n">
        <f aca="false">C3+1</f>
        <v>2</v>
      </c>
      <c r="E3" s="18" t="n">
        <f aca="false">D3+1</f>
        <v>3</v>
      </c>
      <c r="F3" s="18" t="n">
        <f aca="false">E3+1</f>
        <v>4</v>
      </c>
      <c r="G3" s="18" t="n">
        <f aca="false">F3+1</f>
        <v>5</v>
      </c>
      <c r="H3" s="18" t="n">
        <f aca="false">G3+1</f>
        <v>6</v>
      </c>
      <c r="I3" s="18" t="n">
        <f aca="false">H3+1</f>
        <v>7</v>
      </c>
      <c r="J3" s="18" t="n">
        <f aca="false">I3+1</f>
        <v>8</v>
      </c>
      <c r="K3" s="18" t="n">
        <f aca="false">J3+1</f>
        <v>9</v>
      </c>
      <c r="L3" s="18" t="n">
        <f aca="false">K3+1</f>
        <v>10</v>
      </c>
      <c r="M3" s="18" t="n">
        <f aca="false">L3+1</f>
        <v>11</v>
      </c>
      <c r="N3" s="18" t="n">
        <f aca="false">M3+1</f>
        <v>12</v>
      </c>
      <c r="O3" s="18" t="n">
        <f aca="false">N3+1</f>
        <v>13</v>
      </c>
      <c r="P3" s="18" t="n">
        <f aca="false">O3+1</f>
        <v>14</v>
      </c>
      <c r="Q3" s="18" t="n">
        <f aca="false">P3+1</f>
        <v>15</v>
      </c>
      <c r="R3" s="18" t="n">
        <f aca="false">Q3+1</f>
        <v>16</v>
      </c>
      <c r="S3" s="18" t="n">
        <f aca="false">R3+1</f>
        <v>17</v>
      </c>
      <c r="T3" s="18" t="n">
        <f aca="false">S3+1</f>
        <v>18</v>
      </c>
      <c r="U3" s="18" t="n">
        <f aca="false">T3+1</f>
        <v>19</v>
      </c>
      <c r="V3" s="18" t="n">
        <f aca="false">U3+1</f>
        <v>20</v>
      </c>
      <c r="W3" s="18" t="n">
        <f aca="false">V3+1</f>
        <v>21</v>
      </c>
      <c r="X3" s="18" t="n">
        <f aca="false">W3+1</f>
        <v>22</v>
      </c>
      <c r="Y3" s="18" t="n">
        <f aca="false">X3+1</f>
        <v>23</v>
      </c>
      <c r="Z3" s="18" t="n">
        <f aca="false">Y3+1</f>
        <v>24</v>
      </c>
      <c r="AA3" s="18" t="n">
        <f aca="false">Z3+1</f>
        <v>25</v>
      </c>
      <c r="AB3" s="18" t="n">
        <f aca="false">AA3+1</f>
        <v>26</v>
      </c>
      <c r="AC3" s="18" t="n">
        <f aca="false">AB3+1</f>
        <v>27</v>
      </c>
      <c r="AD3" s="18" t="n">
        <f aca="false">AC3+1</f>
        <v>28</v>
      </c>
      <c r="AE3" s="18" t="n">
        <f aca="false">AD3+1</f>
        <v>29</v>
      </c>
      <c r="AF3" s="18" t="n">
        <f aca="false">AE3+1</f>
        <v>30</v>
      </c>
      <c r="AG3" s="18" t="n">
        <f aca="false">AF3+1</f>
        <v>31</v>
      </c>
      <c r="AH3" s="18" t="n">
        <f aca="false">AG3+1</f>
        <v>32</v>
      </c>
      <c r="AI3" s="18" t="n">
        <f aca="false">AH3+1</f>
        <v>33</v>
      </c>
      <c r="AJ3" s="18" t="n">
        <f aca="false">AI3+1</f>
        <v>34</v>
      </c>
      <c r="AK3" s="18" t="n">
        <f aca="false">AJ3+1</f>
        <v>35</v>
      </c>
      <c r="AL3" s="18" t="n">
        <f aca="false">AK3+1</f>
        <v>36</v>
      </c>
      <c r="AM3" s="18" t="n">
        <f aca="false">AL3+1</f>
        <v>37</v>
      </c>
      <c r="AN3" s="18" t="n">
        <f aca="false">AM3+1</f>
        <v>38</v>
      </c>
      <c r="AO3" s="18" t="n">
        <f aca="false">AN3+1</f>
        <v>39</v>
      </c>
      <c r="AP3" s="18" t="n">
        <f aca="false">AO3+1</f>
        <v>40</v>
      </c>
      <c r="AQ3" s="18" t="n">
        <f aca="false">AP3+1</f>
        <v>41</v>
      </c>
      <c r="AR3" s="18" t="n">
        <f aca="false">AQ3+1</f>
        <v>42</v>
      </c>
      <c r="AS3" s="18" t="n">
        <f aca="false">AR3+1</f>
        <v>43</v>
      </c>
      <c r="AT3" s="18" t="n">
        <f aca="false">AS3+1</f>
        <v>44</v>
      </c>
      <c r="AU3" s="18" t="n">
        <f aca="false">AT3+1</f>
        <v>45</v>
      </c>
      <c r="AV3" s="18" t="n">
        <f aca="false">AU3+1</f>
        <v>46</v>
      </c>
      <c r="AW3" s="18" t="n">
        <f aca="false">AV3+1</f>
        <v>47</v>
      </c>
      <c r="AX3" s="18" t="n">
        <f aca="false">AW3+1</f>
        <v>48</v>
      </c>
      <c r="AY3" s="18" t="n">
        <f aca="false">AX3+1</f>
        <v>49</v>
      </c>
      <c r="AZ3" s="18" t="n">
        <f aca="false">AY3+1</f>
        <v>50</v>
      </c>
      <c r="BA3" s="18" t="n">
        <f aca="false">AZ3+1</f>
        <v>51</v>
      </c>
      <c r="BB3" s="18" t="n">
        <f aca="false">BA3+1</f>
        <v>52</v>
      </c>
      <c r="BC3" s="18" t="n">
        <f aca="false">BB3+1</f>
        <v>53</v>
      </c>
      <c r="BD3" s="18" t="n">
        <f aca="false">BC3+1</f>
        <v>54</v>
      </c>
      <c r="BE3" s="18" t="n">
        <f aca="false">BD3+1</f>
        <v>55</v>
      </c>
      <c r="BF3" s="18" t="n">
        <f aca="false">BE3+1</f>
        <v>56</v>
      </c>
      <c r="BG3" s="18" t="n">
        <f aca="false">BF3+1</f>
        <v>57</v>
      </c>
      <c r="BH3" s="18" t="n">
        <f aca="false">BG3+1</f>
        <v>58</v>
      </c>
      <c r="BI3" s="18" t="n">
        <f aca="false">BH3+1</f>
        <v>59</v>
      </c>
      <c r="BJ3" s="18" t="n">
        <f aca="false">BI3+1</f>
        <v>60</v>
      </c>
    </row>
    <row r="4" customFormat="false" ht="15" hidden="false" customHeight="false" outlineLevel="0" collapsed="false">
      <c r="A4" s="5" t="s">
        <v>46</v>
      </c>
      <c r="C4" s="5" t="n">
        <f aca="false">ROUNDUP(C3/12,0)</f>
        <v>1</v>
      </c>
      <c r="D4" s="5" t="n">
        <f aca="false">ROUNDUP(D3/12,0)</f>
        <v>1</v>
      </c>
      <c r="E4" s="5" t="n">
        <f aca="false">ROUNDUP(E3/12,0)</f>
        <v>1</v>
      </c>
      <c r="F4" s="5" t="n">
        <f aca="false">ROUNDUP(F3/12,0)</f>
        <v>1</v>
      </c>
      <c r="G4" s="5" t="n">
        <f aca="false">ROUNDUP(G3/12,0)</f>
        <v>1</v>
      </c>
      <c r="H4" s="5" t="n">
        <f aca="false">ROUNDUP(H3/12,0)</f>
        <v>1</v>
      </c>
      <c r="I4" s="5" t="n">
        <f aca="false">ROUNDUP(I3/12,0)</f>
        <v>1</v>
      </c>
      <c r="J4" s="5" t="n">
        <f aca="false">ROUNDUP(J3/12,0)</f>
        <v>1</v>
      </c>
      <c r="K4" s="5" t="n">
        <f aca="false">ROUNDUP(K3/12,0)</f>
        <v>1</v>
      </c>
      <c r="L4" s="5" t="n">
        <f aca="false">ROUNDUP(L3/12,0)</f>
        <v>1</v>
      </c>
      <c r="M4" s="5" t="n">
        <f aca="false">ROUNDUP(M3/12,0)</f>
        <v>1</v>
      </c>
      <c r="N4" s="5" t="n">
        <f aca="false">ROUNDUP(N3/12,0)</f>
        <v>1</v>
      </c>
      <c r="O4" s="5" t="n">
        <f aca="false">ROUNDUP(O3/12,0)</f>
        <v>2</v>
      </c>
      <c r="P4" s="5" t="n">
        <f aca="false">ROUNDUP(P3/12,0)</f>
        <v>2</v>
      </c>
      <c r="Q4" s="5" t="n">
        <f aca="false">ROUNDUP(Q3/12,0)</f>
        <v>2</v>
      </c>
      <c r="R4" s="5" t="n">
        <f aca="false">ROUNDUP(R3/12,0)</f>
        <v>2</v>
      </c>
      <c r="S4" s="5" t="n">
        <f aca="false">ROUNDUP(S3/12,0)</f>
        <v>2</v>
      </c>
      <c r="T4" s="5" t="n">
        <f aca="false">ROUNDUP(T3/12,0)</f>
        <v>2</v>
      </c>
      <c r="U4" s="5" t="n">
        <f aca="false">ROUNDUP(U3/12,0)</f>
        <v>2</v>
      </c>
      <c r="V4" s="5" t="n">
        <f aca="false">ROUNDUP(V3/12,0)</f>
        <v>2</v>
      </c>
      <c r="W4" s="5" t="n">
        <f aca="false">ROUNDUP(W3/12,0)</f>
        <v>2</v>
      </c>
      <c r="X4" s="5" t="n">
        <f aca="false">ROUNDUP(X3/12,0)</f>
        <v>2</v>
      </c>
      <c r="Y4" s="5" t="n">
        <f aca="false">ROUNDUP(Y3/12,0)</f>
        <v>2</v>
      </c>
      <c r="Z4" s="5" t="n">
        <f aca="false">ROUNDUP(Z3/12,0)</f>
        <v>2</v>
      </c>
      <c r="AA4" s="5" t="n">
        <f aca="false">ROUNDUP(AA3/12,0)</f>
        <v>3</v>
      </c>
      <c r="AB4" s="5" t="n">
        <f aca="false">ROUNDUP(AB3/12,0)</f>
        <v>3</v>
      </c>
      <c r="AC4" s="5" t="n">
        <f aca="false">ROUNDUP(AC3/12,0)</f>
        <v>3</v>
      </c>
      <c r="AD4" s="5" t="n">
        <f aca="false">ROUNDUP(AD3/12,0)</f>
        <v>3</v>
      </c>
      <c r="AE4" s="5" t="n">
        <f aca="false">ROUNDUP(AE3/12,0)</f>
        <v>3</v>
      </c>
      <c r="AF4" s="5" t="n">
        <f aca="false">ROUNDUP(AF3/12,0)</f>
        <v>3</v>
      </c>
      <c r="AG4" s="5" t="n">
        <f aca="false">ROUNDUP(AG3/12,0)</f>
        <v>3</v>
      </c>
      <c r="AH4" s="5" t="n">
        <f aca="false">ROUNDUP(AH3/12,0)</f>
        <v>3</v>
      </c>
      <c r="AI4" s="5" t="n">
        <f aca="false">ROUNDUP(AI3/12,0)</f>
        <v>3</v>
      </c>
      <c r="AJ4" s="5" t="n">
        <f aca="false">ROUNDUP(AJ3/12,0)</f>
        <v>3</v>
      </c>
      <c r="AK4" s="5" t="n">
        <f aca="false">ROUNDUP(AK3/12,0)</f>
        <v>3</v>
      </c>
      <c r="AL4" s="5" t="n">
        <f aca="false">ROUNDUP(AL3/12,0)</f>
        <v>3</v>
      </c>
      <c r="AM4" s="5" t="n">
        <f aca="false">ROUNDUP(AM3/12,0)</f>
        <v>4</v>
      </c>
      <c r="AN4" s="5" t="n">
        <f aca="false">ROUNDUP(AN3/12,0)</f>
        <v>4</v>
      </c>
      <c r="AO4" s="5" t="n">
        <f aca="false">ROUNDUP(AO3/12,0)</f>
        <v>4</v>
      </c>
      <c r="AP4" s="5" t="n">
        <f aca="false">ROUNDUP(AP3/12,0)</f>
        <v>4</v>
      </c>
      <c r="AQ4" s="5" t="n">
        <f aca="false">ROUNDUP(AQ3/12,0)</f>
        <v>4</v>
      </c>
      <c r="AR4" s="5" t="n">
        <f aca="false">ROUNDUP(AR3/12,0)</f>
        <v>4</v>
      </c>
      <c r="AS4" s="5" t="n">
        <f aca="false">ROUNDUP(AS3/12,0)</f>
        <v>4</v>
      </c>
      <c r="AT4" s="5" t="n">
        <f aca="false">ROUNDUP(AT3/12,0)</f>
        <v>4</v>
      </c>
      <c r="AU4" s="5" t="n">
        <f aca="false">ROUNDUP(AU3/12,0)</f>
        <v>4</v>
      </c>
      <c r="AV4" s="5" t="n">
        <f aca="false">ROUNDUP(AV3/12,0)</f>
        <v>4</v>
      </c>
      <c r="AW4" s="5" t="n">
        <f aca="false">ROUNDUP(AW3/12,0)</f>
        <v>4</v>
      </c>
      <c r="AX4" s="5" t="n">
        <f aca="false">ROUNDUP(AX3/12,0)</f>
        <v>4</v>
      </c>
      <c r="AY4" s="5" t="n">
        <f aca="false">ROUNDUP(AY3/12,0)</f>
        <v>5</v>
      </c>
      <c r="AZ4" s="5" t="n">
        <f aca="false">ROUNDUP(AZ3/12,0)</f>
        <v>5</v>
      </c>
      <c r="BA4" s="5" t="n">
        <f aca="false">ROUNDUP(BA3/12,0)</f>
        <v>5</v>
      </c>
      <c r="BB4" s="5" t="n">
        <f aca="false">ROUNDUP(BB3/12,0)</f>
        <v>5</v>
      </c>
      <c r="BC4" s="5" t="n">
        <f aca="false">ROUNDUP(BC3/12,0)</f>
        <v>5</v>
      </c>
      <c r="BD4" s="5" t="n">
        <f aca="false">ROUNDUP(BD3/12,0)</f>
        <v>5</v>
      </c>
      <c r="BE4" s="5" t="n">
        <f aca="false">ROUNDUP(BE3/12,0)</f>
        <v>5</v>
      </c>
      <c r="BF4" s="5" t="n">
        <f aca="false">ROUNDUP(BF3/12,0)</f>
        <v>5</v>
      </c>
      <c r="BG4" s="5" t="n">
        <f aca="false">ROUNDUP(BG3/12,0)</f>
        <v>5</v>
      </c>
      <c r="BH4" s="5" t="n">
        <f aca="false">ROUNDUP(BH3/12,0)</f>
        <v>5</v>
      </c>
      <c r="BI4" s="5" t="n">
        <f aca="false">ROUNDUP(BI3/12,0)</f>
        <v>5</v>
      </c>
      <c r="BJ4" s="5" t="n">
        <f aca="false">ROUNDUP(BJ3/12,0)</f>
        <v>5</v>
      </c>
    </row>
    <row r="6" customFormat="false" ht="15" hidden="false" customHeight="false" outlineLevel="0" collapsed="false">
      <c r="A6" s="3" t="s">
        <v>211</v>
      </c>
      <c r="B6" s="4"/>
    </row>
    <row r="7" customFormat="false" ht="15" hidden="false" customHeight="false" outlineLevel="0" collapsed="false">
      <c r="A7" s="5" t="s">
        <v>212</v>
      </c>
      <c r="C7" s="21" t="n">
        <f aca="false">INDEX(Premissas!$B$37:$F$37,C$4)*INDEX(Premissas!$B$51:$D$51,$B$2)</f>
        <v>20000</v>
      </c>
      <c r="D7" s="21" t="n">
        <f aca="false">INDEX(Premissas!$B$37:$F$37,D$4)*INDEX(Premissas!$B$51:$D$51,$B$2)</f>
        <v>20000</v>
      </c>
      <c r="E7" s="21" t="n">
        <f aca="false">INDEX(Premissas!$B$37:$F$37,E$4)*INDEX(Premissas!$B$51:$D$51,$B$2)</f>
        <v>20000</v>
      </c>
      <c r="F7" s="21" t="n">
        <f aca="false">INDEX(Premissas!$B$37:$F$37,F$4)*INDEX(Premissas!$B$51:$D$51,$B$2)</f>
        <v>20000</v>
      </c>
      <c r="G7" s="21" t="n">
        <f aca="false">INDEX(Premissas!$B$37:$F$37,G$4)*INDEX(Premissas!$B$51:$D$51,$B$2)</f>
        <v>20000</v>
      </c>
      <c r="H7" s="21" t="n">
        <f aca="false">INDEX(Premissas!$B$37:$F$37,H$4)*INDEX(Premissas!$B$51:$D$51,$B$2)</f>
        <v>20000</v>
      </c>
      <c r="I7" s="21" t="n">
        <f aca="false">INDEX(Premissas!$B$37:$F$37,I$4)*INDEX(Premissas!$B$51:$D$51,$B$2)</f>
        <v>20000</v>
      </c>
      <c r="J7" s="21" t="n">
        <f aca="false">INDEX(Premissas!$B$37:$F$37,J$4)*INDEX(Premissas!$B$51:$D$51,$B$2)</f>
        <v>20000</v>
      </c>
      <c r="K7" s="21" t="n">
        <f aca="false">INDEX(Premissas!$B$37:$F$37,K$4)*INDEX(Premissas!$B$51:$D$51,$B$2)</f>
        <v>20000</v>
      </c>
      <c r="L7" s="21" t="n">
        <f aca="false">INDEX(Premissas!$B$37:$F$37,L$4)*INDEX(Premissas!$B$51:$D$51,$B$2)</f>
        <v>20000</v>
      </c>
      <c r="M7" s="21" t="n">
        <f aca="false">INDEX(Premissas!$B$37:$F$37,M$4)*INDEX(Premissas!$B$51:$D$51,$B$2)</f>
        <v>20000</v>
      </c>
      <c r="N7" s="21" t="n">
        <f aca="false">INDEX(Premissas!$B$37:$F$37,N$4)*INDEX(Premissas!$B$51:$D$51,$B$2)</f>
        <v>20000</v>
      </c>
      <c r="O7" s="21" t="n">
        <f aca="false">INDEX(Premissas!$B$37:$F$37,O$4)*INDEX(Premissas!$B$51:$D$51,$B$2)</f>
        <v>56000</v>
      </c>
      <c r="P7" s="21" t="n">
        <f aca="false">INDEX(Premissas!$B$37:$F$37,P$4)*INDEX(Premissas!$B$51:$D$51,$B$2)</f>
        <v>56000</v>
      </c>
      <c r="Q7" s="21" t="n">
        <f aca="false">INDEX(Premissas!$B$37:$F$37,Q$4)*INDEX(Premissas!$B$51:$D$51,$B$2)</f>
        <v>56000</v>
      </c>
      <c r="R7" s="21" t="n">
        <f aca="false">INDEX(Premissas!$B$37:$F$37,R$4)*INDEX(Premissas!$B$51:$D$51,$B$2)</f>
        <v>56000</v>
      </c>
      <c r="S7" s="21" t="n">
        <f aca="false">INDEX(Premissas!$B$37:$F$37,S$4)*INDEX(Premissas!$B$51:$D$51,$B$2)</f>
        <v>56000</v>
      </c>
      <c r="T7" s="21" t="n">
        <f aca="false">INDEX(Premissas!$B$37:$F$37,T$4)*INDEX(Premissas!$B$51:$D$51,$B$2)</f>
        <v>56000</v>
      </c>
      <c r="U7" s="21" t="n">
        <f aca="false">INDEX(Premissas!$B$37:$F$37,U$4)*INDEX(Premissas!$B$51:$D$51,$B$2)</f>
        <v>56000</v>
      </c>
      <c r="V7" s="21" t="n">
        <f aca="false">INDEX(Premissas!$B$37:$F$37,V$4)*INDEX(Premissas!$B$51:$D$51,$B$2)</f>
        <v>56000</v>
      </c>
      <c r="W7" s="21" t="n">
        <f aca="false">INDEX(Premissas!$B$37:$F$37,W$4)*INDEX(Premissas!$B$51:$D$51,$B$2)</f>
        <v>56000</v>
      </c>
      <c r="X7" s="21" t="n">
        <f aca="false">INDEX(Premissas!$B$37:$F$37,X$4)*INDEX(Premissas!$B$51:$D$51,$B$2)</f>
        <v>56000</v>
      </c>
      <c r="Y7" s="21" t="n">
        <f aca="false">INDEX(Premissas!$B$37:$F$37,Y$4)*INDEX(Premissas!$B$51:$D$51,$B$2)</f>
        <v>56000</v>
      </c>
      <c r="Z7" s="21" t="n">
        <f aca="false">INDEX(Premissas!$B$37:$F$37,Z$4)*INDEX(Premissas!$B$51:$D$51,$B$2)</f>
        <v>56000</v>
      </c>
      <c r="AA7" s="21" t="n">
        <f aca="false">INDEX(Premissas!$B$37:$F$37,AA$4)*INDEX(Premissas!$B$51:$D$51,$B$2)</f>
        <v>120000</v>
      </c>
      <c r="AB7" s="21" t="n">
        <f aca="false">INDEX(Premissas!$B$37:$F$37,AB$4)*INDEX(Premissas!$B$51:$D$51,$B$2)</f>
        <v>120000</v>
      </c>
      <c r="AC7" s="21" t="n">
        <f aca="false">INDEX(Premissas!$B$37:$F$37,AC$4)*INDEX(Premissas!$B$51:$D$51,$B$2)</f>
        <v>120000</v>
      </c>
      <c r="AD7" s="21" t="n">
        <f aca="false">INDEX(Premissas!$B$37:$F$37,AD$4)*INDEX(Premissas!$B$51:$D$51,$B$2)</f>
        <v>120000</v>
      </c>
      <c r="AE7" s="21" t="n">
        <f aca="false">INDEX(Premissas!$B$37:$F$37,AE$4)*INDEX(Premissas!$B$51:$D$51,$B$2)</f>
        <v>120000</v>
      </c>
      <c r="AF7" s="21" t="n">
        <f aca="false">INDEX(Premissas!$B$37:$F$37,AF$4)*INDEX(Premissas!$B$51:$D$51,$B$2)</f>
        <v>120000</v>
      </c>
      <c r="AG7" s="21" t="n">
        <f aca="false">INDEX(Premissas!$B$37:$F$37,AG$4)*INDEX(Premissas!$B$51:$D$51,$B$2)</f>
        <v>120000</v>
      </c>
      <c r="AH7" s="21" t="n">
        <f aca="false">INDEX(Premissas!$B$37:$F$37,AH$4)*INDEX(Premissas!$B$51:$D$51,$B$2)</f>
        <v>120000</v>
      </c>
      <c r="AI7" s="21" t="n">
        <f aca="false">INDEX(Premissas!$B$37:$F$37,AI$4)*INDEX(Premissas!$B$51:$D$51,$B$2)</f>
        <v>120000</v>
      </c>
      <c r="AJ7" s="21" t="n">
        <f aca="false">INDEX(Premissas!$B$37:$F$37,AJ$4)*INDEX(Premissas!$B$51:$D$51,$B$2)</f>
        <v>120000</v>
      </c>
      <c r="AK7" s="21" t="n">
        <f aca="false">INDEX(Premissas!$B$37:$F$37,AK$4)*INDEX(Premissas!$B$51:$D$51,$B$2)</f>
        <v>120000</v>
      </c>
      <c r="AL7" s="21" t="n">
        <f aca="false">INDEX(Premissas!$B$37:$F$37,AL$4)*INDEX(Premissas!$B$51:$D$51,$B$2)</f>
        <v>120000</v>
      </c>
      <c r="AM7" s="21" t="n">
        <f aca="false">INDEX(Premissas!$B$37:$F$37,AM$4)*INDEX(Premissas!$B$51:$D$51,$B$2)</f>
        <v>192000</v>
      </c>
      <c r="AN7" s="21" t="n">
        <f aca="false">INDEX(Premissas!$B$37:$F$37,AN$4)*INDEX(Premissas!$B$51:$D$51,$B$2)</f>
        <v>192000</v>
      </c>
      <c r="AO7" s="21" t="n">
        <f aca="false">INDEX(Premissas!$B$37:$F$37,AO$4)*INDEX(Premissas!$B$51:$D$51,$B$2)</f>
        <v>192000</v>
      </c>
      <c r="AP7" s="21" t="n">
        <f aca="false">INDEX(Premissas!$B$37:$F$37,AP$4)*INDEX(Premissas!$B$51:$D$51,$B$2)</f>
        <v>192000</v>
      </c>
      <c r="AQ7" s="21" t="n">
        <f aca="false">INDEX(Premissas!$B$37:$F$37,AQ$4)*INDEX(Premissas!$B$51:$D$51,$B$2)</f>
        <v>192000</v>
      </c>
      <c r="AR7" s="21" t="n">
        <f aca="false">INDEX(Premissas!$B$37:$F$37,AR$4)*INDEX(Premissas!$B$51:$D$51,$B$2)</f>
        <v>192000</v>
      </c>
      <c r="AS7" s="21" t="n">
        <f aca="false">INDEX(Premissas!$B$37:$F$37,AS$4)*INDEX(Premissas!$B$51:$D$51,$B$2)</f>
        <v>192000</v>
      </c>
      <c r="AT7" s="21" t="n">
        <f aca="false">INDEX(Premissas!$B$37:$F$37,AT$4)*INDEX(Premissas!$B$51:$D$51,$B$2)</f>
        <v>192000</v>
      </c>
      <c r="AU7" s="21" t="n">
        <f aca="false">INDEX(Premissas!$B$37:$F$37,AU$4)*INDEX(Premissas!$B$51:$D$51,$B$2)</f>
        <v>192000</v>
      </c>
      <c r="AV7" s="21" t="n">
        <f aca="false">INDEX(Premissas!$B$37:$F$37,AV$4)*INDEX(Premissas!$B$51:$D$51,$B$2)</f>
        <v>192000</v>
      </c>
      <c r="AW7" s="21" t="n">
        <f aca="false">INDEX(Premissas!$B$37:$F$37,AW$4)*INDEX(Premissas!$B$51:$D$51,$B$2)</f>
        <v>192000</v>
      </c>
      <c r="AX7" s="21" t="n">
        <f aca="false">INDEX(Premissas!$B$37:$F$37,AX$4)*INDEX(Premissas!$B$51:$D$51,$B$2)</f>
        <v>192000</v>
      </c>
      <c r="AY7" s="21" t="n">
        <f aca="false">INDEX(Premissas!$B$37:$F$37,AY$4)*INDEX(Premissas!$B$51:$D$51,$B$2)</f>
        <v>256000</v>
      </c>
      <c r="AZ7" s="21" t="n">
        <f aca="false">INDEX(Premissas!$B$37:$F$37,AZ$4)*INDEX(Premissas!$B$51:$D$51,$B$2)</f>
        <v>256000</v>
      </c>
      <c r="BA7" s="21" t="n">
        <f aca="false">INDEX(Premissas!$B$37:$F$37,BA$4)*INDEX(Premissas!$B$51:$D$51,$B$2)</f>
        <v>256000</v>
      </c>
      <c r="BB7" s="21" t="n">
        <f aca="false">INDEX(Premissas!$B$37:$F$37,BB$4)*INDEX(Premissas!$B$51:$D$51,$B$2)</f>
        <v>256000</v>
      </c>
      <c r="BC7" s="21" t="n">
        <f aca="false">INDEX(Premissas!$B$37:$F$37,BC$4)*INDEX(Premissas!$B$51:$D$51,$B$2)</f>
        <v>256000</v>
      </c>
      <c r="BD7" s="21" t="n">
        <f aca="false">INDEX(Premissas!$B$37:$F$37,BD$4)*INDEX(Premissas!$B$51:$D$51,$B$2)</f>
        <v>256000</v>
      </c>
      <c r="BE7" s="21" t="n">
        <f aca="false">INDEX(Premissas!$B$37:$F$37,BE$4)*INDEX(Premissas!$B$51:$D$51,$B$2)</f>
        <v>256000</v>
      </c>
      <c r="BF7" s="21" t="n">
        <f aca="false">INDEX(Premissas!$B$37:$F$37,BF$4)*INDEX(Premissas!$B$51:$D$51,$B$2)</f>
        <v>256000</v>
      </c>
      <c r="BG7" s="21" t="n">
        <f aca="false">INDEX(Premissas!$B$37:$F$37,BG$4)*INDEX(Premissas!$B$51:$D$51,$B$2)</f>
        <v>256000</v>
      </c>
      <c r="BH7" s="21" t="n">
        <f aca="false">INDEX(Premissas!$B$37:$F$37,BH$4)*INDEX(Premissas!$B$51:$D$51,$B$2)</f>
        <v>256000</v>
      </c>
      <c r="BI7" s="21" t="n">
        <f aca="false">INDEX(Premissas!$B$37:$F$37,BI$4)*INDEX(Premissas!$B$51:$D$51,$B$2)</f>
        <v>256000</v>
      </c>
      <c r="BJ7" s="21" t="n">
        <f aca="false">INDEX(Premissas!$B$37:$F$37,BJ$4)*INDEX(Premissas!$B$51:$D$51,$B$2)</f>
        <v>256000</v>
      </c>
    </row>
    <row r="8" customFormat="false" ht="15" hidden="false" customHeight="false" outlineLevel="0" collapsed="false">
      <c r="A8" s="5" t="s">
        <v>213</v>
      </c>
      <c r="C8" s="21" t="n">
        <f aca="false">INDEX(Premissas!$B$42:$F$42,C$4)*INDEX(Premissas!$B$47:$D$47,$B$2)</f>
        <v>2340</v>
      </c>
      <c r="D8" s="21" t="n">
        <f aca="false">INDEX(Premissas!$B$42:$F$42,D$4)*INDEX(Premissas!$B$47:$D$47,$B$2)</f>
        <v>2340</v>
      </c>
      <c r="E8" s="21" t="n">
        <f aca="false">INDEX(Premissas!$B$42:$F$42,E$4)*INDEX(Premissas!$B$47:$D$47,$B$2)</f>
        <v>2340</v>
      </c>
      <c r="F8" s="21" t="n">
        <f aca="false">INDEX(Premissas!$B$42:$F$42,F$4)*INDEX(Premissas!$B$47:$D$47,$B$2)</f>
        <v>2340</v>
      </c>
      <c r="G8" s="21" t="n">
        <f aca="false">INDEX(Premissas!$B$42:$F$42,G$4)*INDEX(Premissas!$B$47:$D$47,$B$2)</f>
        <v>2340</v>
      </c>
      <c r="H8" s="21" t="n">
        <f aca="false">INDEX(Premissas!$B$42:$F$42,H$4)*INDEX(Premissas!$B$47:$D$47,$B$2)</f>
        <v>2340</v>
      </c>
      <c r="I8" s="21" t="n">
        <f aca="false">INDEX(Premissas!$B$42:$F$42,I$4)*INDEX(Premissas!$B$47:$D$47,$B$2)</f>
        <v>2340</v>
      </c>
      <c r="J8" s="21" t="n">
        <f aca="false">INDEX(Premissas!$B$42:$F$42,J$4)*INDEX(Premissas!$B$47:$D$47,$B$2)</f>
        <v>2340</v>
      </c>
      <c r="K8" s="21" t="n">
        <f aca="false">INDEX(Premissas!$B$42:$F$42,K$4)*INDEX(Premissas!$B$47:$D$47,$B$2)</f>
        <v>2340</v>
      </c>
      <c r="L8" s="21" t="n">
        <f aca="false">INDEX(Premissas!$B$42:$F$42,L$4)*INDEX(Premissas!$B$47:$D$47,$B$2)</f>
        <v>2340</v>
      </c>
      <c r="M8" s="21" t="n">
        <f aca="false">INDEX(Premissas!$B$42:$F$42,M$4)*INDEX(Premissas!$B$47:$D$47,$B$2)</f>
        <v>2340</v>
      </c>
      <c r="N8" s="21" t="n">
        <f aca="false">INDEX(Premissas!$B$42:$F$42,N$4)*INDEX(Premissas!$B$47:$D$47,$B$2)</f>
        <v>2340</v>
      </c>
      <c r="O8" s="21" t="n">
        <f aca="false">INDEX(Premissas!$B$42:$F$42,O$4)*INDEX(Premissas!$B$47:$D$47,$B$2)</f>
        <v>2176.2</v>
      </c>
      <c r="P8" s="21" t="n">
        <f aca="false">INDEX(Premissas!$B$42:$F$42,P$4)*INDEX(Premissas!$B$47:$D$47,$B$2)</f>
        <v>2176.2</v>
      </c>
      <c r="Q8" s="21" t="n">
        <f aca="false">INDEX(Premissas!$B$42:$F$42,Q$4)*INDEX(Premissas!$B$47:$D$47,$B$2)</f>
        <v>2176.2</v>
      </c>
      <c r="R8" s="21" t="n">
        <f aca="false">INDEX(Premissas!$B$42:$F$42,R$4)*INDEX(Premissas!$B$47:$D$47,$B$2)</f>
        <v>2176.2</v>
      </c>
      <c r="S8" s="21" t="n">
        <f aca="false">INDEX(Premissas!$B$42:$F$42,S$4)*INDEX(Premissas!$B$47:$D$47,$B$2)</f>
        <v>2176.2</v>
      </c>
      <c r="T8" s="21" t="n">
        <f aca="false">INDEX(Premissas!$B$42:$F$42,T$4)*INDEX(Premissas!$B$47:$D$47,$B$2)</f>
        <v>2176.2</v>
      </c>
      <c r="U8" s="21" t="n">
        <f aca="false">INDEX(Premissas!$B$42:$F$42,U$4)*INDEX(Premissas!$B$47:$D$47,$B$2)</f>
        <v>2176.2</v>
      </c>
      <c r="V8" s="21" t="n">
        <f aca="false">INDEX(Premissas!$B$42:$F$42,V$4)*INDEX(Premissas!$B$47:$D$47,$B$2)</f>
        <v>2176.2</v>
      </c>
      <c r="W8" s="21" t="n">
        <f aca="false">INDEX(Premissas!$B$42:$F$42,W$4)*INDEX(Premissas!$B$47:$D$47,$B$2)</f>
        <v>2176.2</v>
      </c>
      <c r="X8" s="21" t="n">
        <f aca="false">INDEX(Premissas!$B$42:$F$42,X$4)*INDEX(Premissas!$B$47:$D$47,$B$2)</f>
        <v>2176.2</v>
      </c>
      <c r="Y8" s="21" t="n">
        <f aca="false">INDEX(Premissas!$B$42:$F$42,Y$4)*INDEX(Premissas!$B$47:$D$47,$B$2)</f>
        <v>2176.2</v>
      </c>
      <c r="Z8" s="21" t="n">
        <f aca="false">INDEX(Premissas!$B$42:$F$42,Z$4)*INDEX(Premissas!$B$47:$D$47,$B$2)</f>
        <v>2176.2</v>
      </c>
      <c r="AA8" s="21" t="n">
        <f aca="false">INDEX(Premissas!$B$42:$F$42,AA$4)*INDEX(Premissas!$B$47:$D$47,$B$2)</f>
        <v>2023.866</v>
      </c>
      <c r="AB8" s="21" t="n">
        <f aca="false">INDEX(Premissas!$B$42:$F$42,AB$4)*INDEX(Premissas!$B$47:$D$47,$B$2)</f>
        <v>2023.866</v>
      </c>
      <c r="AC8" s="21" t="n">
        <f aca="false">INDEX(Premissas!$B$42:$F$42,AC$4)*INDEX(Premissas!$B$47:$D$47,$B$2)</f>
        <v>2023.866</v>
      </c>
      <c r="AD8" s="21" t="n">
        <f aca="false">INDEX(Premissas!$B$42:$F$42,AD$4)*INDEX(Premissas!$B$47:$D$47,$B$2)</f>
        <v>2023.866</v>
      </c>
      <c r="AE8" s="21" t="n">
        <f aca="false">INDEX(Premissas!$B$42:$F$42,AE$4)*INDEX(Premissas!$B$47:$D$47,$B$2)</f>
        <v>2023.866</v>
      </c>
      <c r="AF8" s="21" t="n">
        <f aca="false">INDEX(Premissas!$B$42:$F$42,AF$4)*INDEX(Premissas!$B$47:$D$47,$B$2)</f>
        <v>2023.866</v>
      </c>
      <c r="AG8" s="21" t="n">
        <f aca="false">INDEX(Premissas!$B$42:$F$42,AG$4)*INDEX(Premissas!$B$47:$D$47,$B$2)</f>
        <v>2023.866</v>
      </c>
      <c r="AH8" s="21" t="n">
        <f aca="false">INDEX(Premissas!$B$42:$F$42,AH$4)*INDEX(Premissas!$B$47:$D$47,$B$2)</f>
        <v>2023.866</v>
      </c>
      <c r="AI8" s="21" t="n">
        <f aca="false">INDEX(Premissas!$B$42:$F$42,AI$4)*INDEX(Premissas!$B$47:$D$47,$B$2)</f>
        <v>2023.866</v>
      </c>
      <c r="AJ8" s="21" t="n">
        <f aca="false">INDEX(Premissas!$B$42:$F$42,AJ$4)*INDEX(Premissas!$B$47:$D$47,$B$2)</f>
        <v>2023.866</v>
      </c>
      <c r="AK8" s="21" t="n">
        <f aca="false">INDEX(Premissas!$B$42:$F$42,AK$4)*INDEX(Premissas!$B$47:$D$47,$B$2)</f>
        <v>2023.866</v>
      </c>
      <c r="AL8" s="21" t="n">
        <f aca="false">INDEX(Premissas!$B$42:$F$42,AL$4)*INDEX(Premissas!$B$47:$D$47,$B$2)</f>
        <v>2023.866</v>
      </c>
      <c r="AM8" s="21" t="n">
        <f aca="false">INDEX(Premissas!$B$42:$F$42,AM$4)*INDEX(Premissas!$B$47:$D$47,$B$2)</f>
        <v>1882.19538</v>
      </c>
      <c r="AN8" s="21" t="n">
        <f aca="false">INDEX(Premissas!$B$42:$F$42,AN$4)*INDEX(Premissas!$B$47:$D$47,$B$2)</f>
        <v>1882.19538</v>
      </c>
      <c r="AO8" s="21" t="n">
        <f aca="false">INDEX(Premissas!$B$42:$F$42,AO$4)*INDEX(Premissas!$B$47:$D$47,$B$2)</f>
        <v>1882.19538</v>
      </c>
      <c r="AP8" s="21" t="n">
        <f aca="false">INDEX(Premissas!$B$42:$F$42,AP$4)*INDEX(Premissas!$B$47:$D$47,$B$2)</f>
        <v>1882.19538</v>
      </c>
      <c r="AQ8" s="21" t="n">
        <f aca="false">INDEX(Premissas!$B$42:$F$42,AQ$4)*INDEX(Premissas!$B$47:$D$47,$B$2)</f>
        <v>1882.19538</v>
      </c>
      <c r="AR8" s="21" t="n">
        <f aca="false">INDEX(Premissas!$B$42:$F$42,AR$4)*INDEX(Premissas!$B$47:$D$47,$B$2)</f>
        <v>1882.19538</v>
      </c>
      <c r="AS8" s="21" t="n">
        <f aca="false">INDEX(Premissas!$B$42:$F$42,AS$4)*INDEX(Premissas!$B$47:$D$47,$B$2)</f>
        <v>1882.19538</v>
      </c>
      <c r="AT8" s="21" t="n">
        <f aca="false">INDEX(Premissas!$B$42:$F$42,AT$4)*INDEX(Premissas!$B$47:$D$47,$B$2)</f>
        <v>1882.19538</v>
      </c>
      <c r="AU8" s="21" t="n">
        <f aca="false">INDEX(Premissas!$B$42:$F$42,AU$4)*INDEX(Premissas!$B$47:$D$47,$B$2)</f>
        <v>1882.19538</v>
      </c>
      <c r="AV8" s="21" t="n">
        <f aca="false">INDEX(Premissas!$B$42:$F$42,AV$4)*INDEX(Premissas!$B$47:$D$47,$B$2)</f>
        <v>1882.19538</v>
      </c>
      <c r="AW8" s="21" t="n">
        <f aca="false">INDEX(Premissas!$B$42:$F$42,AW$4)*INDEX(Premissas!$B$47:$D$47,$B$2)</f>
        <v>1882.19538</v>
      </c>
      <c r="AX8" s="21" t="n">
        <f aca="false">INDEX(Premissas!$B$42:$F$42,AX$4)*INDEX(Premissas!$B$47:$D$47,$B$2)</f>
        <v>1882.19538</v>
      </c>
      <c r="AY8" s="21" t="n">
        <f aca="false">INDEX(Premissas!$B$42:$F$42,AY$4)*INDEX(Premissas!$B$47:$D$47,$B$2)</f>
        <v>1750.4417034</v>
      </c>
      <c r="AZ8" s="21" t="n">
        <f aca="false">INDEX(Premissas!$B$42:$F$42,AZ$4)*INDEX(Premissas!$B$47:$D$47,$B$2)</f>
        <v>1750.4417034</v>
      </c>
      <c r="BA8" s="21" t="n">
        <f aca="false">INDEX(Premissas!$B$42:$F$42,BA$4)*INDEX(Premissas!$B$47:$D$47,$B$2)</f>
        <v>1750.4417034</v>
      </c>
      <c r="BB8" s="21" t="n">
        <f aca="false">INDEX(Premissas!$B$42:$F$42,BB$4)*INDEX(Premissas!$B$47:$D$47,$B$2)</f>
        <v>1750.4417034</v>
      </c>
      <c r="BC8" s="21" t="n">
        <f aca="false">INDEX(Premissas!$B$42:$F$42,BC$4)*INDEX(Premissas!$B$47:$D$47,$B$2)</f>
        <v>1750.4417034</v>
      </c>
      <c r="BD8" s="21" t="n">
        <f aca="false">INDEX(Premissas!$B$42:$F$42,BD$4)*INDEX(Premissas!$B$47:$D$47,$B$2)</f>
        <v>1750.4417034</v>
      </c>
      <c r="BE8" s="21" t="n">
        <f aca="false">INDEX(Premissas!$B$42:$F$42,BE$4)*INDEX(Premissas!$B$47:$D$47,$B$2)</f>
        <v>1750.4417034</v>
      </c>
      <c r="BF8" s="21" t="n">
        <f aca="false">INDEX(Premissas!$B$42:$F$42,BF$4)*INDEX(Premissas!$B$47:$D$47,$B$2)</f>
        <v>1750.4417034</v>
      </c>
      <c r="BG8" s="21" t="n">
        <f aca="false">INDEX(Premissas!$B$42:$F$42,BG$4)*INDEX(Premissas!$B$47:$D$47,$B$2)</f>
        <v>1750.4417034</v>
      </c>
      <c r="BH8" s="21" t="n">
        <f aca="false">INDEX(Premissas!$B$42:$F$42,BH$4)*INDEX(Premissas!$B$47:$D$47,$B$2)</f>
        <v>1750.4417034</v>
      </c>
      <c r="BI8" s="21" t="n">
        <f aca="false">INDEX(Premissas!$B$42:$F$42,BI$4)*INDEX(Premissas!$B$47:$D$47,$B$2)</f>
        <v>1750.4417034</v>
      </c>
      <c r="BJ8" s="21" t="n">
        <f aca="false">INDEX(Premissas!$B$42:$F$42,BJ$4)*INDEX(Premissas!$B$47:$D$47,$B$2)</f>
        <v>1750.4417034</v>
      </c>
    </row>
    <row r="9" customFormat="false" ht="15" hidden="false" customHeight="false" outlineLevel="0" collapsed="false">
      <c r="A9" s="5" t="s">
        <v>214</v>
      </c>
      <c r="C9" s="23" t="n">
        <f aca="false">IFERROR(C7/C8,0)</f>
        <v>8.54700854700855</v>
      </c>
      <c r="D9" s="23" t="n">
        <f aca="false">IFERROR(D7/D8,0)</f>
        <v>8.54700854700855</v>
      </c>
      <c r="E9" s="23" t="n">
        <f aca="false">IFERROR(E7/E8,0)</f>
        <v>8.54700854700855</v>
      </c>
      <c r="F9" s="23" t="n">
        <f aca="false">IFERROR(F7/F8,0)</f>
        <v>8.54700854700855</v>
      </c>
      <c r="G9" s="23" t="n">
        <f aca="false">IFERROR(G7/G8,0)</f>
        <v>8.54700854700855</v>
      </c>
      <c r="H9" s="23" t="n">
        <f aca="false">IFERROR(H7/H8,0)</f>
        <v>8.54700854700855</v>
      </c>
      <c r="I9" s="23" t="n">
        <f aca="false">IFERROR(I7/I8,0)</f>
        <v>8.54700854700855</v>
      </c>
      <c r="J9" s="23" t="n">
        <f aca="false">IFERROR(J7/J8,0)</f>
        <v>8.54700854700855</v>
      </c>
      <c r="K9" s="23" t="n">
        <f aca="false">IFERROR(K7/K8,0)</f>
        <v>8.54700854700855</v>
      </c>
      <c r="L9" s="23" t="n">
        <f aca="false">IFERROR(L7/L8,0)</f>
        <v>8.54700854700855</v>
      </c>
      <c r="M9" s="23" t="n">
        <f aca="false">IFERROR(M7/M8,0)</f>
        <v>8.54700854700855</v>
      </c>
      <c r="N9" s="23" t="n">
        <f aca="false">IFERROR(N7/N8,0)</f>
        <v>8.54700854700855</v>
      </c>
      <c r="O9" s="23" t="n">
        <f aca="false">IFERROR(O7/O8,0)</f>
        <v>25.7329289587354</v>
      </c>
      <c r="P9" s="23" t="n">
        <f aca="false">IFERROR(P7/P8,0)</f>
        <v>25.7329289587354</v>
      </c>
      <c r="Q9" s="23" t="n">
        <f aca="false">IFERROR(Q7/Q8,0)</f>
        <v>25.7329289587354</v>
      </c>
      <c r="R9" s="23" t="n">
        <f aca="false">IFERROR(R7/R8,0)</f>
        <v>25.7329289587354</v>
      </c>
      <c r="S9" s="23" t="n">
        <f aca="false">IFERROR(S7/S8,0)</f>
        <v>25.7329289587354</v>
      </c>
      <c r="T9" s="23" t="n">
        <f aca="false">IFERROR(T7/T8,0)</f>
        <v>25.7329289587354</v>
      </c>
      <c r="U9" s="23" t="n">
        <f aca="false">IFERROR(U7/U8,0)</f>
        <v>25.7329289587354</v>
      </c>
      <c r="V9" s="23" t="n">
        <f aca="false">IFERROR(V7/V8,0)</f>
        <v>25.7329289587354</v>
      </c>
      <c r="W9" s="23" t="n">
        <f aca="false">IFERROR(W7/W8,0)</f>
        <v>25.7329289587354</v>
      </c>
      <c r="X9" s="23" t="n">
        <f aca="false">IFERROR(X7/X8,0)</f>
        <v>25.7329289587354</v>
      </c>
      <c r="Y9" s="23" t="n">
        <f aca="false">IFERROR(Y7/Y8,0)</f>
        <v>25.7329289587354</v>
      </c>
      <c r="Z9" s="23" t="n">
        <f aca="false">IFERROR(Z7/Z8,0)</f>
        <v>25.7329289587354</v>
      </c>
      <c r="AA9" s="23" t="n">
        <f aca="false">IFERROR(AA7/AA8,0)</f>
        <v>59.2924630385609</v>
      </c>
      <c r="AB9" s="23" t="n">
        <f aca="false">IFERROR(AB7/AB8,0)</f>
        <v>59.2924630385609</v>
      </c>
      <c r="AC9" s="23" t="n">
        <f aca="false">IFERROR(AC7/AC8,0)</f>
        <v>59.2924630385609</v>
      </c>
      <c r="AD9" s="23" t="n">
        <f aca="false">IFERROR(AD7/AD8,0)</f>
        <v>59.2924630385609</v>
      </c>
      <c r="AE9" s="23" t="n">
        <f aca="false">IFERROR(AE7/AE8,0)</f>
        <v>59.2924630385609</v>
      </c>
      <c r="AF9" s="23" t="n">
        <f aca="false">IFERROR(AF7/AF8,0)</f>
        <v>59.2924630385609</v>
      </c>
      <c r="AG9" s="23" t="n">
        <f aca="false">IFERROR(AG7/AG8,0)</f>
        <v>59.2924630385609</v>
      </c>
      <c r="AH9" s="23" t="n">
        <f aca="false">IFERROR(AH7/AH8,0)</f>
        <v>59.2924630385609</v>
      </c>
      <c r="AI9" s="23" t="n">
        <f aca="false">IFERROR(AI7/AI8,0)</f>
        <v>59.2924630385609</v>
      </c>
      <c r="AJ9" s="23" t="n">
        <f aca="false">IFERROR(AJ7/AJ8,0)</f>
        <v>59.2924630385609</v>
      </c>
      <c r="AK9" s="23" t="n">
        <f aca="false">IFERROR(AK7/AK8,0)</f>
        <v>59.2924630385609</v>
      </c>
      <c r="AL9" s="23" t="n">
        <f aca="false">IFERROR(AL7/AL8,0)</f>
        <v>59.2924630385609</v>
      </c>
      <c r="AM9" s="23" t="n">
        <f aca="false">IFERROR(AM7/AM8,0)</f>
        <v>102.008538560965</v>
      </c>
      <c r="AN9" s="23" t="n">
        <f aca="false">IFERROR(AN7/AN8,0)</f>
        <v>102.008538560965</v>
      </c>
      <c r="AO9" s="23" t="n">
        <f aca="false">IFERROR(AO7/AO8,0)</f>
        <v>102.008538560965</v>
      </c>
      <c r="AP9" s="23" t="n">
        <f aca="false">IFERROR(AP7/AP8,0)</f>
        <v>102.008538560965</v>
      </c>
      <c r="AQ9" s="23" t="n">
        <f aca="false">IFERROR(AQ7/AQ8,0)</f>
        <v>102.008538560965</v>
      </c>
      <c r="AR9" s="23" t="n">
        <f aca="false">IFERROR(AR7/AR8,0)</f>
        <v>102.008538560965</v>
      </c>
      <c r="AS9" s="23" t="n">
        <f aca="false">IFERROR(AS7/AS8,0)</f>
        <v>102.008538560965</v>
      </c>
      <c r="AT9" s="23" t="n">
        <f aca="false">IFERROR(AT7/AT8,0)</f>
        <v>102.008538560965</v>
      </c>
      <c r="AU9" s="23" t="n">
        <f aca="false">IFERROR(AU7/AU8,0)</f>
        <v>102.008538560965</v>
      </c>
      <c r="AV9" s="23" t="n">
        <f aca="false">IFERROR(AV7/AV8,0)</f>
        <v>102.008538560965</v>
      </c>
      <c r="AW9" s="23" t="n">
        <f aca="false">IFERROR(AW7/AW8,0)</f>
        <v>102.008538560965</v>
      </c>
      <c r="AX9" s="23" t="n">
        <f aca="false">IFERROR(AX7/AX8,0)</f>
        <v>102.008538560965</v>
      </c>
      <c r="AY9" s="23" t="n">
        <f aca="false">IFERROR(AY7/AY8,0)</f>
        <v>146.248800804251</v>
      </c>
      <c r="AZ9" s="23" t="n">
        <f aca="false">IFERROR(AZ7/AZ8,0)</f>
        <v>146.248800804251</v>
      </c>
      <c r="BA9" s="23" t="n">
        <f aca="false">IFERROR(BA7/BA8,0)</f>
        <v>146.248800804251</v>
      </c>
      <c r="BB9" s="23" t="n">
        <f aca="false">IFERROR(BB7/BB8,0)</f>
        <v>146.248800804251</v>
      </c>
      <c r="BC9" s="23" t="n">
        <f aca="false">IFERROR(BC7/BC8,0)</f>
        <v>146.248800804251</v>
      </c>
      <c r="BD9" s="23" t="n">
        <f aca="false">IFERROR(BD7/BD8,0)</f>
        <v>146.248800804251</v>
      </c>
      <c r="BE9" s="23" t="n">
        <f aca="false">IFERROR(BE7/BE8,0)</f>
        <v>146.248800804251</v>
      </c>
      <c r="BF9" s="23" t="n">
        <f aca="false">IFERROR(BF7/BF8,0)</f>
        <v>146.248800804251</v>
      </c>
      <c r="BG9" s="23" t="n">
        <f aca="false">IFERROR(BG7/BG8,0)</f>
        <v>146.248800804251</v>
      </c>
      <c r="BH9" s="23" t="n">
        <f aca="false">IFERROR(BH7/BH8,0)</f>
        <v>146.248800804251</v>
      </c>
      <c r="BI9" s="23" t="n">
        <f aca="false">IFERROR(BI7/BI8,0)</f>
        <v>146.248800804251</v>
      </c>
      <c r="BJ9" s="23" t="n">
        <f aca="false">IFERROR(BJ7/BJ8,0)</f>
        <v>146.248800804251</v>
      </c>
    </row>
    <row r="10" customFormat="false" ht="15" hidden="false" customHeight="false" outlineLevel="0" collapsed="false">
      <c r="A10" s="5" t="s">
        <v>215</v>
      </c>
      <c r="C10" s="27" t="n">
        <f aca="false">INDEX(Premissas!$B$38:$F$38,C$4)*INDEX(Premissas!$B$49:$D$49,$B$2)</f>
        <v>2.8</v>
      </c>
      <c r="D10" s="27" t="n">
        <f aca="false">INDEX(Premissas!$B$38:$F$38,D$4)*INDEX(Premissas!$B$49:$D$49,$B$2)</f>
        <v>2.8</v>
      </c>
      <c r="E10" s="27" t="n">
        <f aca="false">INDEX(Premissas!$B$38:$F$38,E$4)*INDEX(Premissas!$B$49:$D$49,$B$2)</f>
        <v>2.8</v>
      </c>
      <c r="F10" s="27" t="n">
        <f aca="false">INDEX(Premissas!$B$38:$F$38,F$4)*INDEX(Premissas!$B$49:$D$49,$B$2)</f>
        <v>2.8</v>
      </c>
      <c r="G10" s="27" t="n">
        <f aca="false">INDEX(Premissas!$B$38:$F$38,G$4)*INDEX(Premissas!$B$49:$D$49,$B$2)</f>
        <v>2.8</v>
      </c>
      <c r="H10" s="27" t="n">
        <f aca="false">INDEX(Premissas!$B$38:$F$38,H$4)*INDEX(Premissas!$B$49:$D$49,$B$2)</f>
        <v>2.8</v>
      </c>
      <c r="I10" s="27" t="n">
        <f aca="false">INDEX(Premissas!$B$38:$F$38,I$4)*INDEX(Premissas!$B$49:$D$49,$B$2)</f>
        <v>2.8</v>
      </c>
      <c r="J10" s="27" t="n">
        <f aca="false">INDEX(Premissas!$B$38:$F$38,J$4)*INDEX(Premissas!$B$49:$D$49,$B$2)</f>
        <v>2.8</v>
      </c>
      <c r="K10" s="27" t="n">
        <f aca="false">INDEX(Premissas!$B$38:$F$38,K$4)*INDEX(Premissas!$B$49:$D$49,$B$2)</f>
        <v>2.8</v>
      </c>
      <c r="L10" s="27" t="n">
        <f aca="false">INDEX(Premissas!$B$38:$F$38,L$4)*INDEX(Premissas!$B$49:$D$49,$B$2)</f>
        <v>2.8</v>
      </c>
      <c r="M10" s="27" t="n">
        <f aca="false">INDEX(Premissas!$B$38:$F$38,M$4)*INDEX(Premissas!$B$49:$D$49,$B$2)</f>
        <v>2.8</v>
      </c>
      <c r="N10" s="27" t="n">
        <f aca="false">INDEX(Premissas!$B$38:$F$38,N$4)*INDEX(Premissas!$B$49:$D$49,$B$2)</f>
        <v>2.8</v>
      </c>
      <c r="O10" s="27" t="n">
        <f aca="false">INDEX(Premissas!$B$38:$F$38,O$4)*INDEX(Premissas!$B$49:$D$49,$B$2)</f>
        <v>8.4</v>
      </c>
      <c r="P10" s="27" t="n">
        <f aca="false">INDEX(Premissas!$B$38:$F$38,P$4)*INDEX(Premissas!$B$49:$D$49,$B$2)</f>
        <v>8.4</v>
      </c>
      <c r="Q10" s="27" t="n">
        <f aca="false">INDEX(Premissas!$B$38:$F$38,Q$4)*INDEX(Premissas!$B$49:$D$49,$B$2)</f>
        <v>8.4</v>
      </c>
      <c r="R10" s="27" t="n">
        <f aca="false">INDEX(Premissas!$B$38:$F$38,R$4)*INDEX(Premissas!$B$49:$D$49,$B$2)</f>
        <v>8.4</v>
      </c>
      <c r="S10" s="27" t="n">
        <f aca="false">INDEX(Premissas!$B$38:$F$38,S$4)*INDEX(Premissas!$B$49:$D$49,$B$2)</f>
        <v>8.4</v>
      </c>
      <c r="T10" s="27" t="n">
        <f aca="false">INDEX(Premissas!$B$38:$F$38,T$4)*INDEX(Premissas!$B$49:$D$49,$B$2)</f>
        <v>8.4</v>
      </c>
      <c r="U10" s="27" t="n">
        <f aca="false">INDEX(Premissas!$B$38:$F$38,U$4)*INDEX(Premissas!$B$49:$D$49,$B$2)</f>
        <v>8.4</v>
      </c>
      <c r="V10" s="27" t="n">
        <f aca="false">INDEX(Premissas!$B$38:$F$38,V$4)*INDEX(Premissas!$B$49:$D$49,$B$2)</f>
        <v>8.4</v>
      </c>
      <c r="W10" s="27" t="n">
        <f aca="false">INDEX(Premissas!$B$38:$F$38,W$4)*INDEX(Premissas!$B$49:$D$49,$B$2)</f>
        <v>8.4</v>
      </c>
      <c r="X10" s="27" t="n">
        <f aca="false">INDEX(Premissas!$B$38:$F$38,X$4)*INDEX(Premissas!$B$49:$D$49,$B$2)</f>
        <v>8.4</v>
      </c>
      <c r="Y10" s="27" t="n">
        <f aca="false">INDEX(Premissas!$B$38:$F$38,Y$4)*INDEX(Premissas!$B$49:$D$49,$B$2)</f>
        <v>8.4</v>
      </c>
      <c r="Z10" s="27" t="n">
        <f aca="false">INDEX(Premissas!$B$38:$F$38,Z$4)*INDEX(Premissas!$B$49:$D$49,$B$2)</f>
        <v>8.4</v>
      </c>
      <c r="AA10" s="27" t="n">
        <f aca="false">INDEX(Premissas!$B$38:$F$38,AA$4)*INDEX(Premissas!$B$49:$D$49,$B$2)</f>
        <v>17.5</v>
      </c>
      <c r="AB10" s="27" t="n">
        <f aca="false">INDEX(Premissas!$B$38:$F$38,AB$4)*INDEX(Premissas!$B$49:$D$49,$B$2)</f>
        <v>17.5</v>
      </c>
      <c r="AC10" s="27" t="n">
        <f aca="false">INDEX(Premissas!$B$38:$F$38,AC$4)*INDEX(Premissas!$B$49:$D$49,$B$2)</f>
        <v>17.5</v>
      </c>
      <c r="AD10" s="27" t="n">
        <f aca="false">INDEX(Premissas!$B$38:$F$38,AD$4)*INDEX(Premissas!$B$49:$D$49,$B$2)</f>
        <v>17.5</v>
      </c>
      <c r="AE10" s="27" t="n">
        <f aca="false">INDEX(Premissas!$B$38:$F$38,AE$4)*INDEX(Premissas!$B$49:$D$49,$B$2)</f>
        <v>17.5</v>
      </c>
      <c r="AF10" s="27" t="n">
        <f aca="false">INDEX(Premissas!$B$38:$F$38,AF$4)*INDEX(Premissas!$B$49:$D$49,$B$2)</f>
        <v>17.5</v>
      </c>
      <c r="AG10" s="27" t="n">
        <f aca="false">INDEX(Premissas!$B$38:$F$38,AG$4)*INDEX(Premissas!$B$49:$D$49,$B$2)</f>
        <v>17.5</v>
      </c>
      <c r="AH10" s="27" t="n">
        <f aca="false">INDEX(Premissas!$B$38:$F$38,AH$4)*INDEX(Premissas!$B$49:$D$49,$B$2)</f>
        <v>17.5</v>
      </c>
      <c r="AI10" s="27" t="n">
        <f aca="false">INDEX(Premissas!$B$38:$F$38,AI$4)*INDEX(Premissas!$B$49:$D$49,$B$2)</f>
        <v>17.5</v>
      </c>
      <c r="AJ10" s="27" t="n">
        <f aca="false">INDEX(Premissas!$B$38:$F$38,AJ$4)*INDEX(Premissas!$B$49:$D$49,$B$2)</f>
        <v>17.5</v>
      </c>
      <c r="AK10" s="27" t="n">
        <f aca="false">INDEX(Premissas!$B$38:$F$38,AK$4)*INDEX(Premissas!$B$49:$D$49,$B$2)</f>
        <v>17.5</v>
      </c>
      <c r="AL10" s="27" t="n">
        <f aca="false">INDEX(Premissas!$B$38:$F$38,AL$4)*INDEX(Premissas!$B$49:$D$49,$B$2)</f>
        <v>17.5</v>
      </c>
      <c r="AM10" s="27" t="n">
        <f aca="false">INDEX(Premissas!$B$38:$F$38,AM$4)*INDEX(Premissas!$B$49:$D$49,$B$2)</f>
        <v>28</v>
      </c>
      <c r="AN10" s="27" t="n">
        <f aca="false">INDEX(Premissas!$B$38:$F$38,AN$4)*INDEX(Premissas!$B$49:$D$49,$B$2)</f>
        <v>28</v>
      </c>
      <c r="AO10" s="27" t="n">
        <f aca="false">INDEX(Premissas!$B$38:$F$38,AO$4)*INDEX(Premissas!$B$49:$D$49,$B$2)</f>
        <v>28</v>
      </c>
      <c r="AP10" s="27" t="n">
        <f aca="false">INDEX(Premissas!$B$38:$F$38,AP$4)*INDEX(Premissas!$B$49:$D$49,$B$2)</f>
        <v>28</v>
      </c>
      <c r="AQ10" s="27" t="n">
        <f aca="false">INDEX(Premissas!$B$38:$F$38,AQ$4)*INDEX(Premissas!$B$49:$D$49,$B$2)</f>
        <v>28</v>
      </c>
      <c r="AR10" s="27" t="n">
        <f aca="false">INDEX(Premissas!$B$38:$F$38,AR$4)*INDEX(Premissas!$B$49:$D$49,$B$2)</f>
        <v>28</v>
      </c>
      <c r="AS10" s="27" t="n">
        <f aca="false">INDEX(Premissas!$B$38:$F$38,AS$4)*INDEX(Premissas!$B$49:$D$49,$B$2)</f>
        <v>28</v>
      </c>
      <c r="AT10" s="27" t="n">
        <f aca="false">INDEX(Premissas!$B$38:$F$38,AT$4)*INDEX(Premissas!$B$49:$D$49,$B$2)</f>
        <v>28</v>
      </c>
      <c r="AU10" s="27" t="n">
        <f aca="false">INDEX(Premissas!$B$38:$F$38,AU$4)*INDEX(Premissas!$B$49:$D$49,$B$2)</f>
        <v>28</v>
      </c>
      <c r="AV10" s="27" t="n">
        <f aca="false">INDEX(Premissas!$B$38:$F$38,AV$4)*INDEX(Premissas!$B$49:$D$49,$B$2)</f>
        <v>28</v>
      </c>
      <c r="AW10" s="27" t="n">
        <f aca="false">INDEX(Premissas!$B$38:$F$38,AW$4)*INDEX(Premissas!$B$49:$D$49,$B$2)</f>
        <v>28</v>
      </c>
      <c r="AX10" s="27" t="n">
        <f aca="false">INDEX(Premissas!$B$38:$F$38,AX$4)*INDEX(Premissas!$B$49:$D$49,$B$2)</f>
        <v>28</v>
      </c>
      <c r="AY10" s="27" t="n">
        <f aca="false">INDEX(Premissas!$B$38:$F$38,AY$4)*INDEX(Premissas!$B$49:$D$49,$B$2)</f>
        <v>38.5</v>
      </c>
      <c r="AZ10" s="27" t="n">
        <f aca="false">INDEX(Premissas!$B$38:$F$38,AZ$4)*INDEX(Premissas!$B$49:$D$49,$B$2)</f>
        <v>38.5</v>
      </c>
      <c r="BA10" s="27" t="n">
        <f aca="false">INDEX(Premissas!$B$38:$F$38,BA$4)*INDEX(Premissas!$B$49:$D$49,$B$2)</f>
        <v>38.5</v>
      </c>
      <c r="BB10" s="27" t="n">
        <f aca="false">INDEX(Premissas!$B$38:$F$38,BB$4)*INDEX(Premissas!$B$49:$D$49,$B$2)</f>
        <v>38.5</v>
      </c>
      <c r="BC10" s="27" t="n">
        <f aca="false">INDEX(Premissas!$B$38:$F$38,BC$4)*INDEX(Premissas!$B$49:$D$49,$B$2)</f>
        <v>38.5</v>
      </c>
      <c r="BD10" s="27" t="n">
        <f aca="false">INDEX(Premissas!$B$38:$F$38,BD$4)*INDEX(Premissas!$B$49:$D$49,$B$2)</f>
        <v>38.5</v>
      </c>
      <c r="BE10" s="27" t="n">
        <f aca="false">INDEX(Premissas!$B$38:$F$38,BE$4)*INDEX(Premissas!$B$49:$D$49,$B$2)</f>
        <v>38.5</v>
      </c>
      <c r="BF10" s="27" t="n">
        <f aca="false">INDEX(Premissas!$B$38:$F$38,BF$4)*INDEX(Premissas!$B$49:$D$49,$B$2)</f>
        <v>38.5</v>
      </c>
      <c r="BG10" s="27" t="n">
        <f aca="false">INDEX(Premissas!$B$38:$F$38,BG$4)*INDEX(Premissas!$B$49:$D$49,$B$2)</f>
        <v>38.5</v>
      </c>
      <c r="BH10" s="27" t="n">
        <f aca="false">INDEX(Premissas!$B$38:$F$38,BH$4)*INDEX(Premissas!$B$49:$D$49,$B$2)</f>
        <v>38.5</v>
      </c>
      <c r="BI10" s="27" t="n">
        <f aca="false">INDEX(Premissas!$B$38:$F$38,BI$4)*INDEX(Premissas!$B$49:$D$49,$B$2)</f>
        <v>38.5</v>
      </c>
      <c r="BJ10" s="27" t="n">
        <f aca="false">INDEX(Premissas!$B$38:$F$38,BJ$4)*INDEX(Premissas!$B$49:$D$49,$B$2)</f>
        <v>38.5</v>
      </c>
    </row>
    <row r="11" customFormat="false" ht="15" hidden="false" customHeight="false" outlineLevel="0" collapsed="false">
      <c r="A11" s="5" t="s">
        <v>216</v>
      </c>
      <c r="C11" s="23" t="n">
        <f aca="false">0</f>
        <v>0</v>
      </c>
      <c r="D11" s="27" t="n">
        <f aca="false">C26*Premissas!$B$43*INDEX(Premissas!$B$49:$D$49,$B$2)</f>
        <v>0.0794290598290598</v>
      </c>
      <c r="E11" s="27" t="n">
        <f aca="false">D26*Premissas!$B$43*INDEX(Premissas!$B$49:$D$49,$B$2)</f>
        <v>0.155541956410256</v>
      </c>
      <c r="F11" s="27" t="n">
        <f aca="false">E26*Premissas!$B$43*INDEX(Premissas!$B$49:$D$49,$B$2)</f>
        <v>0.228491402039744</v>
      </c>
      <c r="G11" s="27" t="n">
        <f aca="false">F26*Premissas!$B$43*INDEX(Premissas!$B$49:$D$49,$B$2)</f>
        <v>0.298422377081204</v>
      </c>
      <c r="H11" s="27" t="n">
        <f aca="false">G26*Premissas!$B$43*INDEX(Premissas!$B$49:$D$49,$B$2)</f>
        <v>0.365472552799322</v>
      </c>
      <c r="I11" s="27" t="n">
        <f aca="false">H26*Premissas!$B$43*INDEX(Premissas!$B$49:$D$49,$B$2)</f>
        <v>0.429772689781861</v>
      </c>
      <c r="J11" s="27" t="n">
        <f aca="false">I26*Premissas!$B$43*INDEX(Premissas!$B$49:$D$49,$B$2)</f>
        <v>0.491447013408969</v>
      </c>
      <c r="K11" s="27" t="n">
        <f aca="false">J26*Premissas!$B$43*INDEX(Premissas!$B$49:$D$49,$B$2)</f>
        <v>0.550613567739386</v>
      </c>
      <c r="L11" s="27" t="n">
        <f aca="false">K26*Premissas!$B$43*INDEX(Premissas!$B$49:$D$49,$B$2)</f>
        <v>0.607384549099772</v>
      </c>
      <c r="M11" s="27" t="n">
        <f aca="false">L26*Premissas!$B$43*INDEX(Premissas!$B$49:$D$49,$B$2)</f>
        <v>0.661866620585037</v>
      </c>
      <c r="N11" s="27" t="n">
        <f aca="false">M26*Premissas!$B$43*INDEX(Premissas!$B$49:$D$49,$B$2)</f>
        <v>0.71416120860409</v>
      </c>
      <c r="O11" s="27" t="n">
        <f aca="false">N26*Premissas!$B$43*INDEX(Premissas!$B$49:$D$49,$B$2)</f>
        <v>0.764364782536442</v>
      </c>
      <c r="P11" s="27" t="n">
        <f aca="false">O26*Premissas!$B$43*INDEX(Premissas!$B$49:$D$49,$B$2)</f>
        <v>0.974996583569918</v>
      </c>
      <c r="Q11" s="27" t="n">
        <f aca="false">P26*Premissas!$B$43*INDEX(Premissas!$B$49:$D$49,$B$2)</f>
        <v>1.17813555590329</v>
      </c>
      <c r="R11" s="27" t="n">
        <f aca="false">Q26*Premissas!$B$43*INDEX(Premissas!$B$49:$D$49,$B$2)</f>
        <v>1.37407888410058</v>
      </c>
      <c r="S11" s="27" t="n">
        <f aca="false">R26*Premissas!$B$43*INDEX(Premissas!$B$49:$D$49,$B$2)</f>
        <v>1.56311056472971</v>
      </c>
      <c r="T11" s="27" t="n">
        <f aca="false">S26*Premissas!$B$43*INDEX(Premissas!$B$49:$D$49,$B$2)</f>
        <v>1.74550205021092</v>
      </c>
      <c r="U11" s="27" t="n">
        <f aca="false">T26*Premissas!$B$43*INDEX(Premissas!$B$49:$D$49,$B$2)</f>
        <v>1.92151285900623</v>
      </c>
      <c r="V11" s="27" t="n">
        <f aca="false">U26*Premissas!$B$43*INDEX(Premissas!$B$49:$D$49,$B$2)</f>
        <v>2.09139115398762</v>
      </c>
      <c r="W11" s="27" t="n">
        <f aca="false">V26*Premissas!$B$43*INDEX(Premissas!$B$49:$D$49,$B$2)</f>
        <v>2.25537429071831</v>
      </c>
      <c r="X11" s="27" t="n">
        <f aca="false">W26*Premissas!$B$43*INDEX(Premissas!$B$49:$D$49,$B$2)</f>
        <v>2.41368933728466</v>
      </c>
      <c r="Y11" s="27" t="n">
        <f aca="false">X26*Premissas!$B$43*INDEX(Premissas!$B$49:$D$49,$B$2)</f>
        <v>2.56655356722463</v>
      </c>
      <c r="Z11" s="27" t="n">
        <f aca="false">Y26*Premissas!$B$43*INDEX(Premissas!$B$49:$D$49,$B$2)</f>
        <v>2.7141749270126</v>
      </c>
      <c r="AA11" s="27" t="n">
        <f aca="false">Z26*Premissas!$B$43*INDEX(Premissas!$B$49:$D$49,$B$2)</f>
        <v>2.85675247947853</v>
      </c>
      <c r="AB11" s="27" t="n">
        <f aca="false">AA26*Premissas!$B$43*INDEX(Premissas!$B$49:$D$49,$B$2)</f>
        <v>3.30278983702842</v>
      </c>
      <c r="AC11" s="27" t="n">
        <f aca="false">AB26*Premissas!$B$43*INDEX(Premissas!$B$49:$D$49,$B$2)</f>
        <v>3.73533718918739</v>
      </c>
      <c r="AD11" s="27" t="n">
        <f aca="false">AC26*Premissas!$B$43*INDEX(Premissas!$B$49:$D$49,$B$2)</f>
        <v>4.1548537242691</v>
      </c>
      <c r="AE11" s="27" t="n">
        <f aca="false">AD26*Premissas!$B$43*INDEX(Premissas!$B$49:$D$49,$B$2)</f>
        <v>4.56178083239258</v>
      </c>
      <c r="AF11" s="27" t="n">
        <f aca="false">AE26*Premissas!$B$43*INDEX(Premissas!$B$49:$D$49,$B$2)</f>
        <v>4.95654287970328</v>
      </c>
      <c r="AG11" s="27" t="n">
        <f aca="false">AF26*Premissas!$B$43*INDEX(Premissas!$B$49:$D$49,$B$2)</f>
        <v>5.33954794595813</v>
      </c>
      <c r="AH11" s="27" t="n">
        <f aca="false">AG26*Premissas!$B$43*INDEX(Premissas!$B$49:$D$49,$B$2)</f>
        <v>5.71118852730244</v>
      </c>
      <c r="AI11" s="27" t="n">
        <f aca="false">AH26*Premissas!$B$43*INDEX(Premissas!$B$49:$D$49,$B$2)</f>
        <v>6.07184220597257</v>
      </c>
      <c r="AJ11" s="27" t="n">
        <f aca="false">AI26*Premissas!$B$43*INDEX(Premissas!$B$49:$D$49,$B$2)</f>
        <v>6.42187228856923</v>
      </c>
      <c r="AK11" s="27" t="n">
        <f aca="false">AJ26*Premissas!$B$43*INDEX(Premissas!$B$49:$D$49,$B$2)</f>
        <v>6.76162841446173</v>
      </c>
      <c r="AL11" s="27" t="n">
        <f aca="false">AK26*Premissas!$B$43*INDEX(Premissas!$B$49:$D$49,$B$2)</f>
        <v>7.09144713580358</v>
      </c>
      <c r="AM11" s="27" t="n">
        <f aca="false">AL26*Premissas!$B$43*INDEX(Premissas!$B$49:$D$49,$B$2)</f>
        <v>7.41165247056381</v>
      </c>
      <c r="AN11" s="27" t="n">
        <f aca="false">AM26*Premissas!$B$43*INDEX(Premissas!$B$49:$D$49,$B$2)</f>
        <v>8.1173509465013</v>
      </c>
      <c r="AO11" s="27" t="n">
        <f aca="false">AN26*Premissas!$B$43*INDEX(Premissas!$B$49:$D$49,$B$2)</f>
        <v>8.80430178867997</v>
      </c>
      <c r="AP11" s="27" t="n">
        <f aca="false">AO26*Premissas!$B$43*INDEX(Premissas!$B$49:$D$49,$B$2)</f>
        <v>9.47306781386893</v>
      </c>
      <c r="AQ11" s="27" t="n">
        <f aca="false">AP26*Premissas!$B$43*INDEX(Premissas!$B$49:$D$49,$B$2)</f>
        <v>10.1241924063213</v>
      </c>
      <c r="AR11" s="27" t="n">
        <f aca="false">AQ26*Premissas!$B$43*INDEX(Premissas!$B$49:$D$49,$B$2)</f>
        <v>10.7582002800752</v>
      </c>
      <c r="AS11" s="27" t="n">
        <f aca="false">AR26*Premissas!$B$43*INDEX(Premissas!$B$49:$D$49,$B$2)</f>
        <v>11.3755982084055</v>
      </c>
      <c r="AT11" s="27" t="n">
        <f aca="false">AS26*Premissas!$B$43*INDEX(Premissas!$B$49:$D$49,$B$2)</f>
        <v>11.9768757219275</v>
      </c>
      <c r="AU11" s="27" t="n">
        <f aca="false">AT26*Premissas!$B$43*INDEX(Premissas!$B$49:$D$49,$B$2)</f>
        <v>12.5625057767833</v>
      </c>
      <c r="AV11" s="27" t="n">
        <f aca="false">AU26*Premissas!$B$43*INDEX(Premissas!$B$49:$D$49,$B$2)</f>
        <v>13.1329453942724</v>
      </c>
      <c r="AW11" s="27" t="n">
        <f aca="false">AV26*Premissas!$B$43*INDEX(Premissas!$B$49:$D$49,$B$2)</f>
        <v>13.6886362732264</v>
      </c>
      <c r="AX11" s="27" t="n">
        <f aca="false">AW26*Premissas!$B$43*INDEX(Premissas!$B$49:$D$49,$B$2)</f>
        <v>14.2300053763645</v>
      </c>
      <c r="AY11" s="27" t="n">
        <f aca="false">AX26*Premissas!$B$43*INDEX(Premissas!$B$49:$D$49,$B$2)</f>
        <v>14.7574654918088</v>
      </c>
      <c r="AZ11" s="27" t="n">
        <f aca="false">AY26*Premissas!$B$43*INDEX(Premissas!$B$49:$D$49,$B$2)</f>
        <v>15.6945505465296</v>
      </c>
      <c r="BA11" s="27" t="n">
        <f aca="false">AZ26*Premissas!$B$43*INDEX(Premissas!$B$49:$D$49,$B$2)</f>
        <v>16.6102958734877</v>
      </c>
      <c r="BB11" s="27" t="n">
        <f aca="false">BA26*Premissas!$B$43*INDEX(Premissas!$B$49:$D$49,$B$2)</f>
        <v>17.5052494726606</v>
      </c>
      <c r="BC11" s="27" t="n">
        <f aca="false">BB26*Premissas!$B$43*INDEX(Premissas!$B$49:$D$49,$B$2)</f>
        <v>18.3799430006256</v>
      </c>
      <c r="BD11" s="27" t="n">
        <f aca="false">BC26*Premissas!$B$43*INDEX(Premissas!$B$49:$D$49,$B$2)</f>
        <v>19.2348923351339</v>
      </c>
      <c r="BE11" s="27" t="n">
        <f aca="false">BD26*Premissas!$B$43*INDEX(Premissas!$B$49:$D$49,$B$2)</f>
        <v>20.0705981178441</v>
      </c>
      <c r="BF11" s="27" t="n">
        <f aca="false">BE26*Premissas!$B$43*INDEX(Premissas!$B$49:$D$49,$B$2)</f>
        <v>20.8875462761245</v>
      </c>
      <c r="BG11" s="27" t="n">
        <f aca="false">BF26*Premissas!$B$43*INDEX(Premissas!$B$49:$D$49,$B$2)</f>
        <v>21.6862085247929</v>
      </c>
      <c r="BH11" s="27" t="n">
        <f aca="false">BG26*Premissas!$B$43*INDEX(Premissas!$B$49:$D$49,$B$2)</f>
        <v>22.4670428486234</v>
      </c>
      <c r="BI11" s="27" t="n">
        <f aca="false">BH26*Premissas!$B$43*INDEX(Premissas!$B$49:$D$49,$B$2)</f>
        <v>23.2304939664158</v>
      </c>
      <c r="BJ11" s="27" t="n">
        <f aca="false">BI26*Premissas!$B$43*INDEX(Premissas!$B$49:$D$49,$B$2)</f>
        <v>23.976993777389</v>
      </c>
    </row>
    <row r="12" customFormat="false" ht="15" hidden="false" customHeight="false" outlineLevel="0" collapsed="false">
      <c r="A12" s="18" t="s">
        <v>217</v>
      </c>
      <c r="C12" s="28" t="n">
        <f aca="false">C9+C10+C11</f>
        <v>11.3470085470085</v>
      </c>
      <c r="D12" s="28" t="n">
        <f aca="false">D9+D10+D11</f>
        <v>11.4264376068376</v>
      </c>
      <c r="E12" s="28" t="n">
        <f aca="false">E9+E10+E11</f>
        <v>11.5025505034188</v>
      </c>
      <c r="F12" s="28" t="n">
        <f aca="false">F9+F10+F11</f>
        <v>11.5754999490483</v>
      </c>
      <c r="G12" s="28" t="n">
        <f aca="false">G9+G10+G11</f>
        <v>11.6454309240898</v>
      </c>
      <c r="H12" s="28" t="n">
        <f aca="false">H9+H10+H11</f>
        <v>11.7124810998079</v>
      </c>
      <c r="I12" s="28" t="n">
        <f aca="false">I9+I10+I11</f>
        <v>11.7767812367904</v>
      </c>
      <c r="J12" s="28" t="n">
        <f aca="false">J9+J10+J11</f>
        <v>11.8384555604175</v>
      </c>
      <c r="K12" s="28" t="n">
        <f aca="false">K9+K10+K11</f>
        <v>11.8976221147479</v>
      </c>
      <c r="L12" s="28" t="n">
        <f aca="false">L9+L10+L11</f>
        <v>11.9543930961083</v>
      </c>
      <c r="M12" s="28" t="n">
        <f aca="false">M9+M10+M11</f>
        <v>12.0088751675936</v>
      </c>
      <c r="N12" s="28" t="n">
        <f aca="false">N9+N10+N11</f>
        <v>12.0611697556126</v>
      </c>
      <c r="O12" s="28" t="n">
        <f aca="false">O9+O10+O11</f>
        <v>34.8972937412718</v>
      </c>
      <c r="P12" s="28" t="n">
        <f aca="false">P9+P10+P11</f>
        <v>35.1079255423053</v>
      </c>
      <c r="Q12" s="28" t="n">
        <f aca="false">Q9+Q10+Q11</f>
        <v>35.3110645146387</v>
      </c>
      <c r="R12" s="28" t="n">
        <f aca="false">R9+R10+R11</f>
        <v>35.507007842836</v>
      </c>
      <c r="S12" s="28" t="n">
        <f aca="false">S9+S10+S11</f>
        <v>35.6960395234651</v>
      </c>
      <c r="T12" s="28" t="n">
        <f aca="false">T9+T10+T11</f>
        <v>35.8784310089463</v>
      </c>
      <c r="U12" s="28" t="n">
        <f aca="false">U9+U10+U11</f>
        <v>36.0544418177416</v>
      </c>
      <c r="V12" s="28" t="n">
        <f aca="false">V9+V10+V11</f>
        <v>36.224320112723</v>
      </c>
      <c r="W12" s="28" t="n">
        <f aca="false">W9+W10+W11</f>
        <v>36.3883032494537</v>
      </c>
      <c r="X12" s="28" t="n">
        <f aca="false">X9+X10+X11</f>
        <v>36.5466182960201</v>
      </c>
      <c r="Y12" s="28" t="n">
        <f aca="false">Y9+Y10+Y11</f>
        <v>36.69948252596</v>
      </c>
      <c r="Z12" s="28" t="n">
        <f aca="false">Z9+Z10+Z11</f>
        <v>36.847103885748</v>
      </c>
      <c r="AA12" s="28" t="n">
        <f aca="false">AA9+AA10+AA11</f>
        <v>79.6492155180394</v>
      </c>
      <c r="AB12" s="28" t="n">
        <f aca="false">AB9+AB10+AB11</f>
        <v>80.0952528755893</v>
      </c>
      <c r="AC12" s="28" t="n">
        <f aca="false">AC9+AC10+AC11</f>
        <v>80.5278002277482</v>
      </c>
      <c r="AD12" s="28" t="n">
        <f aca="false">AD9+AD10+AD11</f>
        <v>80.94731676283</v>
      </c>
      <c r="AE12" s="28" t="n">
        <f aca="false">AE9+AE10+AE11</f>
        <v>81.3542438709534</v>
      </c>
      <c r="AF12" s="28" t="n">
        <f aca="false">AF9+AF10+AF11</f>
        <v>81.7490059182641</v>
      </c>
      <c r="AG12" s="28" t="n">
        <f aca="false">AG9+AG10+AG11</f>
        <v>82.132010984519</v>
      </c>
      <c r="AH12" s="28" t="n">
        <f aca="false">AH9+AH10+AH11</f>
        <v>82.5036515658633</v>
      </c>
      <c r="AI12" s="28" t="n">
        <f aca="false">AI9+AI10+AI11</f>
        <v>82.8643052445334</v>
      </c>
      <c r="AJ12" s="28" t="n">
        <f aca="false">AJ9+AJ10+AJ11</f>
        <v>83.2143353271301</v>
      </c>
      <c r="AK12" s="28" t="n">
        <f aca="false">AK9+AK10+AK11</f>
        <v>83.5540914530226</v>
      </c>
      <c r="AL12" s="28" t="n">
        <f aca="false">AL9+AL10+AL11</f>
        <v>83.8839101743644</v>
      </c>
      <c r="AM12" s="28" t="n">
        <f aca="false">AM9+AM10+AM11</f>
        <v>137.420191031529</v>
      </c>
      <c r="AN12" s="28" t="n">
        <f aca="false">AN9+AN10+AN11</f>
        <v>138.125889507466</v>
      </c>
      <c r="AO12" s="28" t="n">
        <f aca="false">AO9+AO10+AO11</f>
        <v>138.812840349645</v>
      </c>
      <c r="AP12" s="28" t="n">
        <f aca="false">AP9+AP10+AP11</f>
        <v>139.481606374834</v>
      </c>
      <c r="AQ12" s="28" t="n">
        <f aca="false">AQ9+AQ10+AQ11</f>
        <v>140.132730967286</v>
      </c>
      <c r="AR12" s="28" t="n">
        <f aca="false">AR9+AR10+AR11</f>
        <v>140.76673884104</v>
      </c>
      <c r="AS12" s="28" t="n">
        <f aca="false">AS9+AS10+AS11</f>
        <v>141.38413676937</v>
      </c>
      <c r="AT12" s="28" t="n">
        <f aca="false">AT9+AT10+AT11</f>
        <v>141.985414282892</v>
      </c>
      <c r="AU12" s="28" t="n">
        <f aca="false">AU9+AU10+AU11</f>
        <v>142.571044337748</v>
      </c>
      <c r="AV12" s="28" t="n">
        <f aca="false">AV9+AV10+AV11</f>
        <v>143.141483955237</v>
      </c>
      <c r="AW12" s="28" t="n">
        <f aca="false">AW9+AW10+AW11</f>
        <v>143.697174834191</v>
      </c>
      <c r="AX12" s="28" t="n">
        <f aca="false">AX9+AX10+AX11</f>
        <v>144.238543937329</v>
      </c>
      <c r="AY12" s="28" t="n">
        <f aca="false">AY9+AY10+AY11</f>
        <v>199.50626629606</v>
      </c>
      <c r="AZ12" s="28" t="n">
        <f aca="false">AZ9+AZ10+AZ11</f>
        <v>200.44335135078</v>
      </c>
      <c r="BA12" s="28" t="n">
        <f aca="false">BA9+BA10+BA11</f>
        <v>201.359096677738</v>
      </c>
      <c r="BB12" s="28" t="n">
        <f aca="false">BB9+BB10+BB11</f>
        <v>202.254050276911</v>
      </c>
      <c r="BC12" s="28" t="n">
        <f aca="false">BC9+BC10+BC11</f>
        <v>203.128743804876</v>
      </c>
      <c r="BD12" s="28" t="n">
        <f aca="false">BD9+BD10+BD11</f>
        <v>203.983693139385</v>
      </c>
      <c r="BE12" s="28" t="n">
        <f aca="false">BE9+BE10+BE11</f>
        <v>204.819398922095</v>
      </c>
      <c r="BF12" s="28" t="n">
        <f aca="false">BF9+BF10+BF11</f>
        <v>205.636347080375</v>
      </c>
      <c r="BG12" s="28" t="n">
        <f aca="false">BG9+BG10+BG11</f>
        <v>206.435009329044</v>
      </c>
      <c r="BH12" s="28" t="n">
        <f aca="false">BH9+BH10+BH11</f>
        <v>207.215843652874</v>
      </c>
      <c r="BI12" s="28" t="n">
        <f aca="false">BI9+BI10+BI11</f>
        <v>207.979294770667</v>
      </c>
      <c r="BJ12" s="28" t="n">
        <f aca="false">BJ9+BJ10+BJ11</f>
        <v>208.72579458164</v>
      </c>
    </row>
    <row r="13" customFormat="false" ht="15" hidden="false" customHeight="false" outlineLevel="0" collapsed="false">
      <c r="A13" s="3" t="s">
        <v>218</v>
      </c>
      <c r="B13" s="4"/>
    </row>
    <row r="14" customFormat="false" ht="15" hidden="false" customHeight="false" outlineLevel="0" collapsed="false">
      <c r="A14" s="5" t="s">
        <v>219</v>
      </c>
      <c r="C14" s="27" t="n">
        <f aca="false">C12*INDEX(Premissas!$B$29:$B$33,C$4)</f>
        <v>4.53880341880342</v>
      </c>
      <c r="D14" s="27" t="n">
        <f aca="false">D12*INDEX(Premissas!$B$29:$B$33,D$4)</f>
        <v>4.57057504273504</v>
      </c>
      <c r="E14" s="27" t="n">
        <f aca="false">E12*INDEX(Premissas!$B$29:$B$33,E$4)</f>
        <v>4.60102020136752</v>
      </c>
      <c r="F14" s="27" t="n">
        <f aca="false">F12*INDEX(Premissas!$B$29:$B$33,F$4)</f>
        <v>4.63019997961932</v>
      </c>
      <c r="G14" s="27" t="n">
        <f aca="false">G12*INDEX(Premissas!$B$29:$B$33,G$4)</f>
        <v>4.6581723696359</v>
      </c>
      <c r="H14" s="27" t="n">
        <f aca="false">H12*INDEX(Premissas!$B$29:$B$33,H$4)</f>
        <v>4.68499243992315</v>
      </c>
      <c r="I14" s="27" t="n">
        <f aca="false">I12*INDEX(Premissas!$B$29:$B$33,I$4)</f>
        <v>4.71071249471616</v>
      </c>
      <c r="J14" s="27" t="n">
        <f aca="false">J12*INDEX(Premissas!$B$29:$B$33,J$4)</f>
        <v>4.73538222416701</v>
      </c>
      <c r="K14" s="27" t="n">
        <f aca="false">K12*INDEX(Premissas!$B$29:$B$33,K$4)</f>
        <v>4.75904884589917</v>
      </c>
      <c r="L14" s="27" t="n">
        <f aca="false">L12*INDEX(Premissas!$B$29:$B$33,L$4)</f>
        <v>4.78175723844333</v>
      </c>
      <c r="M14" s="27" t="n">
        <f aca="false">M12*INDEX(Premissas!$B$29:$B$33,M$4)</f>
        <v>4.80355006703743</v>
      </c>
      <c r="N14" s="27" t="n">
        <f aca="false">N12*INDEX(Premissas!$B$29:$B$33,N$4)</f>
        <v>4.82446790224505</v>
      </c>
      <c r="O14" s="27" t="n">
        <f aca="false">O12*INDEX(Premissas!$B$29:$B$33,O$4)</f>
        <v>12.2140528094451</v>
      </c>
      <c r="P14" s="27" t="n">
        <f aca="false">P12*INDEX(Premissas!$B$29:$B$33,P$4)</f>
        <v>12.2877739398069</v>
      </c>
      <c r="Q14" s="27" t="n">
        <f aca="false">Q12*INDEX(Premissas!$B$29:$B$33,Q$4)</f>
        <v>12.3588725801235</v>
      </c>
      <c r="R14" s="27" t="n">
        <f aca="false">R12*INDEX(Premissas!$B$29:$B$33,R$4)</f>
        <v>12.4274527449926</v>
      </c>
      <c r="S14" s="27" t="n">
        <f aca="false">S12*INDEX(Premissas!$B$29:$B$33,S$4)</f>
        <v>12.4936138332128</v>
      </c>
      <c r="T14" s="27" t="n">
        <f aca="false">T12*INDEX(Premissas!$B$29:$B$33,T$4)</f>
        <v>12.5574508531312</v>
      </c>
      <c r="U14" s="27" t="n">
        <f aca="false">U12*INDEX(Premissas!$B$29:$B$33,U$4)</f>
        <v>12.6190546362096</v>
      </c>
      <c r="V14" s="27" t="n">
        <f aca="false">V12*INDEX(Premissas!$B$29:$B$33,V$4)</f>
        <v>12.6785120394531</v>
      </c>
      <c r="W14" s="27" t="n">
        <f aca="false">W12*INDEX(Premissas!$B$29:$B$33,W$4)</f>
        <v>12.7359061373088</v>
      </c>
      <c r="X14" s="27" t="n">
        <f aca="false">X12*INDEX(Premissas!$B$29:$B$33,X$4)</f>
        <v>12.791316403607</v>
      </c>
      <c r="Y14" s="27" t="n">
        <f aca="false">Y12*INDEX(Premissas!$B$29:$B$33,Y$4)</f>
        <v>12.844818884086</v>
      </c>
      <c r="Z14" s="27" t="n">
        <f aca="false">Z12*INDEX(Premissas!$B$29:$B$33,Z$4)</f>
        <v>12.8964863600118</v>
      </c>
      <c r="AA14" s="27" t="n">
        <f aca="false">AA12*INDEX(Premissas!$B$29:$B$33,AA$4)</f>
        <v>23.8947646554118</v>
      </c>
      <c r="AB14" s="27" t="n">
        <f aca="false">AB12*INDEX(Premissas!$B$29:$B$33,AB$4)</f>
        <v>24.0285758626768</v>
      </c>
      <c r="AC14" s="27" t="n">
        <f aca="false">AC12*INDEX(Premissas!$B$29:$B$33,AC$4)</f>
        <v>24.1583400683245</v>
      </c>
      <c r="AD14" s="27" t="n">
        <f aca="false">AD12*INDEX(Premissas!$B$29:$B$33,AD$4)</f>
        <v>24.284195028849</v>
      </c>
      <c r="AE14" s="27" t="n">
        <f aca="false">AE12*INDEX(Premissas!$B$29:$B$33,AE$4)</f>
        <v>24.406273161286</v>
      </c>
      <c r="AF14" s="27" t="n">
        <f aca="false">AF12*INDEX(Premissas!$B$29:$B$33,AF$4)</f>
        <v>24.5247017754792</v>
      </c>
      <c r="AG14" s="27" t="n">
        <f aca="false">AG12*INDEX(Premissas!$B$29:$B$33,AG$4)</f>
        <v>24.6396032953557</v>
      </c>
      <c r="AH14" s="27" t="n">
        <f aca="false">AH12*INDEX(Premissas!$B$29:$B$33,AH$4)</f>
        <v>24.751095469759</v>
      </c>
      <c r="AI14" s="27" t="n">
        <f aca="false">AI12*INDEX(Premissas!$B$29:$B$33,AI$4)</f>
        <v>24.85929157336</v>
      </c>
      <c r="AJ14" s="27" t="n">
        <f aca="false">AJ12*INDEX(Premissas!$B$29:$B$33,AJ$4)</f>
        <v>24.964300598139</v>
      </c>
      <c r="AK14" s="27" t="n">
        <f aca="false">AK12*INDEX(Premissas!$B$29:$B$33,AK$4)</f>
        <v>25.0662274359068</v>
      </c>
      <c r="AL14" s="27" t="n">
        <f aca="false">AL12*INDEX(Premissas!$B$29:$B$33,AL$4)</f>
        <v>25.1651730523093</v>
      </c>
      <c r="AM14" s="27" t="n">
        <f aca="false">AM12*INDEX(Premissas!$B$29:$B$33,AM$4)</f>
        <v>38.4776534888281</v>
      </c>
      <c r="AN14" s="27" t="n">
        <f aca="false">AN12*INDEX(Premissas!$B$29:$B$33,AN$4)</f>
        <v>38.6752490620905</v>
      </c>
      <c r="AO14" s="27" t="n">
        <f aca="false">AO12*INDEX(Premissas!$B$29:$B$33,AO$4)</f>
        <v>38.8675952979006</v>
      </c>
      <c r="AP14" s="27" t="n">
        <f aca="false">AP12*INDEX(Premissas!$B$29:$B$33,AP$4)</f>
        <v>39.0548497849535</v>
      </c>
      <c r="AQ14" s="27" t="n">
        <f aca="false">AQ12*INDEX(Premissas!$B$29:$B$33,AQ$4)</f>
        <v>39.2371646708401</v>
      </c>
      <c r="AR14" s="27" t="n">
        <f aca="false">AR12*INDEX(Premissas!$B$29:$B$33,AR$4)</f>
        <v>39.4146868754912</v>
      </c>
      <c r="AS14" s="27" t="n">
        <f aca="false">AS12*INDEX(Premissas!$B$29:$B$33,AS$4)</f>
        <v>39.5875582954237</v>
      </c>
      <c r="AT14" s="27" t="n">
        <f aca="false">AT12*INDEX(Premissas!$B$29:$B$33,AT$4)</f>
        <v>39.7559159992099</v>
      </c>
      <c r="AU14" s="27" t="n">
        <f aca="false">AU12*INDEX(Premissas!$B$29:$B$33,AU$4)</f>
        <v>39.9198924145695</v>
      </c>
      <c r="AV14" s="27" t="n">
        <f aca="false">AV12*INDEX(Premissas!$B$29:$B$33,AV$4)</f>
        <v>40.0796155074664</v>
      </c>
      <c r="AW14" s="27" t="n">
        <f aca="false">AW12*INDEX(Premissas!$B$29:$B$33,AW$4)</f>
        <v>40.2352089535736</v>
      </c>
      <c r="AX14" s="27" t="n">
        <f aca="false">AX12*INDEX(Premissas!$B$29:$B$33,AX$4)</f>
        <v>40.3867923024523</v>
      </c>
      <c r="AY14" s="27" t="n">
        <f aca="false">AY12*INDEX(Premissas!$B$29:$B$33,AY$4)</f>
        <v>49.8765665740149</v>
      </c>
      <c r="AZ14" s="27" t="n">
        <f aca="false">AZ12*INDEX(Premissas!$B$29:$B$33,AZ$4)</f>
        <v>50.1108378376951</v>
      </c>
      <c r="BA14" s="27" t="n">
        <f aca="false">BA12*INDEX(Premissas!$B$29:$B$33,BA$4)</f>
        <v>50.3397741694346</v>
      </c>
      <c r="BB14" s="27" t="n">
        <f aca="false">BB12*INDEX(Premissas!$B$29:$B$33,BB$4)</f>
        <v>50.5635125692278</v>
      </c>
      <c r="BC14" s="27" t="n">
        <f aca="false">BC12*INDEX(Premissas!$B$29:$B$33,BC$4)</f>
        <v>50.7821859512191</v>
      </c>
      <c r="BD14" s="27" t="n">
        <f aca="false">BD12*INDEX(Premissas!$B$29:$B$33,BD$4)</f>
        <v>50.9959232848462</v>
      </c>
      <c r="BE14" s="27" t="n">
        <f aca="false">BE12*INDEX(Premissas!$B$29:$B$33,BE$4)</f>
        <v>51.2048497305237</v>
      </c>
      <c r="BF14" s="27" t="n">
        <f aca="false">BF12*INDEX(Premissas!$B$29:$B$33,BF$4)</f>
        <v>51.4090867700938</v>
      </c>
      <c r="BG14" s="27" t="n">
        <f aca="false">BG12*INDEX(Premissas!$B$29:$B$33,BG$4)</f>
        <v>51.6087523322609</v>
      </c>
      <c r="BH14" s="27" t="n">
        <f aca="false">BH12*INDEX(Premissas!$B$29:$B$33,BH$4)</f>
        <v>51.8039609132185</v>
      </c>
      <c r="BI14" s="27" t="n">
        <f aca="false">BI12*INDEX(Premissas!$B$29:$B$33,BI$4)</f>
        <v>51.9948236926666</v>
      </c>
      <c r="BJ14" s="27" t="n">
        <f aca="false">BJ12*INDEX(Premissas!$B$29:$B$33,BJ$4)</f>
        <v>52.1814486454099</v>
      </c>
    </row>
    <row r="15" customFormat="false" ht="15" hidden="false" customHeight="false" outlineLevel="0" collapsed="false">
      <c r="A15" s="5" t="s">
        <v>220</v>
      </c>
      <c r="C15" s="27" t="n">
        <f aca="false">C12*INDEX(Premissas!$C$29:$C$33,C$4)</f>
        <v>5.67350427350427</v>
      </c>
      <c r="D15" s="27" t="n">
        <f aca="false">D12*INDEX(Premissas!$C$29:$C$33,D$4)</f>
        <v>5.7132188034188</v>
      </c>
      <c r="E15" s="27" t="n">
        <f aca="false">E12*INDEX(Premissas!$C$29:$C$33,E$4)</f>
        <v>5.7512752517094</v>
      </c>
      <c r="F15" s="27" t="n">
        <f aca="false">F12*INDEX(Premissas!$C$29:$C$33,F$4)</f>
        <v>5.78774997452415</v>
      </c>
      <c r="G15" s="27" t="n">
        <f aca="false">G12*INDEX(Premissas!$C$29:$C$33,G$4)</f>
        <v>5.82271546204488</v>
      </c>
      <c r="H15" s="27" t="n">
        <f aca="false">H12*INDEX(Premissas!$C$29:$C$33,H$4)</f>
        <v>5.85624054990393</v>
      </c>
      <c r="I15" s="27" t="n">
        <f aca="false">I12*INDEX(Premissas!$C$29:$C$33,I$4)</f>
        <v>5.8883906183952</v>
      </c>
      <c r="J15" s="27" t="n">
        <f aca="false">J12*INDEX(Premissas!$C$29:$C$33,J$4)</f>
        <v>5.91922778020876</v>
      </c>
      <c r="K15" s="27" t="n">
        <f aca="false">K12*INDEX(Premissas!$C$29:$C$33,K$4)</f>
        <v>5.94881105737397</v>
      </c>
      <c r="L15" s="27" t="n">
        <f aca="false">L12*INDEX(Premissas!$C$29:$C$33,L$4)</f>
        <v>5.97719654805416</v>
      </c>
      <c r="M15" s="27" t="n">
        <f aca="false">M12*INDEX(Premissas!$C$29:$C$33,M$4)</f>
        <v>6.00443758379679</v>
      </c>
      <c r="N15" s="27" t="n">
        <f aca="false">N12*INDEX(Premissas!$C$29:$C$33,N$4)</f>
        <v>6.03058487780632</v>
      </c>
      <c r="O15" s="27" t="n">
        <f aca="false">O12*INDEX(Premissas!$C$29:$C$33,O$4)</f>
        <v>17.4486468706359</v>
      </c>
      <c r="P15" s="27" t="n">
        <f aca="false">P12*INDEX(Premissas!$C$29:$C$33,P$4)</f>
        <v>17.5539627711527</v>
      </c>
      <c r="Q15" s="27" t="n">
        <f aca="false">Q12*INDEX(Premissas!$C$29:$C$33,Q$4)</f>
        <v>17.6555322573193</v>
      </c>
      <c r="R15" s="27" t="n">
        <f aca="false">R12*INDEX(Premissas!$C$29:$C$33,R$4)</f>
        <v>17.753503921418</v>
      </c>
      <c r="S15" s="27" t="n">
        <f aca="false">S12*INDEX(Premissas!$C$29:$C$33,S$4)</f>
        <v>17.8480197617326</v>
      </c>
      <c r="T15" s="27" t="n">
        <f aca="false">T12*INDEX(Premissas!$C$29:$C$33,T$4)</f>
        <v>17.9392155044732</v>
      </c>
      <c r="U15" s="27" t="n">
        <f aca="false">U12*INDEX(Premissas!$C$29:$C$33,U$4)</f>
        <v>18.0272209088708</v>
      </c>
      <c r="V15" s="27" t="n">
        <f aca="false">V12*INDEX(Premissas!$C$29:$C$33,V$4)</f>
        <v>18.1121600563615</v>
      </c>
      <c r="W15" s="27" t="n">
        <f aca="false">W12*INDEX(Premissas!$C$29:$C$33,W$4)</f>
        <v>18.1941516247269</v>
      </c>
      <c r="X15" s="27" t="n">
        <f aca="false">X12*INDEX(Premissas!$C$29:$C$33,X$4)</f>
        <v>18.27330914801</v>
      </c>
      <c r="Y15" s="27" t="n">
        <f aca="false">Y12*INDEX(Premissas!$C$29:$C$33,Y$4)</f>
        <v>18.34974126298</v>
      </c>
      <c r="Z15" s="27" t="n">
        <f aca="false">Z12*INDEX(Premissas!$C$29:$C$33,Z$4)</f>
        <v>18.423551942874</v>
      </c>
      <c r="AA15" s="27" t="n">
        <f aca="false">AA12*INDEX(Premissas!$C$29:$C$33,AA$4)</f>
        <v>39.8246077590197</v>
      </c>
      <c r="AB15" s="27" t="n">
        <f aca="false">AB12*INDEX(Premissas!$C$29:$C$33,AB$4)</f>
        <v>40.0476264377946</v>
      </c>
      <c r="AC15" s="27" t="n">
        <f aca="false">AC12*INDEX(Premissas!$C$29:$C$33,AC$4)</f>
        <v>40.2639001138741</v>
      </c>
      <c r="AD15" s="27" t="n">
        <f aca="false">AD12*INDEX(Premissas!$C$29:$C$33,AD$4)</f>
        <v>40.473658381415</v>
      </c>
      <c r="AE15" s="27" t="n">
        <f aca="false">AE12*INDEX(Premissas!$C$29:$C$33,AE$4)</f>
        <v>40.6771219354767</v>
      </c>
      <c r="AF15" s="27" t="n">
        <f aca="false">AF12*INDEX(Premissas!$C$29:$C$33,AF$4)</f>
        <v>40.8745029591321</v>
      </c>
      <c r="AG15" s="27" t="n">
        <f aca="false">AG12*INDEX(Premissas!$C$29:$C$33,AG$4)</f>
        <v>41.0660054922595</v>
      </c>
      <c r="AH15" s="27" t="n">
        <f aca="false">AH12*INDEX(Premissas!$C$29:$C$33,AH$4)</f>
        <v>41.2518257829317</v>
      </c>
      <c r="AI15" s="27" t="n">
        <f aca="false">AI12*INDEX(Premissas!$C$29:$C$33,AI$4)</f>
        <v>41.4321526222667</v>
      </c>
      <c r="AJ15" s="27" t="n">
        <f aca="false">AJ12*INDEX(Premissas!$C$29:$C$33,AJ$4)</f>
        <v>41.607167663565</v>
      </c>
      <c r="AK15" s="27" t="n">
        <f aca="false">AK12*INDEX(Premissas!$C$29:$C$33,AK$4)</f>
        <v>41.7770457265113</v>
      </c>
      <c r="AL15" s="27" t="n">
        <f aca="false">AL12*INDEX(Premissas!$C$29:$C$33,AL$4)</f>
        <v>41.9419550871822</v>
      </c>
      <c r="AM15" s="27" t="n">
        <f aca="false">AM12*INDEX(Premissas!$C$29:$C$33,AM$4)</f>
        <v>68.7100955157644</v>
      </c>
      <c r="AN15" s="27" t="n">
        <f aca="false">AN12*INDEX(Premissas!$C$29:$C$33,AN$4)</f>
        <v>69.0629447537331</v>
      </c>
      <c r="AO15" s="27" t="n">
        <f aca="false">AO12*INDEX(Premissas!$C$29:$C$33,AO$4)</f>
        <v>69.4064201748224</v>
      </c>
      <c r="AP15" s="27" t="n">
        <f aca="false">AP12*INDEX(Premissas!$C$29:$C$33,AP$4)</f>
        <v>69.7408031874169</v>
      </c>
      <c r="AQ15" s="27" t="n">
        <f aca="false">AQ12*INDEX(Premissas!$C$29:$C$33,AQ$4)</f>
        <v>70.0663654836431</v>
      </c>
      <c r="AR15" s="27" t="n">
        <f aca="false">AR12*INDEX(Premissas!$C$29:$C$33,AR$4)</f>
        <v>70.3833694205201</v>
      </c>
      <c r="AS15" s="27" t="n">
        <f aca="false">AS12*INDEX(Premissas!$C$29:$C$33,AS$4)</f>
        <v>70.6920683846852</v>
      </c>
      <c r="AT15" s="27" t="n">
        <f aca="false">AT12*INDEX(Premissas!$C$29:$C$33,AT$4)</f>
        <v>70.9927071414462</v>
      </c>
      <c r="AU15" s="27" t="n">
        <f aca="false">AU12*INDEX(Premissas!$C$29:$C$33,AU$4)</f>
        <v>71.2855221688741</v>
      </c>
      <c r="AV15" s="27" t="n">
        <f aca="false">AV12*INDEX(Premissas!$C$29:$C$33,AV$4)</f>
        <v>71.5707419776186</v>
      </c>
      <c r="AW15" s="27" t="n">
        <f aca="false">AW12*INDEX(Premissas!$C$29:$C$33,AW$4)</f>
        <v>71.8485874170956</v>
      </c>
      <c r="AX15" s="27" t="n">
        <f aca="false">AX12*INDEX(Premissas!$C$29:$C$33,AX$4)</f>
        <v>72.1192719686647</v>
      </c>
      <c r="AY15" s="27" t="n">
        <f aca="false">AY12*INDEX(Premissas!$C$29:$C$33,AY$4)</f>
        <v>99.7531331480298</v>
      </c>
      <c r="AZ15" s="27" t="n">
        <f aca="false">AZ12*INDEX(Premissas!$C$29:$C$33,AZ$4)</f>
        <v>100.22167567539</v>
      </c>
      <c r="BA15" s="27" t="n">
        <f aca="false">BA12*INDEX(Premissas!$C$29:$C$33,BA$4)</f>
        <v>100.679548338869</v>
      </c>
      <c r="BB15" s="27" t="n">
        <f aca="false">BB12*INDEX(Premissas!$C$29:$C$33,BB$4)</f>
        <v>101.127025138456</v>
      </c>
      <c r="BC15" s="27" t="n">
        <f aca="false">BC12*INDEX(Premissas!$C$29:$C$33,BC$4)</f>
        <v>101.564371902438</v>
      </c>
      <c r="BD15" s="27" t="n">
        <f aca="false">BD12*INDEX(Premissas!$C$29:$C$33,BD$4)</f>
        <v>101.991846569692</v>
      </c>
      <c r="BE15" s="27" t="n">
        <f aca="false">BE12*INDEX(Premissas!$C$29:$C$33,BE$4)</f>
        <v>102.409699461047</v>
      </c>
      <c r="BF15" s="27" t="n">
        <f aca="false">BF12*INDEX(Premissas!$C$29:$C$33,BF$4)</f>
        <v>102.818173540188</v>
      </c>
      <c r="BG15" s="27" t="n">
        <f aca="false">BG12*INDEX(Premissas!$C$29:$C$33,BG$4)</f>
        <v>103.217504664522</v>
      </c>
      <c r="BH15" s="27" t="n">
        <f aca="false">BH12*INDEX(Premissas!$C$29:$C$33,BH$4)</f>
        <v>103.607921826437</v>
      </c>
      <c r="BI15" s="27" t="n">
        <f aca="false">BI12*INDEX(Premissas!$C$29:$C$33,BI$4)</f>
        <v>103.989647385333</v>
      </c>
      <c r="BJ15" s="27" t="n">
        <f aca="false">BJ12*INDEX(Premissas!$C$29:$C$33,BJ$4)</f>
        <v>104.36289729082</v>
      </c>
    </row>
    <row r="16" customFormat="false" ht="15" hidden="false" customHeight="false" outlineLevel="0" collapsed="false">
      <c r="A16" s="5" t="s">
        <v>221</v>
      </c>
      <c r="C16" s="27" t="n">
        <f aca="false">C12*INDEX(Premissas!$D$29:$D$33,C$4)</f>
        <v>1.13470085470085</v>
      </c>
      <c r="D16" s="27" t="n">
        <f aca="false">D12*INDEX(Premissas!$D$29:$D$33,D$4)</f>
        <v>1.14264376068376</v>
      </c>
      <c r="E16" s="27" t="n">
        <f aca="false">E12*INDEX(Premissas!$D$29:$D$33,E$4)</f>
        <v>1.15025505034188</v>
      </c>
      <c r="F16" s="27" t="n">
        <f aca="false">F12*INDEX(Premissas!$D$29:$D$33,F$4)</f>
        <v>1.15754999490483</v>
      </c>
      <c r="G16" s="27" t="n">
        <f aca="false">G12*INDEX(Premissas!$D$29:$D$33,G$4)</f>
        <v>1.16454309240898</v>
      </c>
      <c r="H16" s="27" t="n">
        <f aca="false">H12*INDEX(Premissas!$D$29:$D$33,H$4)</f>
        <v>1.17124810998079</v>
      </c>
      <c r="I16" s="27" t="n">
        <f aca="false">I12*INDEX(Premissas!$D$29:$D$33,I$4)</f>
        <v>1.17767812367904</v>
      </c>
      <c r="J16" s="27" t="n">
        <f aca="false">J12*INDEX(Premissas!$D$29:$D$33,J$4)</f>
        <v>1.18384555604175</v>
      </c>
      <c r="K16" s="27" t="n">
        <f aca="false">K12*INDEX(Premissas!$D$29:$D$33,K$4)</f>
        <v>1.18976221147479</v>
      </c>
      <c r="L16" s="27" t="n">
        <f aca="false">L12*INDEX(Premissas!$D$29:$D$33,L$4)</f>
        <v>1.19543930961083</v>
      </c>
      <c r="M16" s="27" t="n">
        <f aca="false">M12*INDEX(Premissas!$D$29:$D$33,M$4)</f>
        <v>1.20088751675936</v>
      </c>
      <c r="N16" s="27" t="n">
        <f aca="false">N12*INDEX(Premissas!$D$29:$D$33,N$4)</f>
        <v>1.20611697556126</v>
      </c>
      <c r="O16" s="27" t="n">
        <f aca="false">O12*INDEX(Premissas!$D$29:$D$33,O$4)</f>
        <v>4.53664818636534</v>
      </c>
      <c r="P16" s="27" t="n">
        <f aca="false">P12*INDEX(Premissas!$D$29:$D$33,P$4)</f>
        <v>4.56403032049969</v>
      </c>
      <c r="Q16" s="27" t="n">
        <f aca="false">Q12*INDEX(Premissas!$D$29:$D$33,Q$4)</f>
        <v>4.59043838690303</v>
      </c>
      <c r="R16" s="27" t="n">
        <f aca="false">R12*INDEX(Premissas!$D$29:$D$33,R$4)</f>
        <v>4.61591101956868</v>
      </c>
      <c r="S16" s="27" t="n">
        <f aca="false">S12*INDEX(Premissas!$D$29:$D$33,S$4)</f>
        <v>4.64048513805047</v>
      </c>
      <c r="T16" s="27" t="n">
        <f aca="false">T12*INDEX(Premissas!$D$29:$D$33,T$4)</f>
        <v>4.66419603116302</v>
      </c>
      <c r="U16" s="27" t="n">
        <f aca="false">U12*INDEX(Premissas!$D$29:$D$33,U$4)</f>
        <v>4.68707743630641</v>
      </c>
      <c r="V16" s="27" t="n">
        <f aca="false">V12*INDEX(Premissas!$D$29:$D$33,V$4)</f>
        <v>4.70916161465399</v>
      </c>
      <c r="W16" s="27" t="n">
        <f aca="false">W12*INDEX(Premissas!$D$29:$D$33,W$4)</f>
        <v>4.73047942242898</v>
      </c>
      <c r="X16" s="27" t="n">
        <f aca="false">X12*INDEX(Premissas!$D$29:$D$33,X$4)</f>
        <v>4.75106037848261</v>
      </c>
      <c r="Y16" s="27" t="n">
        <f aca="false">Y12*INDEX(Premissas!$D$29:$D$33,Y$4)</f>
        <v>4.77093272837481</v>
      </c>
      <c r="Z16" s="27" t="n">
        <f aca="false">Z12*INDEX(Premissas!$D$29:$D$33,Z$4)</f>
        <v>4.79012350514724</v>
      </c>
      <c r="AA16" s="27" t="n">
        <f aca="false">AA12*INDEX(Premissas!$D$29:$D$33,AA$4)</f>
        <v>11.9473823277059</v>
      </c>
      <c r="AB16" s="27" t="n">
        <f aca="false">AB12*INDEX(Premissas!$D$29:$D$33,AB$4)</f>
        <v>12.0142879313384</v>
      </c>
      <c r="AC16" s="27" t="n">
        <f aca="false">AC12*INDEX(Premissas!$D$29:$D$33,AC$4)</f>
        <v>12.0791700341622</v>
      </c>
      <c r="AD16" s="27" t="n">
        <f aca="false">AD12*INDEX(Premissas!$D$29:$D$33,AD$4)</f>
        <v>12.1420975144245</v>
      </c>
      <c r="AE16" s="27" t="n">
        <f aca="false">AE12*INDEX(Premissas!$D$29:$D$33,AE$4)</f>
        <v>12.203136580643</v>
      </c>
      <c r="AF16" s="27" t="n">
        <f aca="false">AF12*INDEX(Premissas!$D$29:$D$33,AF$4)</f>
        <v>12.2623508877396</v>
      </c>
      <c r="AG16" s="27" t="n">
        <f aca="false">AG12*INDEX(Premissas!$D$29:$D$33,AG$4)</f>
        <v>12.3198016476778</v>
      </c>
      <c r="AH16" s="27" t="n">
        <f aca="false">AH12*INDEX(Premissas!$D$29:$D$33,AH$4)</f>
        <v>12.3755477348795</v>
      </c>
      <c r="AI16" s="27" t="n">
        <f aca="false">AI12*INDEX(Premissas!$D$29:$D$33,AI$4)</f>
        <v>12.42964578668</v>
      </c>
      <c r="AJ16" s="27" t="n">
        <f aca="false">AJ12*INDEX(Premissas!$D$29:$D$33,AJ$4)</f>
        <v>12.4821502990695</v>
      </c>
      <c r="AK16" s="27" t="n">
        <f aca="false">AK12*INDEX(Premissas!$D$29:$D$33,AK$4)</f>
        <v>12.5331137179534</v>
      </c>
      <c r="AL16" s="27" t="n">
        <f aca="false">AL12*INDEX(Premissas!$D$29:$D$33,AL$4)</f>
        <v>12.5825865261547</v>
      </c>
      <c r="AM16" s="27" t="n">
        <f aca="false">AM12*INDEX(Premissas!$D$29:$D$33,AM$4)</f>
        <v>21.9872305650446</v>
      </c>
      <c r="AN16" s="27" t="n">
        <f aca="false">AN12*INDEX(Premissas!$D$29:$D$33,AN$4)</f>
        <v>22.1001423211946</v>
      </c>
      <c r="AO16" s="27" t="n">
        <f aca="false">AO12*INDEX(Premissas!$D$29:$D$33,AO$4)</f>
        <v>22.2100544559432</v>
      </c>
      <c r="AP16" s="27" t="n">
        <f aca="false">AP12*INDEX(Premissas!$D$29:$D$33,AP$4)</f>
        <v>22.3170570199734</v>
      </c>
      <c r="AQ16" s="27" t="n">
        <f aca="false">AQ12*INDEX(Premissas!$D$29:$D$33,AQ$4)</f>
        <v>22.4212369547658</v>
      </c>
      <c r="AR16" s="27" t="n">
        <f aca="false">AR12*INDEX(Premissas!$D$29:$D$33,AR$4)</f>
        <v>22.5226782145664</v>
      </c>
      <c r="AS16" s="27" t="n">
        <f aca="false">AS12*INDEX(Premissas!$D$29:$D$33,AS$4)</f>
        <v>22.6214618830993</v>
      </c>
      <c r="AT16" s="27" t="n">
        <f aca="false">AT12*INDEX(Premissas!$D$29:$D$33,AT$4)</f>
        <v>22.7176662852628</v>
      </c>
      <c r="AU16" s="27" t="n">
        <f aca="false">AU12*INDEX(Premissas!$D$29:$D$33,AU$4)</f>
        <v>22.8113670940397</v>
      </c>
      <c r="AV16" s="27" t="n">
        <f aca="false">AV12*INDEX(Premissas!$D$29:$D$33,AV$4)</f>
        <v>22.902637432838</v>
      </c>
      <c r="AW16" s="27" t="n">
        <f aca="false">AW12*INDEX(Premissas!$D$29:$D$33,AW$4)</f>
        <v>22.9915479734706</v>
      </c>
      <c r="AX16" s="27" t="n">
        <f aca="false">AX12*INDEX(Premissas!$D$29:$D$33,AX$4)</f>
        <v>23.0781670299727</v>
      </c>
      <c r="AY16" s="27" t="n">
        <f aca="false">AY12*INDEX(Premissas!$D$29:$D$33,AY$4)</f>
        <v>35.9111279332907</v>
      </c>
      <c r="AZ16" s="27" t="n">
        <f aca="false">AZ12*INDEX(Premissas!$D$29:$D$33,AZ$4)</f>
        <v>36.0798032431405</v>
      </c>
      <c r="BA16" s="27" t="n">
        <f aca="false">BA12*INDEX(Premissas!$D$29:$D$33,BA$4)</f>
        <v>36.2446374019929</v>
      </c>
      <c r="BB16" s="27" t="n">
        <f aca="false">BB12*INDEX(Premissas!$D$29:$D$33,BB$4)</f>
        <v>36.405729049844</v>
      </c>
      <c r="BC16" s="27" t="n">
        <f aca="false">BC12*INDEX(Premissas!$D$29:$D$33,BC$4)</f>
        <v>36.5631738848777</v>
      </c>
      <c r="BD16" s="27" t="n">
        <f aca="false">BD12*INDEX(Premissas!$D$29:$D$33,BD$4)</f>
        <v>36.7170647650892</v>
      </c>
      <c r="BE16" s="27" t="n">
        <f aca="false">BE12*INDEX(Premissas!$D$29:$D$33,BE$4)</f>
        <v>36.8674918059771</v>
      </c>
      <c r="BF16" s="27" t="n">
        <f aca="false">BF12*INDEX(Premissas!$D$29:$D$33,BF$4)</f>
        <v>37.0145424744675</v>
      </c>
      <c r="BG16" s="27" t="n">
        <f aca="false">BG12*INDEX(Premissas!$D$29:$D$33,BG$4)</f>
        <v>37.1583016792279</v>
      </c>
      <c r="BH16" s="27" t="n">
        <f aca="false">BH12*INDEX(Premissas!$D$29:$D$33,BH$4)</f>
        <v>37.2988518575173</v>
      </c>
      <c r="BI16" s="27" t="n">
        <f aca="false">BI12*INDEX(Premissas!$D$29:$D$33,BI$4)</f>
        <v>37.43627305872</v>
      </c>
      <c r="BJ16" s="27" t="n">
        <f aca="false">BJ12*INDEX(Premissas!$D$29:$D$33,BJ$4)</f>
        <v>37.5706430246952</v>
      </c>
    </row>
    <row r="17" customFormat="false" ht="15" hidden="false" customHeight="false" outlineLevel="0" collapsed="false">
      <c r="A17" s="5" t="s">
        <v>222</v>
      </c>
      <c r="C17" s="27" t="n">
        <f aca="false">C12*INDEX(Premissas!$E$29:$E$33,C$4)</f>
        <v>0</v>
      </c>
      <c r="D17" s="27" t="n">
        <f aca="false">D12*INDEX(Premissas!$E$29:$E$33,D$4)</f>
        <v>0</v>
      </c>
      <c r="E17" s="27" t="n">
        <f aca="false">E12*INDEX(Premissas!$E$29:$E$33,E$4)</f>
        <v>0</v>
      </c>
      <c r="F17" s="27" t="n">
        <f aca="false">F12*INDEX(Premissas!$E$29:$E$33,F$4)</f>
        <v>0</v>
      </c>
      <c r="G17" s="27" t="n">
        <f aca="false">G12*INDEX(Premissas!$E$29:$E$33,G$4)</f>
        <v>0</v>
      </c>
      <c r="H17" s="27" t="n">
        <f aca="false">H12*INDEX(Premissas!$E$29:$E$33,H$4)</f>
        <v>0</v>
      </c>
      <c r="I17" s="27" t="n">
        <f aca="false">I12*INDEX(Premissas!$E$29:$E$33,I$4)</f>
        <v>0</v>
      </c>
      <c r="J17" s="27" t="n">
        <f aca="false">J12*INDEX(Premissas!$E$29:$E$33,J$4)</f>
        <v>0</v>
      </c>
      <c r="K17" s="27" t="n">
        <f aca="false">K12*INDEX(Premissas!$E$29:$E$33,K$4)</f>
        <v>0</v>
      </c>
      <c r="L17" s="27" t="n">
        <f aca="false">L12*INDEX(Premissas!$E$29:$E$33,L$4)</f>
        <v>0</v>
      </c>
      <c r="M17" s="27" t="n">
        <f aca="false">M12*INDEX(Premissas!$E$29:$E$33,M$4)</f>
        <v>0</v>
      </c>
      <c r="N17" s="27" t="n">
        <f aca="false">N12*INDEX(Premissas!$E$29:$E$33,N$4)</f>
        <v>0</v>
      </c>
      <c r="O17" s="27" t="n">
        <f aca="false">O12*INDEX(Premissas!$E$29:$E$33,O$4)</f>
        <v>0.697945874825437</v>
      </c>
      <c r="P17" s="27" t="n">
        <f aca="false">P12*INDEX(Premissas!$E$29:$E$33,P$4)</f>
        <v>0.702158510846107</v>
      </c>
      <c r="Q17" s="27" t="n">
        <f aca="false">Q12*INDEX(Premissas!$E$29:$E$33,Q$4)</f>
        <v>0.706221290292774</v>
      </c>
      <c r="R17" s="27" t="n">
        <f aca="false">R12*INDEX(Premissas!$E$29:$E$33,R$4)</f>
        <v>0.71014015685672</v>
      </c>
      <c r="S17" s="27" t="n">
        <f aca="false">S12*INDEX(Premissas!$E$29:$E$33,S$4)</f>
        <v>0.713920790469302</v>
      </c>
      <c r="T17" s="27" t="n">
        <f aca="false">T12*INDEX(Premissas!$E$29:$E$33,T$4)</f>
        <v>0.717568620178927</v>
      </c>
      <c r="U17" s="27" t="n">
        <f aca="false">U12*INDEX(Premissas!$E$29:$E$33,U$4)</f>
        <v>0.721088836354833</v>
      </c>
      <c r="V17" s="27" t="n">
        <f aca="false">V12*INDEX(Premissas!$E$29:$E$33,V$4)</f>
        <v>0.724486402254461</v>
      </c>
      <c r="W17" s="27" t="n">
        <f aca="false">W12*INDEX(Premissas!$E$29:$E$33,W$4)</f>
        <v>0.727766064989074</v>
      </c>
      <c r="X17" s="27" t="n">
        <f aca="false">X12*INDEX(Premissas!$E$29:$E$33,X$4)</f>
        <v>0.730932365920401</v>
      </c>
      <c r="Y17" s="27" t="n">
        <f aca="false">Y12*INDEX(Premissas!$E$29:$E$33,Y$4)</f>
        <v>0.733989650519201</v>
      </c>
      <c r="Z17" s="27" t="n">
        <f aca="false">Z12*INDEX(Premissas!$E$29:$E$33,Z$4)</f>
        <v>0.73694207771496</v>
      </c>
      <c r="AA17" s="27" t="n">
        <f aca="false">AA12*INDEX(Premissas!$E$29:$E$33,AA$4)</f>
        <v>3.98246077590197</v>
      </c>
      <c r="AB17" s="27" t="n">
        <f aca="false">AB12*INDEX(Premissas!$E$29:$E$33,AB$4)</f>
        <v>4.00476264377946</v>
      </c>
      <c r="AC17" s="27" t="n">
        <f aca="false">AC12*INDEX(Premissas!$E$29:$E$33,AC$4)</f>
        <v>4.02639001138741</v>
      </c>
      <c r="AD17" s="27" t="n">
        <f aca="false">AD12*INDEX(Premissas!$E$29:$E$33,AD$4)</f>
        <v>4.0473658381415</v>
      </c>
      <c r="AE17" s="27" t="n">
        <f aca="false">AE12*INDEX(Premissas!$E$29:$E$33,AE$4)</f>
        <v>4.06771219354767</v>
      </c>
      <c r="AF17" s="27" t="n">
        <f aca="false">AF12*INDEX(Premissas!$E$29:$E$33,AF$4)</f>
        <v>4.08745029591321</v>
      </c>
      <c r="AG17" s="27" t="n">
        <f aca="false">AG12*INDEX(Premissas!$E$29:$E$33,AG$4)</f>
        <v>4.10660054922595</v>
      </c>
      <c r="AH17" s="27" t="n">
        <f aca="false">AH12*INDEX(Premissas!$E$29:$E$33,AH$4)</f>
        <v>4.12518257829317</v>
      </c>
      <c r="AI17" s="27" t="n">
        <f aca="false">AI12*INDEX(Premissas!$E$29:$E$33,AI$4)</f>
        <v>4.14321526222667</v>
      </c>
      <c r="AJ17" s="27" t="n">
        <f aca="false">AJ12*INDEX(Premissas!$E$29:$E$33,AJ$4)</f>
        <v>4.1607167663565</v>
      </c>
      <c r="AK17" s="27" t="n">
        <f aca="false">AK12*INDEX(Premissas!$E$29:$E$33,AK$4)</f>
        <v>4.17770457265113</v>
      </c>
      <c r="AL17" s="27" t="n">
        <f aca="false">AL12*INDEX(Premissas!$E$29:$E$33,AL$4)</f>
        <v>4.19419550871822</v>
      </c>
      <c r="AM17" s="27" t="n">
        <f aca="false">AM12*INDEX(Premissas!$E$29:$E$33,AM$4)</f>
        <v>8.24521146189172</v>
      </c>
      <c r="AN17" s="27" t="n">
        <f aca="false">AN12*INDEX(Premissas!$E$29:$E$33,AN$4)</f>
        <v>8.28755337044797</v>
      </c>
      <c r="AO17" s="27" t="n">
        <f aca="false">AO12*INDEX(Premissas!$E$29:$E$33,AO$4)</f>
        <v>8.32877042097869</v>
      </c>
      <c r="AP17" s="27" t="n">
        <f aca="false">AP12*INDEX(Premissas!$E$29:$E$33,AP$4)</f>
        <v>8.36889638249003</v>
      </c>
      <c r="AQ17" s="27" t="n">
        <f aca="false">AQ12*INDEX(Premissas!$E$29:$E$33,AQ$4)</f>
        <v>8.40796385803717</v>
      </c>
      <c r="AR17" s="27" t="n">
        <f aca="false">AR12*INDEX(Premissas!$E$29:$E$33,AR$4)</f>
        <v>8.44600433046241</v>
      </c>
      <c r="AS17" s="27" t="n">
        <f aca="false">AS12*INDEX(Premissas!$E$29:$E$33,AS$4)</f>
        <v>8.48304820616222</v>
      </c>
      <c r="AT17" s="27" t="n">
        <f aca="false">AT12*INDEX(Premissas!$E$29:$E$33,AT$4)</f>
        <v>8.51912485697355</v>
      </c>
      <c r="AU17" s="27" t="n">
        <f aca="false">AU12*INDEX(Premissas!$E$29:$E$33,AU$4)</f>
        <v>8.55426266026489</v>
      </c>
      <c r="AV17" s="27" t="n">
        <f aca="false">AV12*INDEX(Premissas!$E$29:$E$33,AV$4)</f>
        <v>8.58848903731424</v>
      </c>
      <c r="AW17" s="27" t="n">
        <f aca="false">AW12*INDEX(Premissas!$E$29:$E$33,AW$4)</f>
        <v>8.62183049005148</v>
      </c>
      <c r="AX17" s="27" t="n">
        <f aca="false">AX12*INDEX(Premissas!$E$29:$E$33,AX$4)</f>
        <v>8.65431263623977</v>
      </c>
      <c r="AY17" s="27" t="n">
        <f aca="false">AY12*INDEX(Premissas!$E$29:$E$33,AY$4)</f>
        <v>13.9654386407242</v>
      </c>
      <c r="AZ17" s="27" t="n">
        <f aca="false">AZ12*INDEX(Premissas!$E$29:$E$33,AZ$4)</f>
        <v>14.0310345945546</v>
      </c>
      <c r="BA17" s="27" t="n">
        <f aca="false">BA12*INDEX(Premissas!$E$29:$E$33,BA$4)</f>
        <v>14.0951367674417</v>
      </c>
      <c r="BB17" s="27" t="n">
        <f aca="false">BB12*INDEX(Premissas!$E$29:$E$33,BB$4)</f>
        <v>14.1577835193838</v>
      </c>
      <c r="BC17" s="27" t="n">
        <f aca="false">BC12*INDEX(Premissas!$E$29:$E$33,BC$4)</f>
        <v>14.2190120663413</v>
      </c>
      <c r="BD17" s="27" t="n">
        <f aca="false">BD12*INDEX(Premissas!$E$29:$E$33,BD$4)</f>
        <v>14.2788585197569</v>
      </c>
      <c r="BE17" s="27" t="n">
        <f aca="false">BE12*INDEX(Premissas!$E$29:$E$33,BE$4)</f>
        <v>14.3373579245466</v>
      </c>
      <c r="BF17" s="27" t="n">
        <f aca="false">BF12*INDEX(Premissas!$E$29:$E$33,BF$4)</f>
        <v>14.3945442956263</v>
      </c>
      <c r="BG17" s="27" t="n">
        <f aca="false">BG12*INDEX(Premissas!$E$29:$E$33,BG$4)</f>
        <v>14.4504506530331</v>
      </c>
      <c r="BH17" s="27" t="n">
        <f aca="false">BH12*INDEX(Premissas!$E$29:$E$33,BH$4)</f>
        <v>14.5051090557012</v>
      </c>
      <c r="BI17" s="27" t="n">
        <f aca="false">BI12*INDEX(Premissas!$E$29:$E$33,BI$4)</f>
        <v>14.5585506339467</v>
      </c>
      <c r="BJ17" s="27" t="n">
        <f aca="false">BJ12*INDEX(Premissas!$E$29:$E$33,BJ$4)</f>
        <v>14.6108056207148</v>
      </c>
    </row>
    <row r="18" customFormat="false" ht="15" hidden="false" customHeight="false" outlineLevel="0" collapsed="false">
      <c r="A18" s="5" t="s">
        <v>223</v>
      </c>
      <c r="C18" s="23" t="n">
        <f aca="false">0</f>
        <v>0</v>
      </c>
      <c r="D18" s="27" t="n">
        <f aca="false">C22*Premissas!$B$20*INDEX(Premissas!$B$48:$D$48,$B$2)*(1-Premissas!$B$25)^(D$4-1)</f>
        <v>0.295022222222222</v>
      </c>
      <c r="E18" s="27" t="n">
        <f aca="false">D22*Premissas!$B$20*INDEX(Premissas!$B$48:$D$48,$B$2)*(1-Premissas!$B$25)^(E$4-1)</f>
        <v>0.572933155555556</v>
      </c>
      <c r="F18" s="27" t="n">
        <f aca="false">E22*Premissas!$B$20*INDEX(Premissas!$B$48:$D$48,$B$2)*(1-Premissas!$B$25)^(F$4-1)</f>
        <v>0.834758813533334</v>
      </c>
      <c r="G18" s="27" t="n">
        <f aca="false">F22*Premissas!$B$20*INDEX(Premissas!$B$48:$D$48,$B$2)*(1-Premissas!$B$25)^(G$4-1)</f>
        <v>1.08146248932892</v>
      </c>
      <c r="H18" s="27" t="n">
        <f aca="false">G22*Premissas!$B$20*INDEX(Premissas!$B$48:$D$48,$B$2)*(1-Premissas!$B$25)^(H$4-1)</f>
        <v>1.31394863154888</v>
      </c>
      <c r="I18" s="27" t="n">
        <f aca="false">H22*Premissas!$B$20*INDEX(Premissas!$B$48:$D$48,$B$2)*(1-Premissas!$B$25)^(I$4-1)</f>
        <v>1.5330664790932</v>
      </c>
      <c r="J18" s="27" t="n">
        <f aca="false">I22*Premissas!$B$20*INDEX(Premissas!$B$48:$D$48,$B$2)*(1-Premissas!$B$25)^(J$4-1)</f>
        <v>1.7396134701087</v>
      </c>
      <c r="K18" s="27" t="n">
        <f aca="false">J22*Premissas!$B$20*INDEX(Premissas!$B$48:$D$48,$B$2)*(1-Premissas!$B$25)^(K$4-1)</f>
        <v>1.93433843912249</v>
      </c>
      <c r="L18" s="27" t="n">
        <f aca="false">K22*Premissas!$B$20*INDEX(Premissas!$B$48:$D$48,$B$2)*(1-Premissas!$B$25)^(L$4-1)</f>
        <v>2.11794461556297</v>
      </c>
      <c r="M18" s="27" t="n">
        <f aca="false">L22*Premissas!$B$20*INDEX(Premissas!$B$48:$D$48,$B$2)*(1-Premissas!$B$25)^(M$4-1)</f>
        <v>2.29109243605019</v>
      </c>
      <c r="N18" s="27" t="n">
        <f aca="false">M22*Premissas!$B$20*INDEX(Premissas!$B$48:$D$48,$B$2)*(1-Premissas!$B$25)^(N$4-1)</f>
        <v>2.45440218206436</v>
      </c>
      <c r="O18" s="27" t="n">
        <f aca="false">N22*Premissas!$B$20*INDEX(Premissas!$B$48:$D$48,$B$2)*(1-Premissas!$B$25)^(O$4-1)</f>
        <v>2.39977993756602</v>
      </c>
      <c r="P18" s="27" t="n">
        <f aca="false">O22*Premissas!$B$20*INDEX(Premissas!$B$48:$D$48,$B$2)*(1-Premissas!$B$25)^(P$4-1)</f>
        <v>2.98667345530439</v>
      </c>
      <c r="Q18" s="27" t="n">
        <f aca="false">P22*Premissas!$B$20*INDEX(Premissas!$B$48:$D$48,$B$2)*(1-Premissas!$B$25)^(Q$4-1)</f>
        <v>3.54287926427764</v>
      </c>
      <c r="R18" s="27" t="n">
        <f aca="false">Q22*Premissas!$B$20*INDEX(Premissas!$B$48:$D$48,$B$2)*(1-Premissas!$B$25)^(R$4-1)</f>
        <v>4.07007566456522</v>
      </c>
      <c r="S18" s="27" t="n">
        <f aca="false">R22*Premissas!$B$20*INDEX(Premissas!$B$48:$D$48,$B$2)*(1-Premissas!$B$25)^(S$4-1)</f>
        <v>4.56984681397478</v>
      </c>
      <c r="T18" s="27" t="n">
        <f aca="false">S22*Premissas!$B$20*INDEX(Premissas!$B$48:$D$48,$B$2)*(1-Premissas!$B$25)^(T$4-1)</f>
        <v>5.04368808172521</v>
      </c>
      <c r="U18" s="27" t="n">
        <f aca="false">T22*Premissas!$B$20*INDEX(Premissas!$B$48:$D$48,$B$2)*(1-Premissas!$B$25)^(U$4-1)</f>
        <v>5.49301109545529</v>
      </c>
      <c r="V18" s="27" t="n">
        <f aca="false">U22*Premissas!$B$20*INDEX(Premissas!$B$48:$D$48,$B$2)*(1-Premissas!$B$25)^(V$4-1)</f>
        <v>5.9191484991924</v>
      </c>
      <c r="W18" s="27" t="n">
        <f aca="false">V22*Premissas!$B$20*INDEX(Premissas!$B$48:$D$48,$B$2)*(1-Premissas!$B$25)^(W$4-1)</f>
        <v>6.32335843889999</v>
      </c>
      <c r="X18" s="27" t="n">
        <f aca="false">W22*Premissas!$B$20*INDEX(Premissas!$B$48:$D$48,$B$2)*(1-Premissas!$B$25)^(X$4-1)</f>
        <v>6.70682879126483</v>
      </c>
      <c r="Y18" s="27" t="n">
        <f aca="false">X22*Premissas!$B$20*INDEX(Premissas!$B$48:$D$48,$B$2)*(1-Premissas!$B$25)^(Y$4-1)</f>
        <v>7.0706811504829</v>
      </c>
      <c r="Z18" s="27" t="n">
        <f aca="false">Y22*Premissas!$B$20*INDEX(Premissas!$B$48:$D$48,$B$2)*(1-Premissas!$B$25)^(Z$4-1)</f>
        <v>7.41597458695236</v>
      </c>
      <c r="AA18" s="27" t="n">
        <f aca="false">Z22*Premissas!$B$20*INDEX(Premissas!$B$48:$D$48,$B$2)*(1-Premissas!$B$25)^(AA$4-1)</f>
        <v>7.12421245570281</v>
      </c>
      <c r="AB18" s="27" t="n">
        <f aca="false">AA22*Premissas!$B$20*INDEX(Premissas!$B$48:$D$48,$B$2)*(1-Premissas!$B$25)^(AB$4-1)</f>
        <v>8.046861155522</v>
      </c>
      <c r="AC18" s="27" t="n">
        <f aca="false">AB22*Premissas!$B$20*INDEX(Premissas!$B$48:$D$48,$B$2)*(1-Premissas!$B$25)^(AC$4-1)</f>
        <v>8.92611117185083</v>
      </c>
      <c r="AD18" s="27" t="n">
        <f aca="false">AC22*Premissas!$B$20*INDEX(Premissas!$B$48:$D$48,$B$2)*(1-Premissas!$B$25)^(AD$4-1)</f>
        <v>9.76412747681922</v>
      </c>
      <c r="AE18" s="27" t="n">
        <f aca="false">AD22*Premissas!$B$20*INDEX(Premissas!$B$48:$D$48,$B$2)*(1-Premissas!$B$25)^(AE$4-1)</f>
        <v>10.5629635132617</v>
      </c>
      <c r="AF18" s="27" t="n">
        <f aca="false">AE22*Premissas!$B$20*INDEX(Premissas!$B$48:$D$48,$B$2)*(1-Premissas!$B$25)^(AF$4-1)</f>
        <v>11.3245670368574</v>
      </c>
      <c r="AG18" s="27" t="n">
        <f aca="false">AF22*Premissas!$B$20*INDEX(Premissas!$B$48:$D$48,$B$2)*(1-Premissas!$B$25)^(AG$4-1)</f>
        <v>12.0507856496374</v>
      </c>
      <c r="AH18" s="27" t="n">
        <f aca="false">AG22*Premissas!$B$20*INDEX(Premissas!$B$48:$D$48,$B$2)*(1-Premissas!$B$25)^(AH$4-1)</f>
        <v>12.7433720412343</v>
      </c>
      <c r="AI18" s="27" t="n">
        <f aca="false">AH22*Premissas!$B$20*INDEX(Premissas!$B$48:$D$48,$B$2)*(1-Premissas!$B$25)^(AI$4-1)</f>
        <v>13.403988953378</v>
      </c>
      <c r="AJ18" s="27" t="n">
        <f aca="false">AI22*Premissas!$B$20*INDEX(Premissas!$B$48:$D$48,$B$2)*(1-Premissas!$B$25)^(AJ$4-1)</f>
        <v>14.0342138823189</v>
      </c>
      <c r="AK18" s="27" t="n">
        <f aca="false">AJ22*Premissas!$B$20*INDEX(Premissas!$B$48:$D$48,$B$2)*(1-Premissas!$B$25)^(AK$4-1)</f>
        <v>14.6355435330765</v>
      </c>
      <c r="AL18" s="27" t="n">
        <f aca="false">AK22*Premissas!$B$20*INDEX(Premissas!$B$48:$D$48,$B$2)*(1-Premissas!$B$25)^(AL$4-1)</f>
        <v>15.2093980386746</v>
      </c>
      <c r="AM18" s="27" t="n">
        <f aca="false">AL22*Premissas!$B$20*INDEX(Premissas!$B$48:$D$48,$B$2)*(1-Premissas!$B$25)^(AM$4-1)</f>
        <v>14.4965549602787</v>
      </c>
      <c r="AN18" s="27" t="n">
        <f aca="false">AM22*Premissas!$B$20*INDEX(Premissas!$B$48:$D$48,$B$2)*(1-Premissas!$B$25)^(AN$4-1)</f>
        <v>15.7103515475937</v>
      </c>
      <c r="AO18" s="27" t="n">
        <f aca="false">AN22*Premissas!$B$20*INDEX(Premissas!$B$48:$D$48,$B$2)*(1-Premissas!$B$25)^(AO$4-1)</f>
        <v>16.8727134051186</v>
      </c>
      <c r="AP18" s="27" t="n">
        <f aca="false">AO22*Premissas!$B$20*INDEX(Premissas!$B$48:$D$48,$B$2)*(1-Premissas!$B$25)^(AP$4-1)</f>
        <v>17.9859781935549</v>
      </c>
      <c r="AQ18" s="27" t="n">
        <f aca="false">AP22*Premissas!$B$20*INDEX(Premissas!$B$48:$D$48,$B$2)*(1-Premissas!$B$25)^(AQ$4-1)</f>
        <v>19.0523732298694</v>
      </c>
      <c r="AR18" s="27" t="n">
        <f aca="false">AQ22*Premissas!$B$20*INDEX(Premissas!$B$48:$D$48,$B$2)*(1-Premissas!$B$25)^(AR$4-1)</f>
        <v>20.0740207969126</v>
      </c>
      <c r="AS18" s="27" t="n">
        <f aca="false">AR22*Premissas!$B$20*INDEX(Premissas!$B$48:$D$48,$B$2)*(1-Premissas!$B$25)^(AS$4-1)</f>
        <v>21.0529431950933</v>
      </c>
      <c r="AT18" s="27" t="n">
        <f aca="false">AS22*Premissas!$B$20*INDEX(Premissas!$B$48:$D$48,$B$2)*(1-Premissas!$B$25)^(AT$4-1)</f>
        <v>21.9910675487043</v>
      </c>
      <c r="AU18" s="27" t="n">
        <f aca="false">AT22*Premissas!$B$20*INDEX(Premissas!$B$48:$D$48,$B$2)*(1-Premissas!$B$25)^(AU$4-1)</f>
        <v>22.8902303788691</v>
      </c>
      <c r="AV18" s="27" t="n">
        <f aca="false">AU22*Premissas!$B$20*INDEX(Premissas!$B$48:$D$48,$B$2)*(1-Premissas!$B$25)^(AV$4-1)</f>
        <v>23.7521819545007</v>
      </c>
      <c r="AW18" s="27" t="n">
        <f aca="false">AV22*Premissas!$B$20*INDEX(Premissas!$B$48:$D$48,$B$2)*(1-Premissas!$B$25)^(AW$4-1)</f>
        <v>24.5785904321027</v>
      </c>
      <c r="AX18" s="27" t="n">
        <f aca="false">AW22*Premissas!$B$20*INDEX(Premissas!$B$48:$D$48,$B$2)*(1-Premissas!$B$25)^(AX$4-1)</f>
        <v>25.3710457947137</v>
      </c>
      <c r="AY18" s="27" t="n">
        <f aca="false">AX22*Premissas!$B$20*INDEX(Premissas!$B$48:$D$48,$B$2)*(1-Premissas!$B$25)^(AY$4-1)</f>
        <v>24.0405785118104</v>
      </c>
      <c r="AZ18" s="27" t="n">
        <f aca="false">AY22*Premissas!$B$20*INDEX(Premissas!$B$48:$D$48,$B$2)*(1-Premissas!$B$25)^(AZ$4-1)</f>
        <v>25.2436453093669</v>
      </c>
      <c r="BA18" s="27" t="n">
        <f aca="false">AZ22*Premissas!$B$20*INDEX(Premissas!$B$48:$D$48,$B$2)*(1-Premissas!$B$25)^(BA$4-1)</f>
        <v>26.4015996174137</v>
      </c>
      <c r="BB18" s="27" t="n">
        <f aca="false">BA22*Premissas!$B$20*INDEX(Premissas!$B$48:$D$48,$B$2)*(1-Premissas!$B$25)^(BB$4-1)</f>
        <v>27.5162936994944</v>
      </c>
      <c r="BC18" s="27" t="n">
        <f aca="false">BB22*Premissas!$B$20*INDEX(Premissas!$B$48:$D$48,$B$2)*(1-Premissas!$B$25)^(BC$4-1)</f>
        <v>28.5894999469751</v>
      </c>
      <c r="BD18" s="27" t="n">
        <f aca="false">BC22*Premissas!$B$20*INDEX(Premissas!$B$48:$D$48,$B$2)*(1-Premissas!$B$25)^(BD$4-1)</f>
        <v>29.6229144080756</v>
      </c>
      <c r="BE18" s="27" t="n">
        <f aca="false">BD22*Premissas!$B$20*INDEX(Premissas!$B$48:$D$48,$B$2)*(1-Premissas!$B$25)^(BE$4-1)</f>
        <v>30.6181601591424</v>
      </c>
      <c r="BF18" s="27" t="n">
        <f aca="false">BE22*Premissas!$B$20*INDEX(Premissas!$B$48:$D$48,$B$2)*(1-Premissas!$B$25)^(BF$4-1)</f>
        <v>31.5767905252542</v>
      </c>
      <c r="BG18" s="27" t="n">
        <f aca="false">BF22*Premissas!$B$20*INDEX(Premissas!$B$48:$D$48,$B$2)*(1-Premissas!$B$25)^(BG$4-1)</f>
        <v>32.5002921569327</v>
      </c>
      <c r="BH18" s="27" t="n">
        <f aca="false">BG22*Premissas!$B$20*INDEX(Premissas!$B$48:$D$48,$B$2)*(1-Premissas!$B$25)^(BH$4-1)</f>
        <v>33.3900879694256</v>
      </c>
      <c r="BI18" s="27" t="n">
        <f aca="false">BH22*Premissas!$B$20*INDEX(Premissas!$B$48:$D$48,$B$2)*(1-Premissas!$B$25)^(BI$4-1)</f>
        <v>34.247539950738</v>
      </c>
      <c r="BJ18" s="27" t="n">
        <f aca="false">BI22*Premissas!$B$20*INDEX(Premissas!$B$48:$D$48,$B$2)*(1-Premissas!$B$25)^(BJ$4-1)</f>
        <v>35.0739518443076</v>
      </c>
    </row>
    <row r="19" customFormat="false" ht="15" hidden="false" customHeight="false" outlineLevel="0" collapsed="false">
      <c r="A19" s="5" t="s">
        <v>224</v>
      </c>
      <c r="C19" s="23" t="n">
        <f aca="false">0</f>
        <v>0</v>
      </c>
      <c r="D19" s="27" t="n">
        <f aca="false">C23*Premissas!$C$20*INDEX(Premissas!$B$48:$D$48,$B$2)*(1-Premissas!$B$25)^(D$4-1)</f>
        <v>0.221266666666667</v>
      </c>
      <c r="E19" s="27" t="n">
        <f aca="false">D23*Premissas!$C$20*INDEX(Premissas!$B$48:$D$48,$B$2)*(1-Premissas!$B$25)^(E$4-1)</f>
        <v>0.4354528</v>
      </c>
      <c r="F19" s="27" t="n">
        <f aca="false">E23*Premissas!$C$20*INDEX(Premissas!$B$48:$D$48,$B$2)*(1-Premissas!$B$25)^(F$4-1)</f>
        <v>0.642769875616667</v>
      </c>
      <c r="G19" s="27" t="n">
        <f aca="false">F23*Premissas!$C$20*INDEX(Premissas!$B$48:$D$48,$B$2)*(1-Premissas!$B$25)^(G$4-1)</f>
        <v>0.843424099474059</v>
      </c>
      <c r="H19" s="27" t="n">
        <f aca="false">G23*Premissas!$C$20*INDEX(Premissas!$B$48:$D$48,$B$2)*(1-Premissas!$B$25)^(H$4-1)</f>
        <v>1.03761646261432</v>
      </c>
      <c r="I19" s="27" t="n">
        <f aca="false">H23*Premissas!$C$20*INDEX(Premissas!$B$48:$D$48,$B$2)*(1-Premissas!$B$25)^(I$4-1)</f>
        <v>1.22554280201862</v>
      </c>
      <c r="J19" s="27" t="n">
        <f aca="false">I23*Premissas!$C$20*INDEX(Premissas!$B$48:$D$48,$B$2)*(1-Premissas!$B$25)^(J$4-1)</f>
        <v>1.4073938668573</v>
      </c>
      <c r="K19" s="27" t="n">
        <f aca="false">J23*Premissas!$C$20*INDEX(Premissas!$B$48:$D$48,$B$2)*(1-Premissas!$B$25)^(K$4-1)</f>
        <v>1.58335538947801</v>
      </c>
      <c r="L19" s="27" t="n">
        <f aca="false">K23*Premissas!$C$20*INDEX(Premissas!$B$48:$D$48,$B$2)*(1-Premissas!$B$25)^(L$4-1)</f>
        <v>1.75360816052595</v>
      </c>
      <c r="M19" s="27" t="n">
        <f aca="false">L23*Premissas!$C$20*INDEX(Premissas!$B$48:$D$48,$B$2)*(1-Premissas!$B$25)^(M$4-1)</f>
        <v>1.91832810763955</v>
      </c>
      <c r="N19" s="27" t="n">
        <f aca="false">M23*Premissas!$C$20*INDEX(Premissas!$B$48:$D$48,$B$2)*(1-Premissas!$B$25)^(N$4-1)</f>
        <v>2.07768637720968</v>
      </c>
      <c r="O19" s="27" t="n">
        <f aca="false">N23*Premissas!$C$20*INDEX(Premissas!$B$48:$D$48,$B$2)*(1-Premissas!$B$25)^(O$4-1)</f>
        <v>2.05330146523432</v>
      </c>
      <c r="P19" s="27" t="n">
        <f aca="false">O23*Premissas!$C$20*INDEX(Premissas!$B$48:$D$48,$B$2)*(1-Premissas!$B$25)^(P$4-1)</f>
        <v>2.60568645838013</v>
      </c>
      <c r="Q19" s="27" t="n">
        <f aca="false">P23*Premissas!$C$20*INDEX(Premissas!$B$48:$D$48,$B$2)*(1-Premissas!$B$25)^(Q$4-1)</f>
        <v>3.14203061248241</v>
      </c>
      <c r="R19" s="27" t="n">
        <f aca="false">Q23*Premissas!$C$20*INDEX(Premissas!$B$48:$D$48,$B$2)*(1-Premissas!$B$25)^(R$4-1)</f>
        <v>3.66277505149916</v>
      </c>
      <c r="S19" s="27" t="n">
        <f aca="false">R23*Premissas!$C$20*INDEX(Premissas!$B$48:$D$48,$B$2)*(1-Premissas!$B$25)^(S$4-1)</f>
        <v>4.16835040335184</v>
      </c>
      <c r="T19" s="27" t="n">
        <f aca="false">S23*Premissas!$C$20*INDEX(Premissas!$B$48:$D$48,$B$2)*(1-Premissas!$B$25)^(T$4-1)</f>
        <v>4.65917693993054</v>
      </c>
      <c r="U19" s="27" t="n">
        <f aca="false">T23*Premissas!$C$20*INDEX(Premissas!$B$48:$D$48,$B$2)*(1-Premissas!$B$25)^(U$4-1)</f>
        <v>5.13566472362633</v>
      </c>
      <c r="V19" s="27" t="n">
        <f aca="false">U23*Premissas!$C$20*INDEX(Premissas!$B$48:$D$48,$B$2)*(1-Premissas!$B$25)^(V$4-1)</f>
        <v>5.5982137595529</v>
      </c>
      <c r="W19" s="27" t="n">
        <f aca="false">V23*Premissas!$C$20*INDEX(Premissas!$B$48:$D$48,$B$2)*(1-Premissas!$B$25)^(W$4-1)</f>
        <v>6.0472141526824</v>
      </c>
      <c r="X19" s="27" t="n">
        <f aca="false">W23*Premissas!$C$20*INDEX(Premissas!$B$48:$D$48,$B$2)*(1-Premissas!$B$25)^(X$4-1)</f>
        <v>6.48304626917935</v>
      </c>
      <c r="Y19" s="27" t="n">
        <f aca="false">X23*Premissas!$C$20*INDEX(Premissas!$B$48:$D$48,$B$2)*(1-Premissas!$B$25)^(Y$4-1)</f>
        <v>6.9060809012718</v>
      </c>
      <c r="Z19" s="27" t="n">
        <f aca="false">Y23*Premissas!$C$20*INDEX(Premissas!$B$48:$D$48,$B$2)*(1-Premissas!$B$25)^(Z$4-1)</f>
        <v>7.31667943504989</v>
      </c>
      <c r="AA19" s="27" t="n">
        <f aca="false">Z23*Premissas!$C$20*INDEX(Premissas!$B$48:$D$48,$B$2)*(1-Premissas!$B$25)^(AA$4-1)</f>
        <v>7.09797849898017</v>
      </c>
      <c r="AB19" s="27" t="n">
        <f aca="false">AA23*Premissas!$C$20*INDEX(Premissas!$B$48:$D$48,$B$2)*(1-Premissas!$B$25)^(AB$4-1)</f>
        <v>8.17827144020237</v>
      </c>
      <c r="AC19" s="27" t="n">
        <f aca="false">AB23*Premissas!$C$20*INDEX(Premissas!$B$48:$D$48,$B$2)*(1-Premissas!$B$25)^(AC$4-1)</f>
        <v>9.23026610093089</v>
      </c>
      <c r="AD19" s="27" t="n">
        <f aca="false">AC23*Premissas!$C$20*INDEX(Premissas!$B$48:$D$48,$B$2)*(1-Premissas!$B$25)^(AD$4-1)</f>
        <v>10.2546739462445</v>
      </c>
      <c r="AE19" s="27" t="n">
        <f aca="false">AD23*Premissas!$C$20*INDEX(Premissas!$B$48:$D$48,$B$2)*(1-Premissas!$B$25)^(AE$4-1)</f>
        <v>11.2521905348557</v>
      </c>
      <c r="AF19" s="27" t="n">
        <f aca="false">AE23*Premissas!$C$20*INDEX(Premissas!$B$48:$D$48,$B$2)*(1-Premissas!$B$25)^(AF$4-1)</f>
        <v>12.2234957504177</v>
      </c>
      <c r="AG19" s="27" t="n">
        <f aca="false">AF23*Premissas!$C$20*INDEX(Premissas!$B$48:$D$48,$B$2)*(1-Premissas!$B$25)^(AG$4-1)</f>
        <v>13.1692540379745</v>
      </c>
      <c r="AH19" s="27" t="n">
        <f aca="false">AG23*Premissas!$C$20*INDEX(Premissas!$B$48:$D$48,$B$2)*(1-Premissas!$B$25)^(AH$4-1)</f>
        <v>14.0901146447798</v>
      </c>
      <c r="AI19" s="27" t="n">
        <f aca="false">AH23*Premissas!$C$20*INDEX(Premissas!$B$48:$D$48,$B$2)*(1-Premissas!$B$25)^(AI$4-1)</f>
        <v>14.9867118647658</v>
      </c>
      <c r="AJ19" s="27" t="n">
        <f aca="false">AI23*Premissas!$C$20*INDEX(Premissas!$B$48:$D$48,$B$2)*(1-Premissas!$B$25)^(AJ$4-1)</f>
        <v>15.8596652859946</v>
      </c>
      <c r="AK19" s="27" t="n">
        <f aca="false">AJ23*Premissas!$C$20*INDEX(Premissas!$B$48:$D$48,$B$2)*(1-Premissas!$B$25)^(AK$4-1)</f>
        <v>16.7095800404772</v>
      </c>
      <c r="AL19" s="27" t="n">
        <f aca="false">AK23*Premissas!$C$20*INDEX(Premissas!$B$48:$D$48,$B$2)*(1-Premissas!$B$25)^(AL$4-1)</f>
        <v>17.5370470557869</v>
      </c>
      <c r="AM19" s="27" t="n">
        <f aca="false">AL23*Premissas!$C$20*INDEX(Premissas!$B$48:$D$48,$B$2)*(1-Premissas!$B$25)^(AM$4-1)</f>
        <v>16.8752318433049</v>
      </c>
      <c r="AN19" s="27" t="n">
        <f aca="false">AM23*Premissas!$C$20*INDEX(Premissas!$B$48:$D$48,$B$2)*(1-Premissas!$B$25)^(AN$4-1)</f>
        <v>18.4493961099167</v>
      </c>
      <c r="AO19" s="27" t="n">
        <f aca="false">AN23*Premissas!$C$20*INDEX(Premissas!$B$48:$D$48,$B$2)*(1-Premissas!$B$25)^(AO$4-1)</f>
        <v>19.9864704656046</v>
      </c>
      <c r="AP19" s="27" t="n">
        <f aca="false">AO23*Premissas!$C$20*INDEX(Premissas!$B$48:$D$48,$B$2)*(1-Premissas!$B$25)^(AP$4-1)</f>
        <v>21.4872966157723</v>
      </c>
      <c r="AQ19" s="27" t="n">
        <f aca="false">AP23*Premissas!$C$20*INDEX(Premissas!$B$48:$D$48,$B$2)*(1-Premissas!$B$25)^(AQ$4-1)</f>
        <v>22.9526992502574</v>
      </c>
      <c r="AR19" s="27" t="n">
        <f aca="false">AQ23*Premissas!$C$20*INDEX(Premissas!$B$48:$D$48,$B$2)*(1-Premissas!$B$25)^(AR$4-1)</f>
        <v>24.3834862650032</v>
      </c>
      <c r="AS19" s="27" t="n">
        <f aca="false">AR23*Premissas!$C$20*INDEX(Premissas!$B$48:$D$48,$B$2)*(1-Premissas!$B$25)^(AS$4-1)</f>
        <v>25.7804489885727</v>
      </c>
      <c r="AT19" s="27" t="n">
        <f aca="false">AS23*Premissas!$C$20*INDEX(Premissas!$B$48:$D$48,$B$2)*(1-Premissas!$B$25)^(AT$4-1)</f>
        <v>27.1443624128612</v>
      </c>
      <c r="AU19" s="27" t="n">
        <f aca="false">AT23*Premissas!$C$20*INDEX(Premissas!$B$48:$D$48,$B$2)*(1-Premissas!$B$25)^(AU$4-1)</f>
        <v>28.4759854274017</v>
      </c>
      <c r="AV19" s="27" t="n">
        <f aca="false">AU23*Premissas!$C$20*INDEX(Premissas!$B$48:$D$48,$B$2)*(1-Premissas!$B$25)^(AV$4-1)</f>
        <v>29.7760610567013</v>
      </c>
      <c r="AW19" s="27" t="n">
        <f aca="false">AV23*Premissas!$C$20*INDEX(Premissas!$B$48:$D$48,$B$2)*(1-Premissas!$B$25)^(AW$4-1)</f>
        <v>31.0453167000822</v>
      </c>
      <c r="AX19" s="27" t="n">
        <f aca="false">AW23*Premissas!$C$20*INDEX(Premissas!$B$48:$D$48,$B$2)*(1-Premissas!$B$25)^(AX$4-1)</f>
        <v>32.2844643735377</v>
      </c>
      <c r="AY19" s="27" t="n">
        <f aca="false">AX23*Premissas!$C$20*INDEX(Premissas!$B$48:$D$48,$B$2)*(1-Premissas!$B$25)^(AY$4-1)</f>
        <v>30.8146648768947</v>
      </c>
      <c r="AZ19" s="27" t="n">
        <f aca="false">AY23*Premissas!$C$20*INDEX(Premissas!$B$48:$D$48,$B$2)*(1-Premissas!$B$25)^(AZ$4-1)</f>
        <v>32.7407591772571</v>
      </c>
      <c r="BA19" s="27" t="n">
        <f aca="false">AZ23*Premissas!$C$20*INDEX(Premissas!$B$48:$D$48,$B$2)*(1-Premissas!$B$25)^(BA$4-1)</f>
        <v>34.6261304642879</v>
      </c>
      <c r="BB19" s="27" t="n">
        <f aca="false">BA23*Premissas!$C$20*INDEX(Premissas!$B$48:$D$48,$B$2)*(1-Premissas!$B$25)^(BB$4-1)</f>
        <v>36.4716184027102</v>
      </c>
      <c r="BC19" s="27" t="n">
        <f aca="false">BB23*Premissas!$C$20*INDEX(Premissas!$B$48:$D$48,$B$2)*(1-Premissas!$B$25)^(BC$4-1)</f>
        <v>38.2780468529557</v>
      </c>
      <c r="BD19" s="27" t="n">
        <f aca="false">BC23*Premissas!$C$20*INDEX(Premissas!$B$48:$D$48,$B$2)*(1-Premissas!$B$25)^(BD$4-1)</f>
        <v>40.0462240844148</v>
      </c>
      <c r="BE19" s="27" t="n">
        <f aca="false">BD23*Premissas!$C$20*INDEX(Premissas!$B$48:$D$48,$B$2)*(1-Premissas!$B$25)^(BE$4-1)</f>
        <v>41.7769429906144</v>
      </c>
      <c r="BF19" s="27" t="n">
        <f aca="false">BE23*Premissas!$C$20*INDEX(Premissas!$B$48:$D$48,$B$2)*(1-Premissas!$B$25)^(BF$4-1)</f>
        <v>43.4709813059661</v>
      </c>
      <c r="BG19" s="27" t="n">
        <f aca="false">BF23*Premissas!$C$20*INDEX(Premissas!$B$48:$D$48,$B$2)*(1-Premissas!$B$25)^(BG$4-1)</f>
        <v>45.1291018237482</v>
      </c>
      <c r="BH19" s="27" t="n">
        <f aca="false">BG23*Premissas!$C$20*INDEX(Premissas!$B$48:$D$48,$B$2)*(1-Premissas!$B$25)^(BH$4-1)</f>
        <v>46.7520526150064</v>
      </c>
      <c r="BI19" s="27" t="n">
        <f aca="false">BH23*Premissas!$C$20*INDEX(Premissas!$B$48:$D$48,$B$2)*(1-Premissas!$B$25)^(BI$4-1)</f>
        <v>48.3405672480787</v>
      </c>
      <c r="BJ19" s="27" t="n">
        <f aca="false">BI23*Premissas!$C$20*INDEX(Premissas!$B$48:$D$48,$B$2)*(1-Premissas!$B$25)^(BJ$4-1)</f>
        <v>49.8953650084701</v>
      </c>
    </row>
    <row r="20" customFormat="false" ht="15" hidden="false" customHeight="false" outlineLevel="0" collapsed="false">
      <c r="A20" s="5" t="s">
        <v>225</v>
      </c>
      <c r="C20" s="23" t="n">
        <f aca="false">0</f>
        <v>0</v>
      </c>
      <c r="D20" s="27" t="n">
        <f aca="false">C24*Premissas!$D$20*INDEX(Premissas!$B$48:$D$48,$B$2)*(1-Premissas!$B$25)^(D$4-1)</f>
        <v>0.0368777777777778</v>
      </c>
      <c r="E20" s="27" t="n">
        <f aca="false">D24*Premissas!$D$20*INDEX(Premissas!$B$48:$D$48,$B$2)*(1-Premissas!$B$25)^(E$4-1)</f>
        <v>0.0728151722222222</v>
      </c>
      <c r="F20" s="27" t="n">
        <f aca="false">E24*Premissas!$D$20*INDEX(Premissas!$B$48:$D$48,$B$2)*(1-Premissas!$B$25)^(F$4-1)</f>
        <v>0.107831968261111</v>
      </c>
      <c r="G20" s="27" t="n">
        <f aca="false">F24*Premissas!$D$20*INDEX(Premissas!$B$48:$D$48,$B$2)*(1-Premissas!$B$25)^(G$4-1)</f>
        <v>0.141947804127032</v>
      </c>
      <c r="H20" s="27" t="n">
        <f aca="false">G24*Premissas!$D$20*INDEX(Premissas!$B$48:$D$48,$B$2)*(1-Premissas!$B$25)^(H$4-1)</f>
        <v>0.175182150996195</v>
      </c>
      <c r="I20" s="27" t="n">
        <f aca="false">H24*Premissas!$D$20*INDEX(Premissas!$B$48:$D$48,$B$2)*(1-Premissas!$B$25)^(I$4-1)</f>
        <v>0.207554294663194</v>
      </c>
      <c r="J20" s="27" t="n">
        <f aca="false">I24*Premissas!$D$20*INDEX(Premissas!$B$48:$D$48,$B$2)*(1-Premissas!$B$25)^(J$4-1)</f>
        <v>0.239083319106209</v>
      </c>
      <c r="K20" s="27" t="n">
        <f aca="false">J24*Premissas!$D$20*INDEX(Premissas!$B$48:$D$48,$B$2)*(1-Premissas!$B$25)^(K$4-1)</f>
        <v>0.269788091806614</v>
      </c>
      <c r="L20" s="27" t="n">
        <f aca="false">K24*Premissas!$D$20*INDEX(Premissas!$B$48:$D$48,$B$2)*(1-Premissas!$B$25)^(L$4-1)</f>
        <v>0.29968725069583</v>
      </c>
      <c r="M20" s="27" t="n">
        <f aca="false">L24*Premissas!$D$20*INDEX(Premissas!$B$48:$D$48,$B$2)*(1-Premissas!$B$25)^(M$4-1)</f>
        <v>0.328799192610568</v>
      </c>
      <c r="N20" s="27" t="n">
        <f aca="false">M24*Premissas!$D$20*INDEX(Premissas!$B$48:$D$48,$B$2)*(1-Premissas!$B$25)^(N$4-1)</f>
        <v>0.357142063145404</v>
      </c>
      <c r="O20" s="27" t="n">
        <f aca="false">N24*Premissas!$D$20*INDEX(Premissas!$B$48:$D$48,$B$2)*(1-Premissas!$B$25)^(O$4-1)</f>
        <v>0.353955047975005</v>
      </c>
      <c r="P20" s="27" t="n">
        <f aca="false">O24*Premissas!$D$20*INDEX(Premissas!$B$48:$D$48,$B$2)*(1-Premissas!$B$25)^(P$4-1)</f>
        <v>0.479017572812876</v>
      </c>
      <c r="Q20" s="27" t="n">
        <f aca="false">P24*Premissas!$D$20*INDEX(Premissas!$B$48:$D$48,$B$2)*(1-Premissas!$B$25)^(Q$4-1)</f>
        <v>0.601159453968712</v>
      </c>
      <c r="R20" s="27" t="n">
        <f aca="false">Q24*Premissas!$D$20*INDEX(Premissas!$B$48:$D$48,$B$2)*(1-Premissas!$B$25)^(R$4-1)</f>
        <v>0.720438894063448</v>
      </c>
      <c r="S20" s="27" t="n">
        <f aca="false">R24*Premissas!$D$20*INDEX(Premissas!$B$48:$D$48,$B$2)*(1-Premissas!$B$25)^(S$4-1)</f>
        <v>0.836913510616055</v>
      </c>
      <c r="T20" s="27" t="n">
        <f aca="false">S24*Premissas!$D$20*INDEX(Premissas!$B$48:$D$48,$B$2)*(1-Premissas!$B$25)^(T$4-1)</f>
        <v>0.950640302276344</v>
      </c>
      <c r="U20" s="27" t="n">
        <f aca="false">T24*Premissas!$D$20*INDEX(Premissas!$B$48:$D$48,$B$2)*(1-Premissas!$B$25)^(U$4-1)</f>
        <v>1.06167561857006</v>
      </c>
      <c r="V20" s="27" t="n">
        <f aca="false">U24*Premissas!$D$20*INDEX(Premissas!$B$48:$D$48,$B$2)*(1-Premissas!$B$25)^(V$4-1)</f>
        <v>1.17007513292037</v>
      </c>
      <c r="W20" s="27" t="n">
        <f aca="false">V24*Premissas!$D$20*INDEX(Premissas!$B$48:$D$48,$B$2)*(1-Premissas!$B$25)^(W$4-1)</f>
        <v>1.27589381872421</v>
      </c>
      <c r="X20" s="27" t="n">
        <f aca="false">W24*Premissas!$D$20*INDEX(Premissas!$B$48:$D$48,$B$2)*(1-Premissas!$B$25)^(X$4-1)</f>
        <v>1.37918592827498</v>
      </c>
      <c r="Y20" s="27" t="n">
        <f aca="false">X24*Premissas!$D$20*INDEX(Premissas!$B$48:$D$48,$B$2)*(1-Premissas!$B$25)^(Y$4-1)</f>
        <v>1.48000497433619</v>
      </c>
      <c r="Z20" s="27" t="n">
        <f aca="false">Y24*Premissas!$D$20*INDEX(Premissas!$B$48:$D$48,$B$2)*(1-Premissas!$B$25)^(Z$4-1)</f>
        <v>1.57840371418194</v>
      </c>
      <c r="AA20" s="27" t="n">
        <f aca="false">Z24*Premissas!$D$20*INDEX(Premissas!$B$48:$D$48,$B$2)*(1-Premissas!$B$25)^(AA$4-1)</f>
        <v>1.54047940505726</v>
      </c>
      <c r="AB20" s="27" t="n">
        <f aca="false">AA24*Premissas!$D$20*INDEX(Premissas!$B$48:$D$48,$B$2)*(1-Premissas!$B$25)^(AB$4-1)</f>
        <v>1.82675249065348</v>
      </c>
      <c r="AC20" s="27" t="n">
        <f aca="false">AB24*Premissas!$D$20*INDEX(Premissas!$B$48:$D$48,$B$2)*(1-Premissas!$B$25)^(AC$4-1)</f>
        <v>2.10699121555584</v>
      </c>
      <c r="AD20" s="27" t="n">
        <f aca="false">AC24*Premissas!$D$20*INDEX(Premissas!$B$48:$D$48,$B$2)*(1-Premissas!$B$25)^(AD$4-1)</f>
        <v>2.38130591049807</v>
      </c>
      <c r="AE20" s="27" t="n">
        <f aca="false">AD24*Premissas!$D$20*INDEX(Premissas!$B$48:$D$48,$B$2)*(1-Premissas!$B$25)^(AE$4-1)</f>
        <v>2.64980576593887</v>
      </c>
      <c r="AF20" s="27" t="n">
        <f aca="false">AE24*Premissas!$D$20*INDEX(Premissas!$B$48:$D$48,$B$2)*(1-Premissas!$B$25)^(AF$4-1)</f>
        <v>2.91259878998976</v>
      </c>
      <c r="AG20" s="27" t="n">
        <f aca="false">AF24*Premissas!$D$20*INDEX(Premissas!$B$48:$D$48,$B$2)*(1-Premissas!$B$25)^(AG$4-1)</f>
        <v>3.16979177069466</v>
      </c>
      <c r="AH20" s="27" t="n">
        <f aca="false">AG24*Premissas!$D$20*INDEX(Premissas!$B$48:$D$48,$B$2)*(1-Premissas!$B$25)^(AH$4-1)</f>
        <v>3.42149024239071</v>
      </c>
      <c r="AI20" s="27" t="n">
        <f aca="false">AH24*Premissas!$D$20*INDEX(Premissas!$B$48:$D$48,$B$2)*(1-Premissas!$B$25)^(AI$4-1)</f>
        <v>3.66779845589409</v>
      </c>
      <c r="AJ20" s="27" t="n">
        <f aca="false">AI24*Premissas!$D$20*INDEX(Premissas!$B$48:$D$48,$B$2)*(1-Premissas!$B$25)^(AJ$4-1)</f>
        <v>3.90881935226935</v>
      </c>
      <c r="AK20" s="27" t="n">
        <f aca="false">AJ24*Premissas!$D$20*INDEX(Premissas!$B$48:$D$48,$B$2)*(1-Premissas!$B$25)^(AK$4-1)</f>
        <v>4.14465453995393</v>
      </c>
      <c r="AL20" s="27" t="n">
        <f aca="false">AK24*Premissas!$D$20*INDEX(Premissas!$B$48:$D$48,$B$2)*(1-Premissas!$B$25)^(AL$4-1)</f>
        <v>4.37540427502234</v>
      </c>
      <c r="AM20" s="27" t="n">
        <f aca="false">AL24*Premissas!$D$20*INDEX(Premissas!$B$48:$D$48,$B$2)*(1-Premissas!$B$25)^(AM$4-1)</f>
        <v>4.23307404883557</v>
      </c>
      <c r="AN20" s="27" t="n">
        <f aca="false">AM24*Premissas!$D$20*INDEX(Premissas!$B$48:$D$48,$B$2)*(1-Premissas!$B$25)^(AN$4-1)</f>
        <v>4.68238487928762</v>
      </c>
      <c r="AO20" s="27" t="n">
        <f aca="false">AN24*Premissas!$D$20*INDEX(Premissas!$B$48:$D$48,$B$2)*(1-Premissas!$B$25)^(AO$4-1)</f>
        <v>5.12318233726264</v>
      </c>
      <c r="AP20" s="27" t="n">
        <f aca="false">AO24*Premissas!$D$20*INDEX(Premissas!$B$48:$D$48,$B$2)*(1-Premissas!$B$25)^(AP$4-1)</f>
        <v>5.55560596124405</v>
      </c>
      <c r="AQ20" s="27" t="n">
        <f aca="false">AP24*Premissas!$D$20*INDEX(Premissas!$B$48:$D$48,$B$2)*(1-Premissas!$B$25)^(AQ$4-1)</f>
        <v>5.97979403730969</v>
      </c>
      <c r="AR20" s="27" t="n">
        <f aca="false">AQ24*Premissas!$D$20*INDEX(Premissas!$B$48:$D$48,$B$2)*(1-Premissas!$B$25)^(AR$4-1)</f>
        <v>6.39588355214121</v>
      </c>
      <c r="AS20" s="27" t="n">
        <f aca="false">AR24*Premissas!$D$20*INDEX(Premissas!$B$48:$D$48,$B$2)*(1-Premissas!$B$25)^(AS$4-1)</f>
        <v>6.80401015030928</v>
      </c>
      <c r="AT20" s="27" t="n">
        <f aca="false">AS24*Premissas!$D$20*INDEX(Premissas!$B$48:$D$48,$B$2)*(1-Premissas!$B$25)^(AT$4-1)</f>
        <v>7.20430809559362</v>
      </c>
      <c r="AU20" s="27" t="n">
        <f aca="false">AT24*Premissas!$D$20*INDEX(Premissas!$B$48:$D$48,$B$2)*(1-Premissas!$B$25)^(AU$4-1)</f>
        <v>7.59691023610853</v>
      </c>
      <c r="AV20" s="27" t="n">
        <f aca="false">AU24*Premissas!$D$20*INDEX(Premissas!$B$48:$D$48,$B$2)*(1-Premissas!$B$25)^(AV$4-1)</f>
        <v>7.98194797301666</v>
      </c>
      <c r="AW20" s="27" t="n">
        <f aca="false">AV24*Premissas!$D$20*INDEX(Premissas!$B$48:$D$48,$B$2)*(1-Premissas!$B$25)^(AW$4-1)</f>
        <v>8.35955123262457</v>
      </c>
      <c r="AX20" s="27" t="n">
        <f aca="false">AW24*Premissas!$D$20*INDEX(Premissas!$B$48:$D$48,$B$2)*(1-Premissas!$B$25)^(AX$4-1)</f>
        <v>8.72984844166398</v>
      </c>
      <c r="AY20" s="27" t="n">
        <f aca="false">AX24*Premissas!$D$20*INDEX(Premissas!$B$48:$D$48,$B$2)*(1-Premissas!$B$25)^(AY$4-1)</f>
        <v>8.36552918512716</v>
      </c>
      <c r="AZ20" s="27" t="n">
        <f aca="false">AY24*Premissas!$D$20*INDEX(Premissas!$B$48:$D$48,$B$2)*(1-Premissas!$B$25)^(AZ$4-1)</f>
        <v>9.00686705834766</v>
      </c>
      <c r="BA20" s="27" t="n">
        <f aca="false">AZ24*Premissas!$D$20*INDEX(Premissas!$B$48:$D$48,$B$2)*(1-Premissas!$B$25)^(BA$4-1)</f>
        <v>9.6372000372504</v>
      </c>
      <c r="BB20" s="27" t="n">
        <f aca="false">BA24*Premissas!$D$20*INDEX(Premissas!$B$48:$D$48,$B$2)*(1-Premissas!$B$25)^(BB$4-1)</f>
        <v>10.256694913632</v>
      </c>
      <c r="BC20" s="27" t="n">
        <f aca="false">BB24*Premissas!$D$20*INDEX(Premissas!$B$48:$D$48,$B$2)*(1-Premissas!$B$25)^(BC$4-1)</f>
        <v>10.8655168925264</v>
      </c>
      <c r="BD20" s="27" t="n">
        <f aca="false">BC24*Premissas!$D$20*INDEX(Premissas!$B$48:$D$48,$B$2)*(1-Premissas!$B$25)^(BD$4-1)</f>
        <v>11.4638295606554</v>
      </c>
      <c r="BE20" s="27" t="n">
        <f aca="false">BD24*Premissas!$D$20*INDEX(Premissas!$B$48:$D$48,$B$2)*(1-Premissas!$B$25)^(BE$4-1)</f>
        <v>12.0517948579801</v>
      </c>
      <c r="BF20" s="27" t="n">
        <f aca="false">BE24*Premissas!$D$20*INDEX(Premissas!$B$48:$D$48,$B$2)*(1-Premissas!$B$25)^(BF$4-1)</f>
        <v>12.6295730521888</v>
      </c>
      <c r="BG20" s="27" t="n">
        <f aca="false">BF24*Premissas!$D$20*INDEX(Premissas!$B$48:$D$48,$B$2)*(1-Premissas!$B$25)^(BG$4-1)</f>
        <v>13.1973227159667</v>
      </c>
      <c r="BH20" s="27" t="n">
        <f aca="false">BG24*Premissas!$D$20*INDEX(Premissas!$B$48:$D$48,$B$2)*(1-Premissas!$B$25)^(BH$4-1)</f>
        <v>13.7552007068963</v>
      </c>
      <c r="BI20" s="27" t="n">
        <f aca="false">BH24*Premissas!$D$20*INDEX(Premissas!$B$48:$D$48,$B$2)*(1-Premissas!$B$25)^(BI$4-1)</f>
        <v>14.3033621498489</v>
      </c>
      <c r="BJ20" s="27" t="n">
        <f aca="false">BI24*Premissas!$D$20*INDEX(Premissas!$B$48:$D$48,$B$2)*(1-Premissas!$B$25)^(BJ$4-1)</f>
        <v>14.8419604217301</v>
      </c>
    </row>
    <row r="21" customFormat="false" ht="15" hidden="false" customHeight="false" outlineLevel="0" collapsed="false">
      <c r="A21" s="5" t="s">
        <v>226</v>
      </c>
      <c r="C21" s="23" t="n">
        <f aca="false">0</f>
        <v>0</v>
      </c>
      <c r="D21" s="27" t="n">
        <f aca="false">C25*Premissas!$E$20*INDEX(Premissas!$B$48:$D$48,$B$2)*(1-Premissas!$B$25)^(D$4-1)</f>
        <v>0</v>
      </c>
      <c r="E21" s="27" t="n">
        <f aca="false">D25*Premissas!$E$20*INDEX(Premissas!$B$48:$D$48,$B$2)*(1-Premissas!$B$25)^(E$4-1)</f>
        <v>0</v>
      </c>
      <c r="F21" s="27" t="n">
        <f aca="false">E25*Premissas!$E$20*INDEX(Premissas!$B$48:$D$48,$B$2)*(1-Premissas!$B$25)^(F$4-1)</f>
        <v>0</v>
      </c>
      <c r="G21" s="27" t="n">
        <f aca="false">F25*Premissas!$E$20*INDEX(Premissas!$B$48:$D$48,$B$2)*(1-Premissas!$B$25)^(G$4-1)</f>
        <v>0</v>
      </c>
      <c r="H21" s="27" t="n">
        <f aca="false">G25*Premissas!$E$20*INDEX(Premissas!$B$48:$D$48,$B$2)*(1-Premissas!$B$25)^(H$4-1)</f>
        <v>0</v>
      </c>
      <c r="I21" s="27" t="n">
        <f aca="false">H25*Premissas!$E$20*INDEX(Premissas!$B$48:$D$48,$B$2)*(1-Premissas!$B$25)^(I$4-1)</f>
        <v>0</v>
      </c>
      <c r="J21" s="27" t="n">
        <f aca="false">I25*Premissas!$E$20*INDEX(Premissas!$B$48:$D$48,$B$2)*(1-Premissas!$B$25)^(J$4-1)</f>
        <v>0</v>
      </c>
      <c r="K21" s="27" t="n">
        <f aca="false">J25*Premissas!$E$20*INDEX(Premissas!$B$48:$D$48,$B$2)*(1-Premissas!$B$25)^(K$4-1)</f>
        <v>0</v>
      </c>
      <c r="L21" s="27" t="n">
        <f aca="false">K25*Premissas!$E$20*INDEX(Premissas!$B$48:$D$48,$B$2)*(1-Premissas!$B$25)^(L$4-1)</f>
        <v>0</v>
      </c>
      <c r="M21" s="27" t="n">
        <f aca="false">L25*Premissas!$E$20*INDEX(Premissas!$B$48:$D$48,$B$2)*(1-Premissas!$B$25)^(M$4-1)</f>
        <v>0</v>
      </c>
      <c r="N21" s="27" t="n">
        <f aca="false">M25*Premissas!$E$20*INDEX(Premissas!$B$48:$D$48,$B$2)*(1-Premissas!$B$25)^(N$4-1)</f>
        <v>0</v>
      </c>
      <c r="O21" s="27" t="n">
        <f aca="false">N25*Premissas!$E$20*INDEX(Premissas!$B$48:$D$48,$B$2)*(1-Premissas!$B$25)^(O$4-1)</f>
        <v>0</v>
      </c>
      <c r="P21" s="27" t="n">
        <f aca="false">O25*Premissas!$E$20*INDEX(Premissas!$B$48:$D$48,$B$2)*(1-Premissas!$B$25)^(P$4-1)</f>
        <v>0.0166948653258245</v>
      </c>
      <c r="Q21" s="27" t="n">
        <f aca="false">P25*Premissas!$E$20*INDEX(Premissas!$B$48:$D$48,$B$2)*(1-Premissas!$B$25)^(Q$4-1)</f>
        <v>0.0330911557266696</v>
      </c>
      <c r="R21" s="27" t="n">
        <f aca="false">Q25*Premissas!$E$20*INDEX(Premissas!$B$48:$D$48,$B$2)*(1-Premissas!$B$25)^(R$4-1)</f>
        <v>0.0491924285454908</v>
      </c>
      <c r="S21" s="27" t="n">
        <f aca="false">R25*Premissas!$E$20*INDEX(Premissas!$B$48:$D$48,$B$2)*(1-Premissas!$B$25)^(S$4-1)</f>
        <v>0.0650022982066954</v>
      </c>
      <c r="T21" s="27" t="n">
        <f aca="false">S25*Premissas!$E$20*INDEX(Premissas!$B$48:$D$48,$B$2)*(1-Premissas!$B$25)^(T$4-1)</f>
        <v>0.080524428541617</v>
      </c>
      <c r="U21" s="27" t="n">
        <f aca="false">T25*Premissas!$E$20*INDEX(Premissas!$B$48:$D$48,$B$2)*(1-Premissas!$B$25)^(U$4-1)</f>
        <v>0.0957625256055814</v>
      </c>
      <c r="V21" s="27" t="n">
        <f aca="false">U25*Premissas!$E$20*INDEX(Premissas!$B$48:$D$48,$B$2)*(1-Premissas!$B$25)^(V$4-1)</f>
        <v>0.110720330958704</v>
      </c>
      <c r="W21" s="27" t="n">
        <f aca="false">V25*Premissas!$E$20*INDEX(Premissas!$B$48:$D$48,$B$2)*(1-Premissas!$B$25)^(W$4-1)</f>
        <v>0.125401615384098</v>
      </c>
      <c r="X21" s="27" t="n">
        <f aca="false">W25*Premissas!$E$20*INDEX(Premissas!$B$48:$D$48,$B$2)*(1-Premissas!$B$25)^(X$4-1)</f>
        <v>0.139810173018649</v>
      </c>
      <c r="Y21" s="27" t="n">
        <f aca="false">X25*Premissas!$E$20*INDEX(Premissas!$B$48:$D$48,$B$2)*(1-Premissas!$B$25)^(Y$4-1)</f>
        <v>0.153949815872859</v>
      </c>
      <c r="Z21" s="27" t="n">
        <f aca="false">Y25*Premissas!$E$20*INDEX(Premissas!$B$48:$D$48,$B$2)*(1-Premissas!$B$25)^(Z$4-1)</f>
        <v>0.167824368717599</v>
      </c>
      <c r="AA21" s="27" t="n">
        <f aca="false">Z25*Premissas!$E$20*INDEX(Premissas!$B$48:$D$48,$B$2)*(1-Premissas!$B$25)^(AA$4-1)</f>
        <v>0.166922651171471</v>
      </c>
      <c r="AB21" s="27" t="n">
        <f aca="false">AA25*Premissas!$E$20*INDEX(Premissas!$B$48:$D$48,$B$2)*(1-Premissas!$B$25)^(AB$4-1)</f>
        <v>0.25088890935954</v>
      </c>
      <c r="AC21" s="27" t="n">
        <f aca="false">AB25*Premissas!$E$20*INDEX(Premissas!$B$48:$D$48,$B$2)*(1-Premissas!$B$25)^(AC$4-1)</f>
        <v>0.333498156308679</v>
      </c>
      <c r="AD21" s="27" t="n">
        <f aca="false">AC25*Premissas!$E$20*INDEX(Premissas!$B$48:$D$48,$B$2)*(1-Premissas!$B$25)^(AD$4-1)</f>
        <v>0.414765411628283</v>
      </c>
      <c r="AE21" s="27" t="n">
        <f aca="false">AD25*Premissas!$E$20*INDEX(Premissas!$B$48:$D$48,$B$2)*(1-Premissas!$B$25)^(AE$4-1)</f>
        <v>0.494705869654304</v>
      </c>
      <c r="AF21" s="27" t="n">
        <f aca="false">AE25*Premissas!$E$20*INDEX(Premissas!$B$48:$D$48,$B$2)*(1-Premissas!$B$25)^(AF$4-1)</f>
        <v>0.573334876020431</v>
      </c>
      <c r="AG21" s="27" t="n">
        <f aca="false">AF25*Premissas!$E$20*INDEX(Premissas!$B$48:$D$48,$B$2)*(1-Premissas!$B$25)^(AG$4-1)</f>
        <v>0.650667905596759</v>
      </c>
      <c r="AH21" s="27" t="n">
        <f aca="false">AG25*Premissas!$E$20*INDEX(Premissas!$B$48:$D$48,$B$2)*(1-Premissas!$B$25)^(AH$4-1)</f>
        <v>0.726720541725521</v>
      </c>
      <c r="AI21" s="27" t="n">
        <f aca="false">AH25*Premissas!$E$20*INDEX(Premissas!$B$48:$D$48,$B$2)*(1-Premissas!$B$25)^(AI$4-1)</f>
        <v>0.801508456687043</v>
      </c>
      <c r="AJ21" s="27" t="n">
        <f aca="false">AI25*Premissas!$E$20*INDEX(Premissas!$B$48:$D$48,$B$2)*(1-Premissas!$B$25)^(AJ$4-1)</f>
        <v>0.87504739333247</v>
      </c>
      <c r="AK21" s="27" t="n">
        <f aca="false">AJ25*Premissas!$E$20*INDEX(Premissas!$B$48:$D$48,$B$2)*(1-Premissas!$B$25)^(AK$4-1)</f>
        <v>0.947353147822986</v>
      </c>
      <c r="AL21" s="27" t="n">
        <f aca="false">AK25*Premissas!$E$20*INDEX(Premissas!$B$48:$D$48,$B$2)*(1-Premissas!$B$25)^(AL$4-1)</f>
        <v>1.01844155341832</v>
      </c>
      <c r="AM21" s="27" t="n">
        <f aca="false">AL25*Premissas!$E$20*INDEX(Premissas!$B$48:$D$48,$B$2)*(1-Premissas!$B$25)^(AM$4-1)</f>
        <v>1.00126218803942</v>
      </c>
      <c r="AN21" s="27" t="n">
        <f aca="false">AM25*Premissas!$E$20*INDEX(Premissas!$B$48:$D$48,$B$2)*(1-Premissas!$B$25)^(AN$4-1)</f>
        <v>1.14792237371551</v>
      </c>
      <c r="AO21" s="27" t="n">
        <f aca="false">AN25*Premissas!$E$20*INDEX(Premissas!$B$48:$D$48,$B$2)*(1-Premissas!$B$25)^(AO$4-1)</f>
        <v>1.29247054323669</v>
      </c>
      <c r="AP21" s="27" t="n">
        <f aca="false">AO25*Premissas!$E$20*INDEX(Premissas!$B$48:$D$48,$B$2)*(1-Premissas!$B$25)^(AP$4-1)</f>
        <v>1.43492668249586</v>
      </c>
      <c r="AQ21" s="27" t="n">
        <f aca="false">AP25*Premissas!$E$20*INDEX(Premissas!$B$48:$D$48,$B$2)*(1-Premissas!$B$25)^(AQ$4-1)</f>
        <v>1.57531105643734</v>
      </c>
      <c r="AR21" s="27" t="n">
        <f aca="false">AQ25*Premissas!$E$20*INDEX(Premissas!$B$48:$D$48,$B$2)*(1-Premissas!$B$25)^(AR$4-1)</f>
        <v>1.71364417980142</v>
      </c>
      <c r="AS21" s="27" t="n">
        <f aca="false">AR25*Premissas!$E$20*INDEX(Premissas!$B$48:$D$48,$B$2)*(1-Premissas!$B$25)^(AS$4-1)</f>
        <v>1.84994678938736</v>
      </c>
      <c r="AT21" s="27" t="n">
        <f aca="false">AS25*Premissas!$E$20*INDEX(Premissas!$B$48:$D$48,$B$2)*(1-Premissas!$B$25)^(AT$4-1)</f>
        <v>1.98423981776403</v>
      </c>
      <c r="AU21" s="27" t="n">
        <f aca="false">AT25*Premissas!$E$20*INDEX(Premissas!$B$48:$D$48,$B$2)*(1-Premissas!$B$25)^(AU$4-1)</f>
        <v>2.11654436836074</v>
      </c>
      <c r="AV21" s="27" t="n">
        <f aca="false">AU25*Premissas!$E$20*INDEX(Premissas!$B$48:$D$48,$B$2)*(1-Premissas!$B$25)^(AV$4-1)</f>
        <v>2.24688169187418</v>
      </c>
      <c r="AW21" s="27" t="n">
        <f aca="false">AV25*Premissas!$E$20*INDEX(Premissas!$B$48:$D$48,$B$2)*(1-Premissas!$B$25)^(AW$4-1)</f>
        <v>2.37527316392994</v>
      </c>
      <c r="AX21" s="27" t="n">
        <f aca="false">AW25*Premissas!$E$20*INDEX(Premissas!$B$48:$D$48,$B$2)*(1-Premissas!$B$25)^(AX$4-1)</f>
        <v>2.50174026394017</v>
      </c>
      <c r="AY21" s="27" t="n">
        <f aca="false">AX25*Premissas!$E$20*INDEX(Premissas!$B$48:$D$48,$B$2)*(1-Premissas!$B$25)^(AY$4-1)</f>
        <v>2.41620019069351</v>
      </c>
      <c r="AZ21" s="27" t="n">
        <f aca="false">AY25*Premissas!$E$20*INDEX(Premissas!$B$48:$D$48,$B$2)*(1-Premissas!$B$25)^(AZ$4-1)</f>
        <v>2.63131881178656</v>
      </c>
      <c r="BA21" s="27" t="n">
        <f aca="false">AZ25*Premissas!$E$20*INDEX(Premissas!$B$48:$D$48,$B$2)*(1-Premissas!$B$25)^(BA$4-1)</f>
        <v>2.84365239123873</v>
      </c>
      <c r="BB21" s="27" t="n">
        <f aca="false">BA25*Premissas!$E$20*INDEX(Premissas!$B$48:$D$48,$B$2)*(1-Premissas!$B$25)^(BB$4-1)</f>
        <v>3.05322498035194</v>
      </c>
      <c r="BC21" s="27" t="n">
        <f aca="false">BB25*Premissas!$E$20*INDEX(Premissas!$B$48:$D$48,$B$2)*(1-Premissas!$B$25)^(BC$4-1)</f>
        <v>3.26006089694497</v>
      </c>
      <c r="BD21" s="27" t="n">
        <f aca="false">BC25*Premissas!$E$20*INDEX(Premissas!$B$48:$D$48,$B$2)*(1-Premissas!$B$25)^(BD$4-1)</f>
        <v>3.46418469908019</v>
      </c>
      <c r="BE21" s="27" t="n">
        <f aca="false">BD25*Premissas!$E$20*INDEX(Premissas!$B$48:$D$48,$B$2)*(1-Premissas!$B$25)^(BE$4-1)</f>
        <v>3.66562116001575</v>
      </c>
      <c r="BF21" s="27" t="n">
        <f aca="false">BE25*Premissas!$E$20*INDEX(Premissas!$B$48:$D$48,$B$2)*(1-Premissas!$B$25)^(BF$4-1)</f>
        <v>3.86439524433191</v>
      </c>
      <c r="BG21" s="27" t="n">
        <f aca="false">BF25*Premissas!$E$20*INDEX(Premissas!$B$48:$D$48,$B$2)*(1-Premissas!$B$25)^(BG$4-1)</f>
        <v>4.06053208518246</v>
      </c>
      <c r="BH21" s="27" t="n">
        <f aca="false">BG25*Premissas!$E$20*INDEX(Premissas!$B$48:$D$48,$B$2)*(1-Premissas!$B$25)^(BH$4-1)</f>
        <v>4.25405696262397</v>
      </c>
      <c r="BI21" s="27" t="n">
        <f aca="false">BH25*Premissas!$E$20*INDEX(Premissas!$B$48:$D$48,$B$2)*(1-Premissas!$B$25)^(BI$4-1)</f>
        <v>4.44499528297789</v>
      </c>
      <c r="BJ21" s="27" t="n">
        <f aca="false">BI25*Premissas!$E$20*INDEX(Premissas!$B$48:$D$48,$B$2)*(1-Premissas!$B$25)^(BJ$4-1)</f>
        <v>4.63337255918201</v>
      </c>
    </row>
    <row r="22" customFormat="false" ht="15" hidden="false" customHeight="false" outlineLevel="0" collapsed="false">
      <c r="A22" s="5" t="s">
        <v>227</v>
      </c>
      <c r="C22" s="19" t="n">
        <f aca="false">C14-C18</f>
        <v>4.53880341880342</v>
      </c>
      <c r="D22" s="19" t="n">
        <f aca="false">C22+D14-D18</f>
        <v>8.81435623931624</v>
      </c>
      <c r="E22" s="19" t="n">
        <f aca="false">D22+E14-E18</f>
        <v>12.8424432851282</v>
      </c>
      <c r="F22" s="19" t="n">
        <f aca="false">E22+F14-F18</f>
        <v>16.6378844512142</v>
      </c>
      <c r="G22" s="19" t="n">
        <f aca="false">F22+G14-G18</f>
        <v>20.2145943315212</v>
      </c>
      <c r="H22" s="19" t="n">
        <f aca="false">G22+H14-H18</f>
        <v>23.5856381398954</v>
      </c>
      <c r="I22" s="19" t="n">
        <f aca="false">H22+I14-I18</f>
        <v>26.7632841555184</v>
      </c>
      <c r="J22" s="19" t="n">
        <f aca="false">I22+J14-J18</f>
        <v>29.7590529095767</v>
      </c>
      <c r="K22" s="19" t="n">
        <f aca="false">J22+K14-K18</f>
        <v>32.5837633163534</v>
      </c>
      <c r="L22" s="19" t="n">
        <f aca="false">K22+L14-L18</f>
        <v>35.2475759392337</v>
      </c>
      <c r="M22" s="19" t="n">
        <f aca="false">L22+M14-M18</f>
        <v>37.760033570221</v>
      </c>
      <c r="N22" s="19" t="n">
        <f aca="false">M22+N14-N18</f>
        <v>40.1300992904017</v>
      </c>
      <c r="O22" s="19" t="n">
        <f aca="false">N22+O14-O18</f>
        <v>49.9443721622808</v>
      </c>
      <c r="P22" s="19" t="n">
        <f aca="false">O22+P14-P18</f>
        <v>59.2454726467833</v>
      </c>
      <c r="Q22" s="19" t="n">
        <f aca="false">P22+Q14-Q18</f>
        <v>68.0614659626292</v>
      </c>
      <c r="R22" s="19" t="n">
        <f aca="false">Q22+R14-R18</f>
        <v>76.4188430430565</v>
      </c>
      <c r="S22" s="19" t="n">
        <f aca="false">R22+S14-S18</f>
        <v>84.3426100622945</v>
      </c>
      <c r="T22" s="19" t="n">
        <f aca="false">S22+T14-T18</f>
        <v>91.8563728337006</v>
      </c>
      <c r="U22" s="19" t="n">
        <f aca="false">T22+U14-U18</f>
        <v>98.9824163744548</v>
      </c>
      <c r="V22" s="19" t="n">
        <f aca="false">U22+V14-V18</f>
        <v>105.741779914715</v>
      </c>
      <c r="W22" s="19" t="n">
        <f aca="false">V22+W14-W18</f>
        <v>112.154327613124</v>
      </c>
      <c r="X22" s="19" t="n">
        <f aca="false">W22+X14-X18</f>
        <v>118.238815225466</v>
      </c>
      <c r="Y22" s="19" t="n">
        <f aca="false">X22+Y14-Y18</f>
        <v>124.01295295907</v>
      </c>
      <c r="Z22" s="19" t="n">
        <f aca="false">Y22+Z14-Z18</f>
        <v>129.493464732129</v>
      </c>
      <c r="AA22" s="19" t="n">
        <f aca="false">Z22+AA14-AA18</f>
        <v>146.264016931838</v>
      </c>
      <c r="AB22" s="19" t="n">
        <f aca="false">AA22+AB14-AB18</f>
        <v>162.245731638993</v>
      </c>
      <c r="AC22" s="19" t="n">
        <f aca="false">AB22+AC14-AC18</f>
        <v>177.477960535466</v>
      </c>
      <c r="AD22" s="19" t="n">
        <f aca="false">AC22+AD14-AD18</f>
        <v>191.998028087496</v>
      </c>
      <c r="AE22" s="19" t="n">
        <f aca="false">AD22+AE14-AE18</f>
        <v>205.841337735521</v>
      </c>
      <c r="AF22" s="19" t="n">
        <f aca="false">AE22+AF14-AF18</f>
        <v>219.041472474142</v>
      </c>
      <c r="AG22" s="19" t="n">
        <f aca="false">AF22+AG14-AG18</f>
        <v>231.630290119861</v>
      </c>
      <c r="AH22" s="19" t="n">
        <f aca="false">AG22+AH14-AH18</f>
        <v>243.638013548385</v>
      </c>
      <c r="AI22" s="19" t="n">
        <f aca="false">AH22+AI14-AI18</f>
        <v>255.093316168368</v>
      </c>
      <c r="AJ22" s="19" t="n">
        <f aca="false">AI22+AJ14-AJ18</f>
        <v>266.023402884188</v>
      </c>
      <c r="AK22" s="19" t="n">
        <f aca="false">AJ22+AK14-AK18</f>
        <v>276.454086787018</v>
      </c>
      <c r="AL22" s="19" t="n">
        <f aca="false">AK22+AL14-AL18</f>
        <v>286.409861800653</v>
      </c>
      <c r="AM22" s="19" t="n">
        <f aca="false">AL22+AM14-AM18</f>
        <v>310.390960329202</v>
      </c>
      <c r="AN22" s="19" t="n">
        <f aca="false">AM22+AN14-AN18</f>
        <v>333.355857843699</v>
      </c>
      <c r="AO22" s="19" t="n">
        <f aca="false">AN22+AO14-AO18</f>
        <v>355.350739736481</v>
      </c>
      <c r="AP22" s="19" t="n">
        <f aca="false">AO22+AP14-AP18</f>
        <v>376.419611327879</v>
      </c>
      <c r="AQ22" s="19" t="n">
        <f aca="false">AP22+AQ14-AQ18</f>
        <v>396.60440276885</v>
      </c>
      <c r="AR22" s="19" t="n">
        <f aca="false">AQ22+AR14-AR18</f>
        <v>415.945068847429</v>
      </c>
      <c r="AS22" s="19" t="n">
        <f aca="false">AR22+AS14-AS18</f>
        <v>434.479683947759</v>
      </c>
      <c r="AT22" s="19" t="n">
        <f aca="false">AS22+AT14-AT18</f>
        <v>452.244532398265</v>
      </c>
      <c r="AU22" s="19" t="n">
        <f aca="false">AT22+AU14-AU18</f>
        <v>469.274194433965</v>
      </c>
      <c r="AV22" s="19" t="n">
        <f aca="false">AU22+AV14-AV18</f>
        <v>485.601627986931</v>
      </c>
      <c r="AW22" s="19" t="n">
        <f aca="false">AV22+AW14-AW18</f>
        <v>501.258246508402</v>
      </c>
      <c r="AX22" s="19" t="n">
        <f aca="false">AW22+AX14-AX18</f>
        <v>516.27399301614</v>
      </c>
      <c r="AY22" s="19" t="n">
        <f aca="false">AX22+AY14-AY18</f>
        <v>542.109981078345</v>
      </c>
      <c r="AZ22" s="19" t="n">
        <f aca="false">AY22+AZ14-AZ18</f>
        <v>566.977173606673</v>
      </c>
      <c r="BA22" s="19" t="n">
        <f aca="false">AZ22+BA14-BA18</f>
        <v>590.915348158694</v>
      </c>
      <c r="BB22" s="19" t="n">
        <f aca="false">BA22+BB14-BB18</f>
        <v>613.962567028427</v>
      </c>
      <c r="BC22" s="19" t="n">
        <f aca="false">BB22+BC14-BC18</f>
        <v>636.155253032671</v>
      </c>
      <c r="BD22" s="19" t="n">
        <f aca="false">BC22+BD14-BD18</f>
        <v>657.528261909442</v>
      </c>
      <c r="BE22" s="19" t="n">
        <f aca="false">BD22+BE14-BE18</f>
        <v>678.114951480823</v>
      </c>
      <c r="BF22" s="19" t="n">
        <f aca="false">BE22+BF14-BF18</f>
        <v>697.947247725663</v>
      </c>
      <c r="BG22" s="19" t="n">
        <f aca="false">BF22+BG14-BG18</f>
        <v>717.055707900991</v>
      </c>
      <c r="BH22" s="19" t="n">
        <f aca="false">BG22+BH14-BH18</f>
        <v>735.469580844784</v>
      </c>
      <c r="BI22" s="19" t="n">
        <f aca="false">BH22+BI14-BI18</f>
        <v>753.216864586713</v>
      </c>
      <c r="BJ22" s="19" t="n">
        <f aca="false">BI22+BJ14-BJ18</f>
        <v>770.324361387815</v>
      </c>
    </row>
    <row r="23" customFormat="false" ht="15" hidden="false" customHeight="false" outlineLevel="0" collapsed="false">
      <c r="A23" s="5" t="s">
        <v>228</v>
      </c>
      <c r="C23" s="19" t="n">
        <f aca="false">C15-C19</f>
        <v>5.67350427350427</v>
      </c>
      <c r="D23" s="19" t="n">
        <f aca="false">C23+D15-D19</f>
        <v>11.1654564102564</v>
      </c>
      <c r="E23" s="19" t="n">
        <f aca="false">D23+E15-E19</f>
        <v>16.4812788619658</v>
      </c>
      <c r="F23" s="19" t="n">
        <f aca="false">E23+F15-F19</f>
        <v>21.6262589608733</v>
      </c>
      <c r="G23" s="19" t="n">
        <f aca="false">F23+G15-G19</f>
        <v>26.6055503234441</v>
      </c>
      <c r="H23" s="19" t="n">
        <f aca="false">G23+H15-H19</f>
        <v>31.4241744107337</v>
      </c>
      <c r="I23" s="19" t="n">
        <f aca="false">H23+I15-I19</f>
        <v>36.0870222271103</v>
      </c>
      <c r="J23" s="19" t="n">
        <f aca="false">I23+J15-J19</f>
        <v>40.5988561404618</v>
      </c>
      <c r="K23" s="19" t="n">
        <f aca="false">J23+K15-K19</f>
        <v>44.9643118083577</v>
      </c>
      <c r="L23" s="19" t="n">
        <f aca="false">K23+L15-L19</f>
        <v>49.1879001958859</v>
      </c>
      <c r="M23" s="19" t="n">
        <f aca="false">L23+M15-M19</f>
        <v>53.2740096720432</v>
      </c>
      <c r="N23" s="19" t="n">
        <f aca="false">M23+N15-N19</f>
        <v>57.2269081726398</v>
      </c>
      <c r="O23" s="19" t="n">
        <f aca="false">N23+O15-O19</f>
        <v>72.6222535780414</v>
      </c>
      <c r="P23" s="19" t="n">
        <f aca="false">O23+P15-P19</f>
        <v>87.570529890814</v>
      </c>
      <c r="Q23" s="19" t="n">
        <f aca="false">P23+Q15-Q19</f>
        <v>102.084031535651</v>
      </c>
      <c r="R23" s="19" t="n">
        <f aca="false">Q23+R15-R19</f>
        <v>116.17476040557</v>
      </c>
      <c r="S23" s="19" t="n">
        <f aca="false">R23+S15-S19</f>
        <v>129.85442976395</v>
      </c>
      <c r="T23" s="19" t="n">
        <f aca="false">S23+T15-T19</f>
        <v>143.134468328493</v>
      </c>
      <c r="U23" s="19" t="n">
        <f aca="false">T23+U15-U19</f>
        <v>156.026024513738</v>
      </c>
      <c r="V23" s="19" t="n">
        <f aca="false">U23+V15-V19</f>
        <v>168.539970810546</v>
      </c>
      <c r="W23" s="19" t="n">
        <f aca="false">V23+W15-W19</f>
        <v>180.686908282591</v>
      </c>
      <c r="X23" s="19" t="n">
        <f aca="false">W23+X15-X19</f>
        <v>192.477171161421</v>
      </c>
      <c r="Y23" s="19" t="n">
        <f aca="false">X23+Y15-Y19</f>
        <v>203.92083152313</v>
      </c>
      <c r="Z23" s="19" t="n">
        <f aca="false">Y23+Z15-Z19</f>
        <v>215.027704030954</v>
      </c>
      <c r="AA23" s="19" t="n">
        <f aca="false">Z23+AA15-AA19</f>
        <v>247.754333290993</v>
      </c>
      <c r="AB23" s="19" t="n">
        <f aca="false">AA23+AB15-AB19</f>
        <v>279.623688288586</v>
      </c>
      <c r="AC23" s="19" t="n">
        <f aca="false">AB23+AC15-AC19</f>
        <v>310.657322301529</v>
      </c>
      <c r="AD23" s="19" t="n">
        <f aca="false">AC23+AD15-AD19</f>
        <v>340.876306736699</v>
      </c>
      <c r="AE23" s="19" t="n">
        <f aca="false">AD23+AE15-AE19</f>
        <v>370.30123813732</v>
      </c>
      <c r="AF23" s="19" t="n">
        <f aca="false">AE23+AF15-AF19</f>
        <v>398.952245346035</v>
      </c>
      <c r="AG23" s="19" t="n">
        <f aca="false">AF23+AG15-AG19</f>
        <v>426.84899680032</v>
      </c>
      <c r="AH23" s="19" t="n">
        <f aca="false">AG23+AH15-AH19</f>
        <v>454.010707938471</v>
      </c>
      <c r="AI23" s="19" t="n">
        <f aca="false">AH23+AI15-AI19</f>
        <v>480.456148695972</v>
      </c>
      <c r="AJ23" s="19" t="n">
        <f aca="false">AI23+AJ15-AJ19</f>
        <v>506.203651073543</v>
      </c>
      <c r="AK23" s="19" t="n">
        <f aca="false">AJ23+AK15-AK19</f>
        <v>531.271116759577</v>
      </c>
      <c r="AL23" s="19" t="n">
        <f aca="false">AK23+AL15-AL19</f>
        <v>555.676024790972</v>
      </c>
      <c r="AM23" s="19" t="n">
        <f aca="false">AL23+AM15-AM19</f>
        <v>607.510888463432</v>
      </c>
      <c r="AN23" s="19" t="n">
        <f aca="false">AM23+AN15-AN19</f>
        <v>658.124437107248</v>
      </c>
      <c r="AO23" s="19" t="n">
        <f aca="false">AN23+AO15-AO19</f>
        <v>707.544386816466</v>
      </c>
      <c r="AP23" s="19" t="n">
        <f aca="false">AO23+AP15-AP19</f>
        <v>755.79789338811</v>
      </c>
      <c r="AQ23" s="19" t="n">
        <f aca="false">AP23+AQ15-AQ19</f>
        <v>802.911559621496</v>
      </c>
      <c r="AR23" s="19" t="n">
        <f aca="false">AQ23+AR15-AR19</f>
        <v>848.911442777013</v>
      </c>
      <c r="AS23" s="19" t="n">
        <f aca="false">AR23+AS15-AS19</f>
        <v>893.823062173125</v>
      </c>
      <c r="AT23" s="19" t="n">
        <f aca="false">AS23+AT15-AT19</f>
        <v>937.67140690171</v>
      </c>
      <c r="AU23" s="19" t="n">
        <f aca="false">AT23+AU15-AU19</f>
        <v>980.480943643183</v>
      </c>
      <c r="AV23" s="19" t="n">
        <f aca="false">AU23+AV15-AV19</f>
        <v>1022.2756245641</v>
      </c>
      <c r="AW23" s="19" t="n">
        <f aca="false">AV23+AW15-AW19</f>
        <v>1063.07889528111</v>
      </c>
      <c r="AX23" s="19" t="n">
        <f aca="false">AW23+AX15-AX19</f>
        <v>1102.91370287624</v>
      </c>
      <c r="AY23" s="19" t="n">
        <f aca="false">AX23+AY15-AY19</f>
        <v>1171.85217114738</v>
      </c>
      <c r="AZ23" s="19" t="n">
        <f aca="false">AY23+AZ15-AZ19</f>
        <v>1239.33308764551</v>
      </c>
      <c r="BA23" s="19" t="n">
        <f aca="false">AZ23+BA15-BA19</f>
        <v>1305.38650552009</v>
      </c>
      <c r="BB23" s="19" t="n">
        <f aca="false">BA23+BB15-BB19</f>
        <v>1370.04191225584</v>
      </c>
      <c r="BC23" s="19" t="n">
        <f aca="false">BB23+BC15-BC19</f>
        <v>1433.32823730532</v>
      </c>
      <c r="BD23" s="19" t="n">
        <f aca="false">BC23+BD15-BD19</f>
        <v>1495.2738597906</v>
      </c>
      <c r="BE23" s="19" t="n">
        <f aca="false">BD23+BE15-BE19</f>
        <v>1555.90661626103</v>
      </c>
      <c r="BF23" s="19" t="n">
        <f aca="false">BE23+BF15-BF19</f>
        <v>1615.25380849525</v>
      </c>
      <c r="BG23" s="19" t="n">
        <f aca="false">BF23+BG15-BG19</f>
        <v>1673.34221133602</v>
      </c>
      <c r="BH23" s="19" t="n">
        <f aca="false">BG23+BH15-BH19</f>
        <v>1730.19808054745</v>
      </c>
      <c r="BI23" s="19" t="n">
        <f aca="false">BH23+BI15-BI19</f>
        <v>1785.84716068471</v>
      </c>
      <c r="BJ23" s="19" t="n">
        <f aca="false">BI23+BJ15-BJ19</f>
        <v>1840.31469296706</v>
      </c>
    </row>
    <row r="24" customFormat="false" ht="15" hidden="false" customHeight="false" outlineLevel="0" collapsed="false">
      <c r="A24" s="5" t="s">
        <v>229</v>
      </c>
      <c r="C24" s="19" t="n">
        <f aca="false">C16-C20</f>
        <v>1.13470085470085</v>
      </c>
      <c r="D24" s="19" t="n">
        <f aca="false">C24+D16-D20</f>
        <v>2.24046683760684</v>
      </c>
      <c r="E24" s="19" t="n">
        <f aca="false">D24+E16-E20</f>
        <v>3.3179067157265</v>
      </c>
      <c r="F24" s="19" t="n">
        <f aca="false">E24+F16-F20</f>
        <v>4.36762474237021</v>
      </c>
      <c r="G24" s="19" t="n">
        <f aca="false">F24+G16-G20</f>
        <v>5.39022003065216</v>
      </c>
      <c r="H24" s="19" t="n">
        <f aca="false">G24+H16-H20</f>
        <v>6.38628598963675</v>
      </c>
      <c r="I24" s="19" t="n">
        <f aca="false">H24+I16-I20</f>
        <v>7.35640981865259</v>
      </c>
      <c r="J24" s="19" t="n">
        <f aca="false">I24+J16-J20</f>
        <v>8.30117205558814</v>
      </c>
      <c r="K24" s="19" t="n">
        <f aca="false">J24+K16-K20</f>
        <v>9.22114617525632</v>
      </c>
      <c r="L24" s="19" t="n">
        <f aca="false">K24+L16-L20</f>
        <v>10.1168982341713</v>
      </c>
      <c r="M24" s="19" t="n">
        <f aca="false">L24+M16-M20</f>
        <v>10.9889865583201</v>
      </c>
      <c r="N24" s="19" t="n">
        <f aca="false">M24+N16-N20</f>
        <v>11.837961470736</v>
      </c>
      <c r="O24" s="19" t="n">
        <f aca="false">N24+O16-O20</f>
        <v>16.0206546091263</v>
      </c>
      <c r="P24" s="19" t="n">
        <f aca="false">O24+P16-P20</f>
        <v>20.1056673568131</v>
      </c>
      <c r="Q24" s="19" t="n">
        <f aca="false">P24+Q16-Q20</f>
        <v>24.0949462897474</v>
      </c>
      <c r="R24" s="19" t="n">
        <f aca="false">Q24+R16-R20</f>
        <v>27.9904184152527</v>
      </c>
      <c r="S24" s="19" t="n">
        <f aca="false">R24+S16-S20</f>
        <v>31.7939900426871</v>
      </c>
      <c r="T24" s="19" t="n">
        <f aca="false">S24+T16-T20</f>
        <v>35.5075457715738</v>
      </c>
      <c r="U24" s="19" t="n">
        <f aca="false">T24+U16-U20</f>
        <v>39.1329475893101</v>
      </c>
      <c r="V24" s="19" t="n">
        <f aca="false">U24+V16-V20</f>
        <v>42.6720340710437</v>
      </c>
      <c r="W24" s="19" t="n">
        <f aca="false">V24+W16-W20</f>
        <v>46.1266196747485</v>
      </c>
      <c r="X24" s="19" t="n">
        <f aca="false">W24+X16-X20</f>
        <v>49.4984941249561</v>
      </c>
      <c r="Y24" s="19" t="n">
        <f aca="false">X24+Y16-Y20</f>
        <v>52.7894218789948</v>
      </c>
      <c r="Z24" s="19" t="n">
        <f aca="false">Y24+Z16-Z20</f>
        <v>56.0011416699601</v>
      </c>
      <c r="AA24" s="19" t="n">
        <f aca="false">Z24+AA16-AA20</f>
        <v>66.4080445926087</v>
      </c>
      <c r="AB24" s="19" t="n">
        <f aca="false">AA24+AB16-AB20</f>
        <v>76.5955800332936</v>
      </c>
      <c r="AC24" s="19" t="n">
        <f aca="false">AB24+AC16-AC20</f>
        <v>86.5677588519</v>
      </c>
      <c r="AD24" s="19" t="n">
        <f aca="false">AC24+AD16-AD20</f>
        <v>96.3285504558264</v>
      </c>
      <c r="AE24" s="19" t="n">
        <f aca="false">AD24+AE16-AE20</f>
        <v>105.881881270531</v>
      </c>
      <c r="AF24" s="19" t="n">
        <f aca="false">AE24+AF16-AF20</f>
        <v>115.23163336828</v>
      </c>
      <c r="AG24" s="19" t="n">
        <f aca="false">AF24+AG16-AG20</f>
        <v>124.381643245264</v>
      </c>
      <c r="AH24" s="19" t="n">
        <f aca="false">AG24+AH16-AH20</f>
        <v>133.335700737752</v>
      </c>
      <c r="AI24" s="19" t="n">
        <f aca="false">AH24+AI16-AI20</f>
        <v>142.097548068538</v>
      </c>
      <c r="AJ24" s="19" t="n">
        <f aca="false">AI24+AJ16-AJ20</f>
        <v>150.670879015339</v>
      </c>
      <c r="AK24" s="19" t="n">
        <f aca="false">AJ24+AK16-AK20</f>
        <v>159.059338193338</v>
      </c>
      <c r="AL24" s="19" t="n">
        <f aca="false">AK24+AL16-AL20</f>
        <v>167.26652044447</v>
      </c>
      <c r="AM24" s="19" t="n">
        <f aca="false">AL24+AM16-AM20</f>
        <v>185.020676960679</v>
      </c>
      <c r="AN24" s="19" t="n">
        <f aca="false">AM24+AN16-AN20</f>
        <v>202.438434402586</v>
      </c>
      <c r="AO24" s="19" t="n">
        <f aca="false">AN24+AO16-AO20</f>
        <v>219.525306521267</v>
      </c>
      <c r="AP24" s="19" t="n">
        <f aca="false">AO24+AP16-AP20</f>
        <v>236.286757579996</v>
      </c>
      <c r="AQ24" s="19" t="n">
        <f aca="false">AP24+AQ16-AQ20</f>
        <v>252.728200497452</v>
      </c>
      <c r="AR24" s="19" t="n">
        <f aca="false">AQ24+AR16-AR20</f>
        <v>268.854995159878</v>
      </c>
      <c r="AS24" s="19" t="n">
        <f aca="false">AR24+AS16-AS20</f>
        <v>284.672446892668</v>
      </c>
      <c r="AT24" s="19" t="n">
        <f aca="false">AS24+AT16-AT20</f>
        <v>300.185805082337</v>
      </c>
      <c r="AU24" s="19" t="n">
        <f aca="false">AT24+AU16-AU20</f>
        <v>315.400261940268</v>
      </c>
      <c r="AV24" s="19" t="n">
        <f aca="false">AU24+AV16-AV20</f>
        <v>330.320951400089</v>
      </c>
      <c r="AW24" s="19" t="n">
        <f aca="false">AV24+AW16-AW20</f>
        <v>344.952948140935</v>
      </c>
      <c r="AX24" s="19" t="n">
        <f aca="false">AW24+AX16-AX20</f>
        <v>359.301266729244</v>
      </c>
      <c r="AY24" s="19" t="n">
        <f aca="false">AX24+AY16-AY20</f>
        <v>386.846865477408</v>
      </c>
      <c r="AZ24" s="19" t="n">
        <f aca="false">AY24+AZ16-AZ20</f>
        <v>413.9198016622</v>
      </c>
      <c r="BA24" s="19" t="n">
        <f aca="false">AZ24+BA16-BA20</f>
        <v>440.527239026943</v>
      </c>
      <c r="BB24" s="19" t="n">
        <f aca="false">BA24+BB16-BB20</f>
        <v>466.676273163155</v>
      </c>
      <c r="BC24" s="19" t="n">
        <f aca="false">BB24+BC16-BC20</f>
        <v>492.373930155506</v>
      </c>
      <c r="BD24" s="19" t="n">
        <f aca="false">BC24+BD16-BD20</f>
        <v>517.62716535994</v>
      </c>
      <c r="BE24" s="19" t="n">
        <f aca="false">BD24+BE16-BE20</f>
        <v>542.442862307937</v>
      </c>
      <c r="BF24" s="19" t="n">
        <f aca="false">BE24+BF16-BF20</f>
        <v>566.827831730216</v>
      </c>
      <c r="BG24" s="19" t="n">
        <f aca="false">BF24+BG16-BG20</f>
        <v>590.788810693477</v>
      </c>
      <c r="BH24" s="19" t="n">
        <f aca="false">BG24+BH16-BH20</f>
        <v>614.332461844098</v>
      </c>
      <c r="BI24" s="19" t="n">
        <f aca="false">BH24+BI16-BI20</f>
        <v>637.465372752969</v>
      </c>
      <c r="BJ24" s="19" t="n">
        <f aca="false">BI24+BJ16-BJ20</f>
        <v>660.194055355934</v>
      </c>
    </row>
    <row r="25" customFormat="false" ht="15" hidden="false" customHeight="false" outlineLevel="0" collapsed="false">
      <c r="A25" s="5" t="s">
        <v>230</v>
      </c>
      <c r="C25" s="19" t="n">
        <f aca="false">C17-C21</f>
        <v>0</v>
      </c>
      <c r="D25" s="19" t="n">
        <f aca="false">C25+D17-D21</f>
        <v>0</v>
      </c>
      <c r="E25" s="19" t="n">
        <f aca="false">D25+E17-E21</f>
        <v>0</v>
      </c>
      <c r="F25" s="19" t="n">
        <f aca="false">E25+F17-F21</f>
        <v>0</v>
      </c>
      <c r="G25" s="19" t="n">
        <f aca="false">F25+G17-G21</f>
        <v>0</v>
      </c>
      <c r="H25" s="19" t="n">
        <f aca="false">G25+H17-H21</f>
        <v>0</v>
      </c>
      <c r="I25" s="19" t="n">
        <f aca="false">H25+I17-I21</f>
        <v>0</v>
      </c>
      <c r="J25" s="19" t="n">
        <f aca="false">I25+J17-J21</f>
        <v>0</v>
      </c>
      <c r="K25" s="19" t="n">
        <f aca="false">J25+K17-K21</f>
        <v>0</v>
      </c>
      <c r="L25" s="19" t="n">
        <f aca="false">K25+L17-L21</f>
        <v>0</v>
      </c>
      <c r="M25" s="19" t="n">
        <f aca="false">L25+M17-M21</f>
        <v>0</v>
      </c>
      <c r="N25" s="19" t="n">
        <f aca="false">M25+N17-N21</f>
        <v>0</v>
      </c>
      <c r="O25" s="19" t="n">
        <f aca="false">N25+O17-O21</f>
        <v>0.697945874825437</v>
      </c>
      <c r="P25" s="19" t="n">
        <f aca="false">O25+P17-P21</f>
        <v>1.38340952034572</v>
      </c>
      <c r="Q25" s="19" t="n">
        <f aca="false">P25+Q17-Q21</f>
        <v>2.05653965491182</v>
      </c>
      <c r="R25" s="19" t="n">
        <f aca="false">Q25+R17-R21</f>
        <v>2.71748738322305</v>
      </c>
      <c r="S25" s="19" t="n">
        <f aca="false">R25+S17-S21</f>
        <v>3.36640587548566</v>
      </c>
      <c r="T25" s="19" t="n">
        <f aca="false">S25+T17-T21</f>
        <v>4.00345006712297</v>
      </c>
      <c r="U25" s="19" t="n">
        <f aca="false">T25+U17-U21</f>
        <v>4.62877637787222</v>
      </c>
      <c r="V25" s="19" t="n">
        <f aca="false">U25+V17-V21</f>
        <v>5.24254244916798</v>
      </c>
      <c r="W25" s="19" t="n">
        <f aca="false">V25+W17-W21</f>
        <v>5.84490689877295</v>
      </c>
      <c r="X25" s="19" t="n">
        <f aca="false">W25+X17-X21</f>
        <v>6.43602909167471</v>
      </c>
      <c r="Y25" s="19" t="n">
        <f aca="false">X25+Y17-Y21</f>
        <v>7.01606892632105</v>
      </c>
      <c r="Z25" s="19" t="n">
        <f aca="false">Y25+Z17-Z21</f>
        <v>7.58518663531841</v>
      </c>
      <c r="AA25" s="19" t="n">
        <f aca="false">Z25+AA17-AA21</f>
        <v>11.4007247600489</v>
      </c>
      <c r="AB25" s="19" t="n">
        <f aca="false">AA25+AB17-AB21</f>
        <v>15.1545984944688</v>
      </c>
      <c r="AC25" s="19" t="n">
        <f aca="false">AB25+AC17-AC21</f>
        <v>18.8474903495476</v>
      </c>
      <c r="AD25" s="19" t="n">
        <f aca="false">AC25+AD17-AD21</f>
        <v>22.4800907760608</v>
      </c>
      <c r="AE25" s="19" t="n">
        <f aca="false">AD25+AE17-AE21</f>
        <v>26.0530970999541</v>
      </c>
      <c r="AF25" s="19" t="n">
        <f aca="false">AE25+AF17-AF21</f>
        <v>29.5672125198469</v>
      </c>
      <c r="AG25" s="19" t="n">
        <f aca="false">AF25+AG17-AG21</f>
        <v>33.0231451634761</v>
      </c>
      <c r="AH25" s="19" t="n">
        <f aca="false">AG25+AH17-AH21</f>
        <v>36.4216072000437</v>
      </c>
      <c r="AI25" s="19" t="n">
        <f aca="false">AH25+AI17-AI21</f>
        <v>39.7633140055834</v>
      </c>
      <c r="AJ25" s="19" t="n">
        <f aca="false">AI25+AJ17-AJ21</f>
        <v>43.0489833786074</v>
      </c>
      <c r="AK25" s="19" t="n">
        <f aca="false">AJ25+AK17-AK21</f>
        <v>46.2793348034355</v>
      </c>
      <c r="AL25" s="19" t="n">
        <f aca="false">AK25+AL17-AL21</f>
        <v>49.4550887587354</v>
      </c>
      <c r="AM25" s="19" t="n">
        <f aca="false">AL25+AM17-AM21</f>
        <v>56.6990380325877</v>
      </c>
      <c r="AN25" s="19" t="n">
        <f aca="false">AM25+AN17-AN21</f>
        <v>63.8386690293202</v>
      </c>
      <c r="AO25" s="19" t="n">
        <f aca="false">AN25+AO17-AO21</f>
        <v>70.8749689070622</v>
      </c>
      <c r="AP25" s="19" t="n">
        <f aca="false">AO25+AP17-AP21</f>
        <v>77.8089386070564</v>
      </c>
      <c r="AQ25" s="19" t="n">
        <f aca="false">AP25+AQ17-AQ21</f>
        <v>84.6415914086562</v>
      </c>
      <c r="AR25" s="19" t="n">
        <f aca="false">AQ25+AR17-AR21</f>
        <v>91.3739515593172</v>
      </c>
      <c r="AS25" s="19" t="n">
        <f aca="false">AR25+AS17-AS21</f>
        <v>98.007052976092</v>
      </c>
      <c r="AT25" s="19" t="n">
        <f aca="false">AS25+AT17-AT21</f>
        <v>104.541938015302</v>
      </c>
      <c r="AU25" s="19" t="n">
        <f aca="false">AT25+AU17-AU21</f>
        <v>110.979656307206</v>
      </c>
      <c r="AV25" s="19" t="n">
        <f aca="false">AU25+AV17-AV21</f>
        <v>117.321263652646</v>
      </c>
      <c r="AW25" s="19" t="n">
        <f aca="false">AV25+AW17-AW21</f>
        <v>123.567820978767</v>
      </c>
      <c r="AX25" s="19" t="n">
        <f aca="false">AW25+AX17-AX21</f>
        <v>129.720393351067</v>
      </c>
      <c r="AY25" s="19" t="n">
        <f aca="false">AX25+AY17-AY21</f>
        <v>141.269631801098</v>
      </c>
      <c r="AZ25" s="19" t="n">
        <f aca="false">AY25+AZ17-AZ21</f>
        <v>152.669347583866</v>
      </c>
      <c r="BA25" s="19" t="n">
        <f aca="false">AZ25+BA17-BA21</f>
        <v>163.920831960069</v>
      </c>
      <c r="BB25" s="19" t="n">
        <f aca="false">BA25+BB17-BB21</f>
        <v>175.0253904991</v>
      </c>
      <c r="BC25" s="19" t="n">
        <f aca="false">BB25+BC17-BC21</f>
        <v>185.984341668497</v>
      </c>
      <c r="BD25" s="19" t="n">
        <f aca="false">BC25+BD17-BD21</f>
        <v>196.799015489174</v>
      </c>
      <c r="BE25" s="19" t="n">
        <f aca="false">BD25+BE17-BE21</f>
        <v>207.470752253705</v>
      </c>
      <c r="BF25" s="19" t="n">
        <f aca="false">BE25+BF17-BF21</f>
        <v>218.000901304999</v>
      </c>
      <c r="BG25" s="19" t="n">
        <f aca="false">BF25+BG17-BG21</f>
        <v>228.390819872849</v>
      </c>
      <c r="BH25" s="19" t="n">
        <f aca="false">BG25+BH17-BH21</f>
        <v>238.641871965927</v>
      </c>
      <c r="BI25" s="19" t="n">
        <f aca="false">BH25+BI17-BI21</f>
        <v>248.755427316895</v>
      </c>
      <c r="BJ25" s="19" t="n">
        <f aca="false">BI25+BJ17-BJ21</f>
        <v>258.732860378428</v>
      </c>
    </row>
    <row r="26" customFormat="false" ht="15" hidden="false" customHeight="false" outlineLevel="0" collapsed="false">
      <c r="A26" s="18" t="s">
        <v>231</v>
      </c>
      <c r="C26" s="29" t="n">
        <f aca="false">SUM(C22:C25)</f>
        <v>11.3470085470085</v>
      </c>
      <c r="D26" s="29" t="n">
        <f aca="false">SUM(D22:D25)</f>
        <v>22.2202794871795</v>
      </c>
      <c r="E26" s="29" t="n">
        <f aca="false">SUM(E22:E25)</f>
        <v>32.6416288628205</v>
      </c>
      <c r="F26" s="29" t="n">
        <f aca="false">SUM(F22:F25)</f>
        <v>42.6317681544577</v>
      </c>
      <c r="G26" s="29" t="n">
        <f aca="false">SUM(G22:G25)</f>
        <v>52.2103646856174</v>
      </c>
      <c r="H26" s="29" t="n">
        <f aca="false">SUM(H22:H25)</f>
        <v>61.3960985402659</v>
      </c>
      <c r="I26" s="29" t="n">
        <f aca="false">SUM(I22:I25)</f>
        <v>70.2067162012813</v>
      </c>
      <c r="J26" s="29" t="n">
        <f aca="false">SUM(J22:J25)</f>
        <v>78.6590811056266</v>
      </c>
      <c r="K26" s="29" t="n">
        <f aca="false">SUM(K22:K25)</f>
        <v>86.7692212999674</v>
      </c>
      <c r="L26" s="29" t="n">
        <f aca="false">SUM(L22:L25)</f>
        <v>94.552374369291</v>
      </c>
      <c r="M26" s="29" t="n">
        <f aca="false">SUM(M22:M25)</f>
        <v>102.023029800584</v>
      </c>
      <c r="N26" s="29" t="n">
        <f aca="false">SUM(N22:N25)</f>
        <v>109.194968933777</v>
      </c>
      <c r="O26" s="29" t="n">
        <f aca="false">SUM(O22:O25)</f>
        <v>139.285226224274</v>
      </c>
      <c r="P26" s="29" t="n">
        <f aca="false">SUM(P22:P25)</f>
        <v>168.305079414756</v>
      </c>
      <c r="Q26" s="29" t="n">
        <f aca="false">SUM(Q22:Q25)</f>
        <v>196.296983442939</v>
      </c>
      <c r="R26" s="29" t="n">
        <f aca="false">SUM(R22:R25)</f>
        <v>223.301509247102</v>
      </c>
      <c r="S26" s="29" t="n">
        <f aca="false">SUM(S22:S25)</f>
        <v>249.357435744418</v>
      </c>
      <c r="T26" s="29" t="n">
        <f aca="false">SUM(T22:T25)</f>
        <v>274.50183700089</v>
      </c>
      <c r="U26" s="29" t="n">
        <f aca="false">SUM(U22:U25)</f>
        <v>298.770164855375</v>
      </c>
      <c r="V26" s="29" t="n">
        <f aca="false">SUM(V22:V25)</f>
        <v>322.196327245473</v>
      </c>
      <c r="W26" s="29" t="n">
        <f aca="false">SUM(W22:W25)</f>
        <v>344.812762469236</v>
      </c>
      <c r="X26" s="29" t="n">
        <f aca="false">SUM(X22:X25)</f>
        <v>366.650509603519</v>
      </c>
      <c r="Y26" s="29" t="n">
        <f aca="false">SUM(Y22:Y25)</f>
        <v>387.739275287515</v>
      </c>
      <c r="Z26" s="29" t="n">
        <f aca="false">SUM(Z22:Z25)</f>
        <v>408.107497068361</v>
      </c>
      <c r="AA26" s="29" t="n">
        <f aca="false">SUM(AA22:AA25)</f>
        <v>471.827119575489</v>
      </c>
      <c r="AB26" s="29" t="n">
        <f aca="false">SUM(AB22:AB25)</f>
        <v>533.619598455341</v>
      </c>
      <c r="AC26" s="29" t="n">
        <f aca="false">SUM(AC22:AC25)</f>
        <v>593.550532038443</v>
      </c>
      <c r="AD26" s="29" t="n">
        <f aca="false">SUM(AD22:AD25)</f>
        <v>651.682976056083</v>
      </c>
      <c r="AE26" s="29" t="n">
        <f aca="false">SUM(AE22:AE25)</f>
        <v>708.077554243325</v>
      </c>
      <c r="AF26" s="29" t="n">
        <f aca="false">SUM(AF22:AF25)</f>
        <v>762.792563708304</v>
      </c>
      <c r="AG26" s="29" t="n">
        <f aca="false">SUM(AG22:AG25)</f>
        <v>815.88407532892</v>
      </c>
      <c r="AH26" s="29" t="n">
        <f aca="false">SUM(AH22:AH25)</f>
        <v>867.406029424653</v>
      </c>
      <c r="AI26" s="29" t="n">
        <f aca="false">SUM(AI22:AI25)</f>
        <v>917.410326938462</v>
      </c>
      <c r="AJ26" s="29" t="n">
        <f aca="false">SUM(AJ22:AJ25)</f>
        <v>965.946916351676</v>
      </c>
      <c r="AK26" s="29" t="n">
        <f aca="false">SUM(AK22:AK25)</f>
        <v>1013.06387654337</v>
      </c>
      <c r="AL26" s="29" t="n">
        <f aca="false">SUM(AL22:AL25)</f>
        <v>1058.80749579483</v>
      </c>
      <c r="AM26" s="29" t="n">
        <f aca="false">SUM(AM22:AM25)</f>
        <v>1159.6215637859</v>
      </c>
      <c r="AN26" s="29" t="n">
        <f aca="false">SUM(AN22:AN25)</f>
        <v>1257.75739838285</v>
      </c>
      <c r="AO26" s="29" t="n">
        <f aca="false">SUM(AO22:AO25)</f>
        <v>1353.29540198128</v>
      </c>
      <c r="AP26" s="29" t="n">
        <f aca="false">SUM(AP22:AP25)</f>
        <v>1446.31320090304</v>
      </c>
      <c r="AQ26" s="29" t="n">
        <f aca="false">SUM(AQ22:AQ25)</f>
        <v>1536.88575429645</v>
      </c>
      <c r="AR26" s="29" t="n">
        <f aca="false">SUM(AR22:AR25)</f>
        <v>1625.08545834364</v>
      </c>
      <c r="AS26" s="29" t="n">
        <f aca="false">SUM(AS22:AS25)</f>
        <v>1710.98224598964</v>
      </c>
      <c r="AT26" s="29" t="n">
        <f aca="false">SUM(AT22:AT25)</f>
        <v>1794.64368239761</v>
      </c>
      <c r="AU26" s="29" t="n">
        <f aca="false">SUM(AU22:AU25)</f>
        <v>1876.13505632462</v>
      </c>
      <c r="AV26" s="29" t="n">
        <f aca="false">SUM(AV22:AV25)</f>
        <v>1955.51946760377</v>
      </c>
      <c r="AW26" s="29" t="n">
        <f aca="false">SUM(AW22:AW25)</f>
        <v>2032.85791090922</v>
      </c>
      <c r="AX26" s="29" t="n">
        <f aca="false">SUM(AX22:AX25)</f>
        <v>2108.20935597269</v>
      </c>
      <c r="AY26" s="29" t="n">
        <f aca="false">SUM(AY22:AY25)</f>
        <v>2242.07864950423</v>
      </c>
      <c r="AZ26" s="29" t="n">
        <f aca="false">SUM(AZ22:AZ25)</f>
        <v>2372.89941049825</v>
      </c>
      <c r="BA26" s="29" t="n">
        <f aca="false">SUM(BA22:BA25)</f>
        <v>2500.7499246658</v>
      </c>
      <c r="BB26" s="29" t="n">
        <f aca="false">SUM(BB22:BB25)</f>
        <v>2625.70614294652</v>
      </c>
      <c r="BC26" s="29" t="n">
        <f aca="false">SUM(BC22:BC25)</f>
        <v>2747.84176216199</v>
      </c>
      <c r="BD26" s="29" t="n">
        <f aca="false">SUM(BD22:BD25)</f>
        <v>2867.22830254915</v>
      </c>
      <c r="BE26" s="29" t="n">
        <f aca="false">SUM(BE22:BE25)</f>
        <v>2983.93518230349</v>
      </c>
      <c r="BF26" s="29" t="n">
        <f aca="false">SUM(BF22:BF25)</f>
        <v>3098.02978925613</v>
      </c>
      <c r="BG26" s="29" t="n">
        <f aca="false">SUM(BG22:BG25)</f>
        <v>3209.57754980334</v>
      </c>
      <c r="BH26" s="29" t="n">
        <f aca="false">SUM(BH22:BH25)</f>
        <v>3318.64199520226</v>
      </c>
      <c r="BI26" s="29" t="n">
        <f aca="false">SUM(BI22:BI25)</f>
        <v>3425.28482534129</v>
      </c>
      <c r="BJ26" s="29" t="n">
        <f aca="false">SUM(BJ22:BJ25)</f>
        <v>3529.56597008924</v>
      </c>
    </row>
    <row r="27" customFormat="false" ht="15" hidden="false" customHeight="false" outlineLevel="0" collapsed="false">
      <c r="A27" s="3" t="s">
        <v>232</v>
      </c>
      <c r="B27" s="4"/>
    </row>
    <row r="28" customFormat="false" ht="15" hidden="false" customHeight="false" outlineLevel="0" collapsed="false">
      <c r="A28" s="5" t="s">
        <v>233</v>
      </c>
      <c r="C28" s="21" t="n">
        <f aca="false">C22*Premissas!$B$18*(1-Premissas!$B$12*Premissas!$B$13)</f>
        <v>1287.36350769231</v>
      </c>
      <c r="D28" s="21" t="n">
        <f aca="false">D22*Premissas!$B$18*(1-Premissas!$B$12*Premissas!$B$13)</f>
        <v>2500.05993193846</v>
      </c>
      <c r="E28" s="21" t="n">
        <f aca="false">E22*Premissas!$B$18*(1-Premissas!$B$12*Premissas!$B$13)</f>
        <v>3642.56640117734</v>
      </c>
      <c r="F28" s="21" t="n">
        <f aca="false">F22*Premissas!$B$18*(1-Premissas!$B$12*Premissas!$B$13)</f>
        <v>4719.08635632014</v>
      </c>
      <c r="G28" s="21" t="n">
        <f aca="false">G22*Premissas!$B$18*(1-Premissas!$B$12*Premissas!$B$13)</f>
        <v>5733.56646322101</v>
      </c>
      <c r="H28" s="21" t="n">
        <f aca="false">H22*Premissas!$B$18*(1-Premissas!$B$12*Premissas!$B$13)</f>
        <v>6689.71247380924</v>
      </c>
      <c r="I28" s="21" t="n">
        <f aca="false">I22*Premissas!$B$18*(1-Premissas!$B$12*Premissas!$B$13)</f>
        <v>7591.00410145046</v>
      </c>
      <c r="J28" s="21" t="n">
        <f aca="false">J22*Premissas!$B$18*(1-Premissas!$B$12*Premissas!$B$13)</f>
        <v>8440.70897200779</v>
      </c>
      <c r="K28" s="21" t="n">
        <f aca="false">K22*Premissas!$B$18*(1-Premissas!$B$12*Premissas!$B$13)</f>
        <v>9241.89570823389</v>
      </c>
      <c r="L28" s="21" t="n">
        <f aca="false">L22*Premissas!$B$18*(1-Premissas!$B$12*Premissas!$B$13)</f>
        <v>9997.44620152456</v>
      </c>
      <c r="M28" s="21" t="n">
        <f aca="false">M22*Premissas!$B$18*(1-Premissas!$B$12*Premissas!$B$13)</f>
        <v>10710.0671216896</v>
      </c>
      <c r="N28" s="21" t="n">
        <f aca="false">N22*Premissas!$B$18*(1-Premissas!$B$12*Premissas!$B$13)</f>
        <v>11382.3007122331</v>
      </c>
      <c r="O28" s="21" t="n">
        <f aca="false">O22*Premissas!$B$18*(1-Premissas!$B$12*Premissas!$B$13)</f>
        <v>14165.9719982485</v>
      </c>
      <c r="P28" s="21" t="n">
        <f aca="false">P22*Premissas!$B$18*(1-Premissas!$B$12*Premissas!$B$13)</f>
        <v>16804.0896341704</v>
      </c>
      <c r="Q28" s="21" t="n">
        <f aca="false">Q22*Premissas!$B$18*(1-Premissas!$B$12*Premissas!$B$13)</f>
        <v>19304.6138983103</v>
      </c>
      <c r="R28" s="21" t="n">
        <f aca="false">R22*Premissas!$B$18*(1-Premissas!$B$12*Premissas!$B$13)</f>
        <v>21675.0585465173</v>
      </c>
      <c r="S28" s="21" t="n">
        <f aca="false">S22*Premissas!$B$18*(1-Premissas!$B$12*Premissas!$B$13)</f>
        <v>23922.5162050189</v>
      </c>
      <c r="T28" s="21" t="n">
        <f aca="false">T22*Premissas!$B$18*(1-Premissas!$B$12*Premissas!$B$13)</f>
        <v>26053.6823086867</v>
      </c>
      <c r="U28" s="21" t="n">
        <f aca="false">U22*Premissas!$B$18*(1-Premissas!$B$12*Premissas!$B$13)</f>
        <v>28074.8776683685</v>
      </c>
      <c r="V28" s="21" t="n">
        <f aca="false">V22*Premissas!$B$18*(1-Premissas!$B$12*Premissas!$B$13)</f>
        <v>29992.0697461103</v>
      </c>
      <c r="W28" s="21" t="n">
        <f aca="false">W22*Premissas!$B$18*(1-Premissas!$B$12*Premissas!$B$13)</f>
        <v>31810.8927125485</v>
      </c>
      <c r="X28" s="21" t="n">
        <f aca="false">X22*Premissas!$B$18*(1-Premissas!$B$12*Premissas!$B$13)</f>
        <v>33536.6663564752</v>
      </c>
      <c r="Y28" s="21" t="n">
        <f aca="false">Y22*Premissas!$B$18*(1-Premissas!$B$12*Premissas!$B$13)</f>
        <v>35174.4139125457</v>
      </c>
      <c r="Z28" s="21" t="n">
        <f aca="false">Z22*Premissas!$B$18*(1-Premissas!$B$12*Premissas!$B$13)</f>
        <v>36728.8788692974</v>
      </c>
      <c r="AA28" s="21" t="n">
        <f aca="false">AA22*Premissas!$B$18*(1-Premissas!$B$12*Premissas!$B$13)</f>
        <v>41485.5944424619</v>
      </c>
      <c r="AB28" s="21" t="n">
        <f aca="false">AB22*Premissas!$B$18*(1-Premissas!$B$12*Premissas!$B$13)</f>
        <v>46018.5680934257</v>
      </c>
      <c r="AC28" s="21" t="n">
        <f aca="false">AC22*Premissas!$B$18*(1-Premissas!$B$12*Premissas!$B$13)</f>
        <v>50338.961336477</v>
      </c>
      <c r="AD28" s="21" t="n">
        <f aca="false">AD22*Premissas!$B$18*(1-Premissas!$B$12*Premissas!$B$13)</f>
        <v>54457.360696597</v>
      </c>
      <c r="AE28" s="21" t="n">
        <f aca="false">AE22*Premissas!$B$18*(1-Premissas!$B$12*Premissas!$B$13)</f>
        <v>58383.8078286144</v>
      </c>
      <c r="AF28" s="21" t="n">
        <f aca="false">AF22*Premissas!$B$18*(1-Premissas!$B$12*Premissas!$B$13)</f>
        <v>62127.8280452034</v>
      </c>
      <c r="AG28" s="21" t="n">
        <f aca="false">AG22*Premissas!$B$18*(1-Premissas!$B$12*Premissas!$B$13)</f>
        <v>65698.4573381467</v>
      </c>
      <c r="AH28" s="21" t="n">
        <f aca="false">AH22*Premissas!$B$18*(1-Premissas!$B$12*Premissas!$B$13)</f>
        <v>69104.2679727963</v>
      </c>
      <c r="AI28" s="21" t="n">
        <f aca="false">AI22*Premissas!$B$18*(1-Premissas!$B$12*Premissas!$B$13)</f>
        <v>72353.3927314149</v>
      </c>
      <c r="AJ28" s="21" t="n">
        <f aca="false">AJ22*Premissas!$B$18*(1-Premissas!$B$12*Premissas!$B$13)</f>
        <v>75453.5478770565</v>
      </c>
      <c r="AK28" s="21" t="n">
        <f aca="false">AK22*Premissas!$B$18*(1-Premissas!$B$12*Premissas!$B$13)</f>
        <v>78412.0549058358</v>
      </c>
      <c r="AL28" s="21" t="n">
        <f aca="false">AL22*Premissas!$B$18*(1-Premissas!$B$12*Premissas!$B$13)</f>
        <v>81235.8611518281</v>
      </c>
      <c r="AM28" s="21" t="n">
        <f aca="false">AM22*Premissas!$B$18*(1-Premissas!$B$12*Premissas!$B$13)</f>
        <v>88037.7400329732</v>
      </c>
      <c r="AN28" s="21" t="n">
        <f aca="false">AN22*Premissas!$B$18*(1-Premissas!$B$12*Premissas!$B$13)</f>
        <v>94551.3887394975</v>
      </c>
      <c r="AO28" s="21" t="n">
        <f aca="false">AO22*Premissas!$B$18*(1-Premissas!$B$12*Premissas!$B$13)</f>
        <v>100789.907065157</v>
      </c>
      <c r="AP28" s="21" t="n">
        <f aca="false">AP22*Premissas!$B$18*(1-Premissas!$B$12*Premissas!$B$13)</f>
        <v>106765.776458983</v>
      </c>
      <c r="AQ28" s="21" t="n">
        <f aca="false">AQ22*Premissas!$B$18*(1-Premissas!$B$12*Premissas!$B$13)</f>
        <v>112490.889779343</v>
      </c>
      <c r="AR28" s="21" t="n">
        <f aca="false">AR22*Premissas!$B$18*(1-Premissas!$B$12*Premissas!$B$13)</f>
        <v>117976.57960254</v>
      </c>
      <c r="AS28" s="21" t="n">
        <f aca="false">AS22*Premissas!$B$18*(1-Premissas!$B$12*Premissas!$B$13)</f>
        <v>123233.645156523</v>
      </c>
      <c r="AT28" s="21" t="n">
        <f aca="false">AT22*Premissas!$B$18*(1-Premissas!$B$12*Premissas!$B$13)</f>
        <v>128272.377946782</v>
      </c>
      <c r="AU28" s="21" t="n">
        <f aca="false">AU22*Premissas!$B$18*(1-Premissas!$B$12*Premissas!$B$13)</f>
        <v>133102.586138278</v>
      </c>
      <c r="AV28" s="21" t="n">
        <f aca="false">AV22*Premissas!$B$18*(1-Premissas!$B$12*Premissas!$B$13)</f>
        <v>137733.617754073</v>
      </c>
      <c r="AW28" s="21" t="n">
        <f aca="false">AW22*Premissas!$B$18*(1-Premissas!$B$12*Premissas!$B$13)</f>
        <v>142174.382748411</v>
      </c>
      <c r="AX28" s="21" t="n">
        <f aca="false">AX22*Premissas!$B$18*(1-Premissas!$B$12*Premissas!$B$13)</f>
        <v>146433.374009133</v>
      </c>
      <c r="AY28" s="21" t="n">
        <f aca="false">AY22*Premissas!$B$18*(1-Premissas!$B$12*Premissas!$B$13)</f>
        <v>153761.364483156</v>
      </c>
      <c r="AZ28" s="21" t="n">
        <f aca="false">AZ22*Premissas!$B$18*(1-Premissas!$B$12*Premissas!$B$13)</f>
        <v>160814.570635929</v>
      </c>
      <c r="BA28" s="21" t="n">
        <f aca="false">BA22*Premissas!$B$18*(1-Premissas!$B$12*Premissas!$B$13)</f>
        <v>167604.274774991</v>
      </c>
      <c r="BB28" s="21" t="n">
        <f aca="false">BB22*Premissas!$B$18*(1-Premissas!$B$12*Premissas!$B$13)</f>
        <v>174141.272699108</v>
      </c>
      <c r="BC28" s="21" t="n">
        <f aca="false">BC22*Premissas!$B$18*(1-Premissas!$B$12*Premissas!$B$13)</f>
        <v>180435.895193922</v>
      </c>
      <c r="BD28" s="21" t="n">
        <f aca="false">BD22*Premissas!$B$18*(1-Premissas!$B$12*Premissas!$B$13)</f>
        <v>186498.028566685</v>
      </c>
      <c r="BE28" s="21" t="n">
        <f aca="false">BE22*Premissas!$B$18*(1-Premissas!$B$12*Premissas!$B$13)</f>
        <v>192337.134263263</v>
      </c>
      <c r="BF28" s="21" t="n">
        <f aca="false">BF22*Premissas!$B$18*(1-Premissas!$B$12*Premissas!$B$13)</f>
        <v>197962.267608668</v>
      </c>
      <c r="BG28" s="21" t="n">
        <f aca="false">BG22*Premissas!$B$18*(1-Premissas!$B$12*Premissas!$B$13)</f>
        <v>203382.095710498</v>
      </c>
      <c r="BH28" s="21" t="n">
        <f aca="false">BH22*Premissas!$B$18*(1-Premissas!$B$12*Premissas!$B$13)</f>
        <v>208604.91456291</v>
      </c>
      <c r="BI28" s="21" t="n">
        <f aca="false">BI22*Premissas!$B$18*(1-Premissas!$B$12*Premissas!$B$13)</f>
        <v>213638.665387052</v>
      </c>
      <c r="BJ28" s="21" t="n">
        <f aca="false">BJ22*Premissas!$B$18*(1-Premissas!$B$12*Premissas!$B$13)</f>
        <v>218490.950242233</v>
      </c>
    </row>
    <row r="29" customFormat="false" ht="15" hidden="false" customHeight="false" outlineLevel="0" collapsed="false">
      <c r="A29" s="5" t="s">
        <v>234</v>
      </c>
      <c r="C29" s="21" t="n">
        <f aca="false">C23*Premissas!$C$18*(1-Premissas!$B$12*Premissas!$B$13)</f>
        <v>3776.48301709402</v>
      </c>
      <c r="D29" s="21" t="n">
        <f aca="false">D23*Premissas!$C$18*(1-Premissas!$B$12*Premissas!$B$13)</f>
        <v>7432.11857764103</v>
      </c>
      <c r="E29" s="21" t="n">
        <f aca="false">E23*Premissas!$C$18*(1-Premissas!$B$12*Premissas!$B$13)</f>
        <v>10970.5160552846</v>
      </c>
      <c r="F29" s="21" t="n">
        <f aca="false">F23*Premissas!$C$18*(1-Premissas!$B$12*Premissas!$B$13)</f>
        <v>14395.1948834209</v>
      </c>
      <c r="G29" s="21" t="n">
        <f aca="false">G23*Premissas!$C$18*(1-Premissas!$B$12*Premissas!$B$13)</f>
        <v>17709.5854895457</v>
      </c>
      <c r="H29" s="21" t="n">
        <f aca="false">H23*Premissas!$C$18*(1-Premissas!$B$12*Premissas!$B$13)</f>
        <v>20917.0303338887</v>
      </c>
      <c r="I29" s="21" t="n">
        <f aca="false">I23*Premissas!$C$18*(1-Premissas!$B$12*Premissas!$B$13)</f>
        <v>24020.7850401426</v>
      </c>
      <c r="J29" s="21" t="n">
        <f aca="false">J23*Premissas!$C$18*(1-Premissas!$B$12*Premissas!$B$13)</f>
        <v>27024.0196070563</v>
      </c>
      <c r="K29" s="21" t="n">
        <f aca="false">K23*Premissas!$C$18*(1-Premissas!$B$12*Premissas!$B$13)</f>
        <v>29929.8196905562</v>
      </c>
      <c r="L29" s="21" t="n">
        <f aca="false">L23*Premissas!$C$18*(1-Premissas!$B$12*Premissas!$B$13)</f>
        <v>32741.1879468885</v>
      </c>
      <c r="M29" s="21" t="n">
        <f aca="false">M23*Premissas!$C$18*(1-Premissas!$B$12*Premissas!$B$13)</f>
        <v>35461.0454280505</v>
      </c>
      <c r="N29" s="21" t="n">
        <f aca="false">N23*Premissas!$C$18*(1-Premissas!$B$12*Premissas!$B$13)</f>
        <v>38092.2330214951</v>
      </c>
      <c r="O29" s="21" t="n">
        <f aca="false">O23*Premissas!$C$18*(1-Premissas!$B$12*Premissas!$B$13)</f>
        <v>48339.9137604196</v>
      </c>
      <c r="P29" s="21" t="n">
        <f aca="false">P23*Premissas!$C$18*(1-Premissas!$B$12*Premissas!$B$13)</f>
        <v>58290.0096638719</v>
      </c>
      <c r="Q29" s="21" t="n">
        <f aca="false">Q23*Premissas!$C$18*(1-Premissas!$B$12*Premissas!$B$13)</f>
        <v>67950.704331233</v>
      </c>
      <c r="R29" s="21" t="n">
        <f aca="false">R23*Premissas!$C$18*(1-Premissas!$B$12*Premissas!$B$13)</f>
        <v>77329.9866425614</v>
      </c>
      <c r="S29" s="21" t="n">
        <f aca="false">S23*Premissas!$C$18*(1-Premissas!$B$12*Premissas!$B$13)</f>
        <v>86435.6533559272</v>
      </c>
      <c r="T29" s="21" t="n">
        <f aca="false">T23*Premissas!$C$18*(1-Premissas!$B$12*Premissas!$B$13)</f>
        <v>95275.3118258365</v>
      </c>
      <c r="U29" s="21" t="n">
        <f aca="false">U23*Premissas!$C$18*(1-Premissas!$B$12*Premissas!$B$13)</f>
        <v>103856.382827202</v>
      </c>
      <c r="V29" s="21" t="n">
        <f aca="false">V23*Premissas!$C$18*(1-Premissas!$B$12*Premissas!$B$13)</f>
        <v>112186.103470478</v>
      </c>
      <c r="W29" s="21" t="n">
        <f aca="false">W23*Premissas!$C$18*(1-Premissas!$B$12*Premissas!$B$13)</f>
        <v>120271.530194682</v>
      </c>
      <c r="X29" s="21" t="n">
        <f aca="false">X23*Premissas!$C$18*(1-Premissas!$B$12*Premissas!$B$13)</f>
        <v>128119.541826033</v>
      </c>
      <c r="Y29" s="21" t="n">
        <f aca="false">Y23*Premissas!$C$18*(1-Premissas!$B$12*Premissas!$B$13)</f>
        <v>135736.842690898</v>
      </c>
      <c r="Z29" s="21" t="n">
        <f aca="false">Z23*Premissas!$C$18*(1-Premissas!$B$12*Premissas!$B$13)</f>
        <v>143129.965772644</v>
      </c>
      <c r="AA29" s="21" t="n">
        <f aca="false">AA23*Premissas!$C$18*(1-Premissas!$B$12*Premissas!$B$13)</f>
        <v>164913.95564015</v>
      </c>
      <c r="AB29" s="21" t="n">
        <f aca="false">AB23*Premissas!$C$18*(1-Premissas!$B$12*Premissas!$B$13)</f>
        <v>186127.313753973</v>
      </c>
      <c r="AC29" s="21" t="n">
        <f aca="false">AC23*Premissas!$C$18*(1-Premissas!$B$12*Premissas!$B$13)</f>
        <v>206784.386730178</v>
      </c>
      <c r="AD29" s="21" t="n">
        <f aca="false">AD23*Premissas!$C$18*(1-Premissas!$B$12*Premissas!$B$13)</f>
        <v>226899.200434683</v>
      </c>
      <c r="AE29" s="21" t="n">
        <f aca="false">AE23*Premissas!$C$18*(1-Premissas!$B$12*Premissas!$B$13)</f>
        <v>246485.464647535</v>
      </c>
      <c r="AF29" s="21" t="n">
        <f aca="false">AF23*Premissas!$C$18*(1-Premissas!$B$12*Premissas!$B$13)</f>
        <v>265556.577830908</v>
      </c>
      <c r="AG29" s="21" t="n">
        <f aca="false">AG23*Premissas!$C$18*(1-Premissas!$B$12*Premissas!$B$13)</f>
        <v>284125.631985181</v>
      </c>
      <c r="AH29" s="21" t="n">
        <f aca="false">AH23*Premissas!$C$18*(1-Premissas!$B$12*Premissas!$B$13)</f>
        <v>302205.417578624</v>
      </c>
      <c r="AI29" s="21" t="n">
        <f aca="false">AI23*Premissas!$C$18*(1-Premissas!$B$12*Premissas!$B$13)</f>
        <v>319808.428537243</v>
      </c>
      <c r="AJ29" s="21" t="n">
        <f aca="false">AJ23*Premissas!$C$18*(1-Premissas!$B$12*Premissas!$B$13)</f>
        <v>336946.867282338</v>
      </c>
      <c r="AK29" s="21" t="n">
        <f aca="false">AK23*Premissas!$C$18*(1-Premissas!$B$12*Premissas!$B$13)</f>
        <v>353632.649804261</v>
      </c>
      <c r="AL29" s="21" t="n">
        <f aca="false">AL23*Premissas!$C$18*(1-Premissas!$B$12*Premissas!$B$13)</f>
        <v>369877.410761739</v>
      </c>
      <c r="AM29" s="21" t="n">
        <f aca="false">AM23*Premissas!$C$18*(1-Premissas!$B$12*Premissas!$B$13)</f>
        <v>404380.510242356</v>
      </c>
      <c r="AN29" s="21" t="n">
        <f aca="false">AN23*Premissas!$C$18*(1-Premissas!$B$12*Premissas!$B$13)</f>
        <v>438070.659693883</v>
      </c>
      <c r="AO29" s="21" t="n">
        <f aca="false">AO23*Premissas!$C$18*(1-Premissas!$B$12*Premissas!$B$13)</f>
        <v>470966.307918578</v>
      </c>
      <c r="AP29" s="21" t="n">
        <f aca="false">AP23*Premissas!$C$18*(1-Premissas!$B$12*Premissas!$B$13)</f>
        <v>503085.530765395</v>
      </c>
      <c r="AQ29" s="21" t="n">
        <f aca="false">AQ23*Premissas!$C$18*(1-Premissas!$B$12*Premissas!$B$13)</f>
        <v>534446.035988655</v>
      </c>
      <c r="AR29" s="21" t="n">
        <f aca="false">AR23*Premissas!$C$18*(1-Premissas!$B$12*Premissas!$B$13)</f>
        <v>565065.168212877</v>
      </c>
      <c r="AS29" s="21" t="n">
        <f aca="false">AS23*Premissas!$C$18*(1-Premissas!$B$12*Premissas!$B$13)</f>
        <v>594959.913989608</v>
      </c>
      <c r="AT29" s="21" t="n">
        <f aca="false">AT23*Premissas!$C$18*(1-Premissas!$B$12*Premissas!$B$13)</f>
        <v>624146.90693302</v>
      </c>
      <c r="AU29" s="21" t="n">
        <f aca="false">AU23*Premissas!$C$18*(1-Premissas!$B$12*Premissas!$B$13)</f>
        <v>652642.43292193</v>
      </c>
      <c r="AV29" s="21" t="n">
        <f aca="false">AV23*Premissas!$C$18*(1-Premissas!$B$12*Premissas!$B$13)</f>
        <v>680462.435356725</v>
      </c>
      <c r="AW29" s="21" t="n">
        <f aca="false">AW23*Premissas!$C$18*(1-Premissas!$B$12*Premissas!$B$13)</f>
        <v>707622.520460444</v>
      </c>
      <c r="AX29" s="21" t="n">
        <f aca="false">AX23*Premissas!$C$18*(1-Premissas!$B$12*Premissas!$B$13)</f>
        <v>734137.962614026</v>
      </c>
      <c r="AY29" s="21" t="n">
        <f aca="false">AY23*Premissas!$C$18*(1-Premissas!$B$12*Premissas!$B$13)</f>
        <v>780025.819941683</v>
      </c>
      <c r="AZ29" s="21" t="n">
        <f aca="false">AZ23*Premissas!$C$18*(1-Premissas!$B$12*Premissas!$B$13)</f>
        <v>824943.479794918</v>
      </c>
      <c r="BA29" s="21" t="n">
        <f aca="false">BA23*Premissas!$C$18*(1-Premissas!$B$12*Premissas!$B$13)</f>
        <v>868910.946601865</v>
      </c>
      <c r="BB29" s="21" t="n">
        <f aca="false">BB23*Premissas!$C$18*(1-Premissas!$B$12*Premissas!$B$13)</f>
        <v>911947.848264413</v>
      </c>
      <c r="BC29" s="21" t="n">
        <f aca="false">BC23*Premissas!$C$18*(1-Premissas!$B$12*Premissas!$B$13)</f>
        <v>954073.441238725</v>
      </c>
      <c r="BD29" s="21" t="n">
        <f aca="false">BD23*Premissas!$C$18*(1-Premissas!$B$12*Premissas!$B$13)</f>
        <v>995306.615661713</v>
      </c>
      <c r="BE29" s="21" t="n">
        <f aca="false">BE23*Premissas!$C$18*(1-Premissas!$B$12*Premissas!$B$13)</f>
        <v>1035665.90051491</v>
      </c>
      <c r="BF29" s="21" t="n">
        <f aca="false">BF23*Premissas!$C$18*(1-Premissas!$B$12*Premissas!$B$13)</f>
        <v>1075169.46881774</v>
      </c>
      <c r="BG29" s="21" t="n">
        <f aca="false">BG23*Premissas!$C$18*(1-Premissas!$B$12*Premissas!$B$13)</f>
        <v>1113835.14284265</v>
      </c>
      <c r="BH29" s="21" t="n">
        <f aca="false">BH23*Premissas!$C$18*(1-Premissas!$B$12*Premissas!$B$13)</f>
        <v>1151680.3993452</v>
      </c>
      <c r="BI29" s="21" t="n">
        <f aca="false">BI23*Premissas!$C$18*(1-Premissas!$B$12*Premissas!$B$13)</f>
        <v>1188722.37480237</v>
      </c>
      <c r="BJ29" s="21" t="n">
        <f aca="false">BJ23*Premissas!$C$18*(1-Premissas!$B$12*Premissas!$B$13)</f>
        <v>1224977.87065313</v>
      </c>
    </row>
    <row r="30" customFormat="false" ht="15" hidden="false" customHeight="false" outlineLevel="0" collapsed="false">
      <c r="A30" s="5" t="s">
        <v>235</v>
      </c>
      <c r="C30" s="21" t="n">
        <f aca="false">C24*Premissas!$D$18*(1-Premissas!$B$12*Premissas!$B$13)</f>
        <v>1622.20805641026</v>
      </c>
      <c r="D30" s="21" t="n">
        <f aca="false">D24*Premissas!$D$18*(1-Premissas!$B$12*Premissas!$B$13)</f>
        <v>3203.04980738205</v>
      </c>
      <c r="E30" s="21" t="n">
        <f aca="false">E24*Premissas!$D$18*(1-Premissas!$B$12*Premissas!$B$13)</f>
        <v>4743.39556753765</v>
      </c>
      <c r="F30" s="21" t="n">
        <f aca="false">F24*Premissas!$D$18*(1-Premissas!$B$12*Premissas!$B$13)</f>
        <v>6244.10919855844</v>
      </c>
      <c r="G30" s="21" t="n">
        <f aca="false">G24*Premissas!$D$18*(1-Premissas!$B$12*Premissas!$B$13)</f>
        <v>7706.0472135214</v>
      </c>
      <c r="H30" s="21" t="n">
        <f aca="false">H24*Premissas!$D$18*(1-Premissas!$B$12*Premissas!$B$13)</f>
        <v>9130.05797079433</v>
      </c>
      <c r="I30" s="21" t="n">
        <f aca="false">I24*Premissas!$D$18*(1-Premissas!$B$12*Premissas!$B$13)</f>
        <v>10516.9809510894</v>
      </c>
      <c r="J30" s="21" t="n">
        <f aca="false">J24*Premissas!$D$18*(1-Premissas!$B$12*Premissas!$B$13)</f>
        <v>11867.6461116907</v>
      </c>
      <c r="K30" s="21" t="n">
        <f aca="false">K24*Premissas!$D$18*(1-Premissas!$B$12*Premissas!$B$13)</f>
        <v>13182.8733122626</v>
      </c>
      <c r="L30" s="21" t="n">
        <f aca="false">L24*Premissas!$D$18*(1-Premissas!$B$12*Premissas!$B$13)</f>
        <v>14463.4718070095</v>
      </c>
      <c r="M30" s="21" t="n">
        <f aca="false">M24*Premissas!$D$18*(1-Premissas!$B$12*Premissas!$B$13)</f>
        <v>15710.239798304</v>
      </c>
      <c r="N30" s="21" t="n">
        <f aca="false">N24*Premissas!$D$18*(1-Premissas!$B$12*Premissas!$B$13)</f>
        <v>16923.9640472156</v>
      </c>
      <c r="O30" s="21" t="n">
        <f aca="false">O24*Premissas!$D$18*(1-Premissas!$B$12*Premissas!$B$13)</f>
        <v>22903.6885521183</v>
      </c>
      <c r="P30" s="21" t="n">
        <f aca="false">P24*Premissas!$D$18*(1-Premissas!$B$12*Premissas!$B$13)</f>
        <v>28743.7657516575</v>
      </c>
      <c r="Q30" s="21" t="n">
        <f aca="false">Q24*Premissas!$D$18*(1-Premissas!$B$12*Premissas!$B$13)</f>
        <v>34446.9785389431</v>
      </c>
      <c r="R30" s="21" t="n">
        <f aca="false">R24*Premissas!$D$18*(1-Premissas!$B$12*Premissas!$B$13)</f>
        <v>40016.0818310897</v>
      </c>
      <c r="S30" s="21" t="n">
        <f aca="false">S24*Premissas!$D$18*(1-Premissas!$B$12*Premissas!$B$13)</f>
        <v>45453.8009546769</v>
      </c>
      <c r="T30" s="21" t="n">
        <f aca="false">T24*Premissas!$D$18*(1-Premissas!$B$12*Premissas!$B$13)</f>
        <v>50762.8301991439</v>
      </c>
      <c r="U30" s="21" t="n">
        <f aca="false">U24*Premissas!$D$18*(1-Premissas!$B$12*Premissas!$B$13)</f>
        <v>55945.8315268434</v>
      </c>
      <c r="V30" s="21" t="n">
        <f aca="false">V24*Premissas!$D$18*(1-Premissas!$B$12*Premissas!$B$13)</f>
        <v>61005.4334291566</v>
      </c>
      <c r="W30" s="21" t="n">
        <f aca="false">W24*Premissas!$D$18*(1-Premissas!$B$12*Premissas!$B$13)</f>
        <v>65944.2299187091</v>
      </c>
      <c r="X30" s="21" t="n">
        <f aca="false">X24*Premissas!$D$18*(1-Premissas!$B$12*Premissas!$B$13)</f>
        <v>70764.7796483317</v>
      </c>
      <c r="Y30" s="21" t="n">
        <f aca="false">Y24*Premissas!$D$18*(1-Premissas!$B$12*Premissas!$B$13)</f>
        <v>75469.6051479767</v>
      </c>
      <c r="Z30" s="21" t="n">
        <f aca="false">Z24*Premissas!$D$18*(1-Premissas!$B$12*Premissas!$B$13)</f>
        <v>80061.1921713333</v>
      </c>
      <c r="AA30" s="21" t="n">
        <f aca="false">AA24*Premissas!$D$18*(1-Premissas!$B$12*Premissas!$B$13)</f>
        <v>94939.2648311541</v>
      </c>
      <c r="AB30" s="21" t="n">
        <f aca="false">AB24*Premissas!$D$18*(1-Premissas!$B$12*Premissas!$B$13)</f>
        <v>109503.722060898</v>
      </c>
      <c r="AC30" s="21" t="n">
        <f aca="false">AC24*Premissas!$D$18*(1-Premissas!$B$12*Premissas!$B$13)</f>
        <v>123760.297926236</v>
      </c>
      <c r="AD30" s="21" t="n">
        <f aca="false">AD24*Premissas!$D$18*(1-Premissas!$B$12*Premissas!$B$13)</f>
        <v>137714.667230915</v>
      </c>
      <c r="AE30" s="21" t="n">
        <f aca="false">AE24*Premissas!$D$18*(1-Premissas!$B$12*Premissas!$B$13)</f>
        <v>151372.443330195</v>
      </c>
      <c r="AF30" s="21" t="n">
        <f aca="false">AF24*Premissas!$D$18*(1-Premissas!$B$12*Premissas!$B$13)</f>
        <v>164739.176170462</v>
      </c>
      <c r="AG30" s="21" t="n">
        <f aca="false">AG24*Premissas!$D$18*(1-Premissas!$B$12*Premissas!$B$13)</f>
        <v>177820.350540942</v>
      </c>
      <c r="AH30" s="21" t="n">
        <f aca="false">AH24*Premissas!$D$18*(1-Premissas!$B$12*Premissas!$B$13)</f>
        <v>190621.384524217</v>
      </c>
      <c r="AI30" s="21" t="n">
        <f aca="false">AI24*Premissas!$D$18*(1-Premissas!$B$12*Premissas!$B$13)</f>
        <v>203147.628132965</v>
      </c>
      <c r="AJ30" s="21" t="n">
        <f aca="false">AJ24*Premissas!$D$18*(1-Premissas!$B$12*Premissas!$B$13)</f>
        <v>215404.362121093</v>
      </c>
      <c r="AK30" s="21" t="n">
        <f aca="false">AK24*Premissas!$D$18*(1-Premissas!$B$12*Premissas!$B$13)</f>
        <v>227396.796958033</v>
      </c>
      <c r="AL30" s="21" t="n">
        <f aca="false">AL24*Premissas!$D$18*(1-Premissas!$B$12*Premissas!$B$13)</f>
        <v>239130.07195563</v>
      </c>
      <c r="AM30" s="21" t="n">
        <f aca="false">AM24*Premissas!$D$18*(1-Premissas!$B$12*Premissas!$B$13)</f>
        <v>264512.035506681</v>
      </c>
      <c r="AN30" s="21" t="n">
        <f aca="false">AN24*Premissas!$D$18*(1-Premissas!$B$12*Premissas!$B$13)</f>
        <v>289413.071167142</v>
      </c>
      <c r="AO30" s="21" t="n">
        <f aca="false">AO24*Premissas!$D$18*(1-Premissas!$B$12*Premissas!$B$13)</f>
        <v>313841.061588531</v>
      </c>
      <c r="AP30" s="21" t="n">
        <f aca="false">AP24*Premissas!$D$18*(1-Premissas!$B$12*Premissas!$B$13)</f>
        <v>337803.818672878</v>
      </c>
      <c r="AQ30" s="21" t="n">
        <f aca="false">AQ24*Premissas!$D$18*(1-Premissas!$B$12*Premissas!$B$13)</f>
        <v>361309.080918175</v>
      </c>
      <c r="AR30" s="21" t="n">
        <f aca="false">AR24*Premissas!$D$18*(1-Premissas!$B$12*Premissas!$B$13)</f>
        <v>384364.511005392</v>
      </c>
      <c r="AS30" s="21" t="n">
        <f aca="false">AS24*Premissas!$D$18*(1-Premissas!$B$12*Premissas!$B$13)</f>
        <v>406977.693613399</v>
      </c>
      <c r="AT30" s="21" t="n">
        <f aca="false">AT24*Premissas!$D$18*(1-Premissas!$B$12*Premissas!$B$13)</f>
        <v>429156.133448886</v>
      </c>
      <c r="AU30" s="21" t="n">
        <f aca="false">AU24*Premissas!$D$18*(1-Premissas!$B$12*Premissas!$B$13)</f>
        <v>450907.253478975</v>
      </c>
      <c r="AV30" s="21" t="n">
        <f aca="false">AV24*Premissas!$D$18*(1-Premissas!$B$12*Premissas!$B$13)</f>
        <v>472238.393354867</v>
      </c>
      <c r="AW30" s="21" t="n">
        <f aca="false">AW24*Premissas!$D$18*(1-Premissas!$B$12*Premissas!$B$13)</f>
        <v>493156.808015466</v>
      </c>
      <c r="AX30" s="21" t="n">
        <f aca="false">AX24*Premissas!$D$18*(1-Premissas!$B$12*Premissas!$B$13)</f>
        <v>513669.666460463</v>
      </c>
      <c r="AY30" s="21" t="n">
        <f aca="false">AY24*Premissas!$D$18*(1-Premissas!$B$12*Premissas!$B$13)</f>
        <v>553049.818526794</v>
      </c>
      <c r="AZ30" s="21" t="n">
        <f aca="false">AZ24*Premissas!$D$18*(1-Premissas!$B$12*Premissas!$B$13)</f>
        <v>591754.23564934</v>
      </c>
      <c r="BA30" s="21" t="n">
        <f aca="false">BA24*Premissas!$D$18*(1-Premissas!$B$12*Premissas!$B$13)</f>
        <v>629793.159366284</v>
      </c>
      <c r="BB30" s="21" t="n">
        <f aca="false">BB24*Premissas!$D$18*(1-Premissas!$B$12*Premissas!$B$13)</f>
        <v>667176.733783607</v>
      </c>
      <c r="BC30" s="21" t="n">
        <f aca="false">BC24*Premissas!$D$18*(1-Premissas!$B$12*Premissas!$B$13)</f>
        <v>703915.003637867</v>
      </c>
      <c r="BD30" s="21" t="n">
        <f aca="false">BD24*Premissas!$D$18*(1-Premissas!$B$12*Premissas!$B$13)</f>
        <v>740017.912549358</v>
      </c>
      <c r="BE30" s="21" t="n">
        <f aca="false">BE24*Premissas!$D$18*(1-Premissas!$B$12*Premissas!$B$13)</f>
        <v>775495.301455607</v>
      </c>
      <c r="BF30" s="21" t="n">
        <f aca="false">BF24*Premissas!$D$18*(1-Premissas!$B$12*Premissas!$B$13)</f>
        <v>810356.907215627</v>
      </c>
      <c r="BG30" s="21" t="n">
        <f aca="false">BG24*Premissas!$D$18*(1-Premissas!$B$12*Premissas!$B$13)</f>
        <v>844612.361375769</v>
      </c>
      <c r="BH30" s="21" t="n">
        <f aca="false">BH24*Premissas!$D$18*(1-Premissas!$B$12*Premissas!$B$13)</f>
        <v>878271.189088487</v>
      </c>
      <c r="BI30" s="21" t="n">
        <f aca="false">BI24*Premissas!$D$18*(1-Premissas!$B$12*Premissas!$B$13)</f>
        <v>911342.808175691</v>
      </c>
      <c r="BJ30" s="21" t="n">
        <f aca="false">BJ24*Premissas!$D$18*(1-Premissas!$B$12*Premissas!$B$13)</f>
        <v>943836.528328781</v>
      </c>
    </row>
    <row r="31" customFormat="false" ht="15" hidden="false" customHeight="false" outlineLevel="0" collapsed="false">
      <c r="A31" s="5" t="s">
        <v>236</v>
      </c>
      <c r="C31" s="21" t="n">
        <f aca="false">C25*Premissas!$E$18*(1-Premissas!$B$12*Premissas!$B$13)</f>
        <v>0</v>
      </c>
      <c r="D31" s="21" t="n">
        <f aca="false">D25*Premissas!$E$18*(1-Premissas!$B$12*Premissas!$B$13)</f>
        <v>0</v>
      </c>
      <c r="E31" s="21" t="n">
        <f aca="false">E25*Premissas!$E$18*(1-Premissas!$B$12*Premissas!$B$13)</f>
        <v>0</v>
      </c>
      <c r="F31" s="21" t="n">
        <f aca="false">F25*Premissas!$E$18*(1-Premissas!$B$12*Premissas!$B$13)</f>
        <v>0</v>
      </c>
      <c r="G31" s="21" t="n">
        <f aca="false">G25*Premissas!$E$18*(1-Premissas!$B$12*Premissas!$B$13)</f>
        <v>0</v>
      </c>
      <c r="H31" s="21" t="n">
        <f aca="false">H25*Premissas!$E$18*(1-Premissas!$B$12*Premissas!$B$13)</f>
        <v>0</v>
      </c>
      <c r="I31" s="21" t="n">
        <f aca="false">I25*Premissas!$E$18*(1-Premissas!$B$12*Premissas!$B$13)</f>
        <v>0</v>
      </c>
      <c r="J31" s="21" t="n">
        <f aca="false">J25*Premissas!$E$18*(1-Premissas!$B$12*Premissas!$B$13)</f>
        <v>0</v>
      </c>
      <c r="K31" s="21" t="n">
        <f aca="false">K25*Premissas!$E$18*(1-Premissas!$B$12*Premissas!$B$13)</f>
        <v>0</v>
      </c>
      <c r="L31" s="21" t="n">
        <f aca="false">L25*Premissas!$E$18*(1-Premissas!$B$12*Premissas!$B$13)</f>
        <v>0</v>
      </c>
      <c r="M31" s="21" t="n">
        <f aca="false">M25*Premissas!$E$18*(1-Premissas!$B$12*Premissas!$B$13)</f>
        <v>0</v>
      </c>
      <c r="N31" s="21" t="n">
        <f aca="false">N25*Premissas!$E$18*(1-Premissas!$B$12*Premissas!$B$13)</f>
        <v>0</v>
      </c>
      <c r="O31" s="21" t="n">
        <f aca="false">O25*Premissas!$E$18*(1-Premissas!$B$12*Premissas!$B$13)</f>
        <v>2599.49941078734</v>
      </c>
      <c r="P31" s="21" t="n">
        <f aca="false">P25*Premissas!$E$18*(1-Premissas!$B$12*Premissas!$B$13)</f>
        <v>5152.50875852763</v>
      </c>
      <c r="Q31" s="21" t="n">
        <f aca="false">Q25*Premissas!$E$18*(1-Premissas!$B$12*Premissas!$B$13)</f>
        <v>7659.58194471909</v>
      </c>
      <c r="R31" s="21" t="n">
        <f aca="false">R25*Premissas!$E$18*(1-Premissas!$B$12*Premissas!$B$13)</f>
        <v>10121.2817588143</v>
      </c>
      <c r="S31" s="21" t="n">
        <f aca="false">S25*Premissas!$E$18*(1-Premissas!$B$12*Premissas!$B$13)</f>
        <v>12538.1786832463</v>
      </c>
      <c r="T31" s="21" t="n">
        <f aca="false">T25*Premissas!$E$18*(1-Premissas!$B$12*Premissas!$B$13)</f>
        <v>14910.8497749995</v>
      </c>
      <c r="U31" s="21" t="n">
        <f aca="false">U25*Premissas!$E$18*(1-Premissas!$B$12*Premissas!$B$13)</f>
        <v>17239.8776193851</v>
      </c>
      <c r="V31" s="21" t="n">
        <f aca="false">V25*Premissas!$E$18*(1-Premissas!$B$12*Premissas!$B$13)</f>
        <v>19525.8493519261</v>
      </c>
      <c r="W31" s="21" t="n">
        <f aca="false">W25*Premissas!$E$18*(1-Premissas!$B$12*Premissas!$B$13)</f>
        <v>21769.3557444799</v>
      </c>
      <c r="X31" s="21" t="n">
        <f aca="false">X25*Premissas!$E$18*(1-Premissas!$B$12*Premissas!$B$13)</f>
        <v>23970.9903519424</v>
      </c>
      <c r="Y31" s="21" t="n">
        <f aca="false">Y25*Premissas!$E$18*(1-Premissas!$B$12*Premissas!$B$13)</f>
        <v>26131.3487160827</v>
      </c>
      <c r="Z31" s="21" t="n">
        <f aca="false">Z25*Premissas!$E$18*(1-Premissas!$B$12*Premissas!$B$13)</f>
        <v>28251.0276232434</v>
      </c>
      <c r="AA31" s="21" t="n">
        <f aca="false">AA25*Premissas!$E$18*(1-Premissas!$B$12*Premissas!$B$13)</f>
        <v>42461.9993688021</v>
      </c>
      <c r="AB31" s="21" t="n">
        <f aca="false">AB25*Premissas!$E$18*(1-Premissas!$B$12*Premissas!$B$13)</f>
        <v>56443.3020926491</v>
      </c>
      <c r="AC31" s="21" t="n">
        <f aca="false">AC25*Premissas!$E$18*(1-Premissas!$B$12*Premissas!$B$13)</f>
        <v>70197.4778068899</v>
      </c>
      <c r="AD31" s="21" t="n">
        <f aca="false">AD25*Premissas!$E$18*(1-Premissas!$B$12*Premissas!$B$13)</f>
        <v>83727.0980954383</v>
      </c>
      <c r="AE31" s="21" t="n">
        <f aca="false">AE25*Premissas!$E$18*(1-Premissas!$B$12*Premissas!$B$13)</f>
        <v>97034.7601487792</v>
      </c>
      <c r="AF31" s="21" t="n">
        <f aca="false">AF25*Premissas!$E$18*(1-Premissas!$B$12*Premissas!$B$13)</f>
        <v>110123.08303017</v>
      </c>
      <c r="AG31" s="21" t="n">
        <f aca="false">AG25*Premissas!$E$18*(1-Premissas!$B$12*Premissas!$B$13)</f>
        <v>122994.704161367</v>
      </c>
      <c r="AH31" s="21" t="n">
        <f aca="false">AH25*Premissas!$E$18*(1-Premissas!$B$12*Premissas!$B$13)</f>
        <v>135652.276016563</v>
      </c>
      <c r="AI31" s="21" t="n">
        <f aca="false">AI25*Premissas!$E$18*(1-Premissas!$B$12*Premissas!$B$13)</f>
        <v>148098.463013795</v>
      </c>
      <c r="AJ31" s="21" t="n">
        <f aca="false">AJ25*Premissas!$E$18*(1-Premissas!$B$12*Premissas!$B$13)</f>
        <v>160335.938593623</v>
      </c>
      <c r="AK31" s="21" t="n">
        <f aca="false">AK25*Premissas!$E$18*(1-Premissas!$B$12*Premissas!$B$13)</f>
        <v>172367.382475396</v>
      </c>
      <c r="AL31" s="21" t="n">
        <f aca="false">AL25*Premissas!$E$18*(1-Premissas!$B$12*Premissas!$B$13)</f>
        <v>184195.47808191</v>
      </c>
      <c r="AM31" s="21" t="n">
        <f aca="false">AM25*Premissas!$E$18*(1-Premissas!$B$12*Premissas!$B$13)</f>
        <v>211175.567152373</v>
      </c>
      <c r="AN31" s="21" t="n">
        <f aca="false">AN25*Premissas!$E$18*(1-Premissas!$B$12*Premissas!$B$13)</f>
        <v>237767.122799703</v>
      </c>
      <c r="AO31" s="21" t="n">
        <f aca="false">AO25*Premissas!$E$18*(1-Premissas!$B$12*Premissas!$B$13)</f>
        <v>263973.821694353</v>
      </c>
      <c r="AP31" s="21" t="n">
        <f aca="false">AP25*Premissas!$E$18*(1-Premissas!$B$12*Premissas!$B$13)</f>
        <v>289799.391841981</v>
      </c>
      <c r="AQ31" s="21" t="n">
        <f aca="false">AQ25*Premissas!$E$18*(1-Premissas!$B$12*Premissas!$B$13)</f>
        <v>315247.60720154</v>
      </c>
      <c r="AR31" s="21" t="n">
        <f aca="false">AR25*Premissas!$E$18*(1-Premissas!$B$12*Premissas!$B$13)</f>
        <v>340322.282582677</v>
      </c>
      <c r="AS31" s="21" t="n">
        <f aca="false">AS25*Premissas!$E$18*(1-Premissas!$B$12*Premissas!$B$13)</f>
        <v>365027.268809455</v>
      </c>
      <c r="AT31" s="21" t="n">
        <f aca="false">AT25*Premissas!$E$18*(1-Premissas!$B$12*Premissas!$B$13)</f>
        <v>389366.448137991</v>
      </c>
      <c r="AU31" s="21" t="n">
        <f aca="false">AU25*Premissas!$E$18*(1-Premissas!$B$12*Premissas!$B$13)</f>
        <v>413343.729916188</v>
      </c>
      <c r="AV31" s="21" t="n">
        <f aca="false">AV25*Premissas!$E$18*(1-Premissas!$B$12*Premissas!$B$13)</f>
        <v>436963.046474279</v>
      </c>
      <c r="AW31" s="21" t="n">
        <f aca="false">AW25*Premissas!$E$18*(1-Premissas!$B$12*Premissas!$B$13)</f>
        <v>460228.349235419</v>
      </c>
      <c r="AX31" s="21" t="n">
        <f aca="false">AX25*Premissas!$E$18*(1-Premissas!$B$12*Premissas!$B$13)</f>
        <v>483143.605036049</v>
      </c>
      <c r="AY31" s="21" t="n">
        <f aca="false">AY25*Premissas!$E$18*(1-Premissas!$B$12*Premissas!$B$13)</f>
        <v>526158.743643188</v>
      </c>
      <c r="AZ31" s="21" t="n">
        <f aca="false">AZ25*Premissas!$E$18*(1-Premissas!$B$12*Premissas!$B$13)</f>
        <v>568616.985076108</v>
      </c>
      <c r="BA31" s="21" t="n">
        <f aca="false">BA25*Premissas!$E$18*(1-Premissas!$B$12*Premissas!$B$13)</f>
        <v>610523.138635275</v>
      </c>
      <c r="BB31" s="21" t="n">
        <f aca="false">BB25*Premissas!$E$18*(1-Premissas!$B$12*Premissas!$B$13)</f>
        <v>651882.0669139</v>
      </c>
      <c r="BC31" s="21" t="n">
        <f aca="false">BC25*Premissas!$E$18*(1-Premissas!$B$12*Premissas!$B$13)</f>
        <v>692698.680544317</v>
      </c>
      <c r="BD31" s="21" t="n">
        <f aca="false">BD25*Premissas!$E$18*(1-Premissas!$B$12*Premissas!$B$13)</f>
        <v>732977.933189427</v>
      </c>
      <c r="BE31" s="21" t="n">
        <f aca="false">BE25*Premissas!$E$18*(1-Premissas!$B$12*Premissas!$B$13)</f>
        <v>772724.816768922</v>
      </c>
      <c r="BF31" s="21" t="n">
        <f aca="false">BF25*Premissas!$E$18*(1-Premissas!$B$12*Premissas!$B$13)</f>
        <v>811944.356910468</v>
      </c>
      <c r="BG31" s="21" t="n">
        <f aca="false">BG25*Premissas!$E$18*(1-Premissas!$B$12*Premissas!$B$13)</f>
        <v>850641.608616428</v>
      </c>
      <c r="BH31" s="21" t="n">
        <f aca="false">BH25*Premissas!$E$18*(1-Premissas!$B$12*Premissas!$B$13)</f>
        <v>888821.652137094</v>
      </c>
      <c r="BI31" s="21" t="n">
        <f aca="false">BI25*Premissas!$E$18*(1-Premissas!$B$12*Premissas!$B$13)</f>
        <v>926489.589041777</v>
      </c>
      <c r="BJ31" s="21" t="n">
        <f aca="false">BJ25*Premissas!$E$18*(1-Premissas!$B$12*Premissas!$B$13)</f>
        <v>963650.538479456</v>
      </c>
    </row>
    <row r="32" customFormat="false" ht="15" hidden="false" customHeight="false" outlineLevel="0" collapsed="false">
      <c r="A32" s="18" t="s">
        <v>237</v>
      </c>
      <c r="C32" s="30" t="n">
        <f aca="false">SUM(C28:C31)</f>
        <v>6686.05458119658</v>
      </c>
      <c r="D32" s="30" t="n">
        <f aca="false">SUM(D28:D31)</f>
        <v>13135.2283169615</v>
      </c>
      <c r="E32" s="30" t="n">
        <f aca="false">SUM(E28:E31)</f>
        <v>19356.4780239996</v>
      </c>
      <c r="F32" s="30" t="n">
        <f aca="false">SUM(F28:F31)</f>
        <v>25358.3904382995</v>
      </c>
      <c r="G32" s="30" t="n">
        <f aca="false">SUM(G28:G31)</f>
        <v>31149.1991662881</v>
      </c>
      <c r="H32" s="30" t="n">
        <f aca="false">SUM(H28:H31)</f>
        <v>36736.8007784923</v>
      </c>
      <c r="I32" s="30" t="n">
        <f aca="false">SUM(I28:I31)</f>
        <v>42128.7700926824</v>
      </c>
      <c r="J32" s="30" t="n">
        <f aca="false">SUM(J28:J31)</f>
        <v>47332.3746907548</v>
      </c>
      <c r="K32" s="30" t="n">
        <f aca="false">SUM(K28:K31)</f>
        <v>52354.5887110526</v>
      </c>
      <c r="L32" s="30" t="n">
        <f aca="false">SUM(L28:L31)</f>
        <v>57202.1059554226</v>
      </c>
      <c r="M32" s="30" t="n">
        <f aca="false">SUM(M28:M31)</f>
        <v>61881.3523480441</v>
      </c>
      <c r="N32" s="30" t="n">
        <f aca="false">SUM(N28:N31)</f>
        <v>66398.4977809438</v>
      </c>
      <c r="O32" s="30" t="n">
        <f aca="false">SUM(O28:O31)</f>
        <v>88009.0737215737</v>
      </c>
      <c r="P32" s="30" t="n">
        <f aca="false">SUM(P28:P31)</f>
        <v>108990.373808227</v>
      </c>
      <c r="Q32" s="30" t="n">
        <f aca="false">SUM(Q28:Q31)</f>
        <v>129361.878713205</v>
      </c>
      <c r="R32" s="30" t="n">
        <f aca="false">SUM(R28:R31)</f>
        <v>149142.408778983</v>
      </c>
      <c r="S32" s="30" t="n">
        <f aca="false">SUM(S28:S31)</f>
        <v>168350.149198869</v>
      </c>
      <c r="T32" s="30" t="n">
        <f aca="false">SUM(T28:T31)</f>
        <v>187002.674108666</v>
      </c>
      <c r="U32" s="30" t="n">
        <f aca="false">SUM(U28:U31)</f>
        <v>205116.969641799</v>
      </c>
      <c r="V32" s="30" t="n">
        <f aca="false">SUM(V28:V31)</f>
        <v>222709.455997671</v>
      </c>
      <c r="W32" s="30" t="n">
        <f aca="false">SUM(W28:W31)</f>
        <v>239796.00857042</v>
      </c>
      <c r="X32" s="30" t="n">
        <f aca="false">SUM(X28:X31)</f>
        <v>256391.978182782</v>
      </c>
      <c r="Y32" s="30" t="n">
        <f aca="false">SUM(Y28:Y31)</f>
        <v>272512.210467503</v>
      </c>
      <c r="Z32" s="30" t="n">
        <f aca="false">SUM(Z28:Z31)</f>
        <v>288171.064436518</v>
      </c>
      <c r="AA32" s="30" t="n">
        <f aca="false">SUM(AA28:AA31)</f>
        <v>343800.814282568</v>
      </c>
      <c r="AB32" s="30" t="n">
        <f aca="false">SUM(AB28:AB31)</f>
        <v>398092.906000945</v>
      </c>
      <c r="AC32" s="30" t="n">
        <f aca="false">SUM(AC28:AC31)</f>
        <v>451081.123799781</v>
      </c>
      <c r="AD32" s="30" t="n">
        <f aca="false">SUM(AD28:AD31)</f>
        <v>502798.326457633</v>
      </c>
      <c r="AE32" s="30" t="n">
        <f aca="false">SUM(AE28:AE31)</f>
        <v>553276.475955124</v>
      </c>
      <c r="AF32" s="30" t="n">
        <f aca="false">SUM(AF28:AF31)</f>
        <v>602546.665076742</v>
      </c>
      <c r="AG32" s="30" t="n">
        <f aca="false">SUM(AG28:AG31)</f>
        <v>650639.144025637</v>
      </c>
      <c r="AH32" s="30" t="n">
        <f aca="false">SUM(AH28:AH31)</f>
        <v>697583.3460922</v>
      </c>
      <c r="AI32" s="30" t="n">
        <f aca="false">SUM(AI28:AI31)</f>
        <v>743407.912415418</v>
      </c>
      <c r="AJ32" s="30" t="n">
        <f aca="false">SUM(AJ28:AJ31)</f>
        <v>788140.715874111</v>
      </c>
      <c r="AK32" s="30" t="n">
        <f aca="false">SUM(AK28:AK31)</f>
        <v>831808.884143525</v>
      </c>
      <c r="AL32" s="30" t="n">
        <f aca="false">SUM(AL28:AL31)</f>
        <v>874438.821951107</v>
      </c>
      <c r="AM32" s="30" t="n">
        <f aca="false">SUM(AM28:AM31)</f>
        <v>968105.852934383</v>
      </c>
      <c r="AN32" s="30" t="n">
        <f aca="false">SUM(AN28:AN31)</f>
        <v>1059802.24240023</v>
      </c>
      <c r="AO32" s="30" t="n">
        <f aca="false">SUM(AO28:AO31)</f>
        <v>1149571.09826662</v>
      </c>
      <c r="AP32" s="30" t="n">
        <f aca="false">SUM(AP28:AP31)</f>
        <v>1237454.51773924</v>
      </c>
      <c r="AQ32" s="30" t="n">
        <f aca="false">SUM(AQ28:AQ31)</f>
        <v>1323493.61388771</v>
      </c>
      <c r="AR32" s="30" t="n">
        <f aca="false">SUM(AR28:AR31)</f>
        <v>1407728.54140349</v>
      </c>
      <c r="AS32" s="30" t="n">
        <f aca="false">SUM(AS28:AS31)</f>
        <v>1490198.52156898</v>
      </c>
      <c r="AT32" s="30" t="n">
        <f aca="false">SUM(AT28:AT31)</f>
        <v>1570941.86646668</v>
      </c>
      <c r="AU32" s="30" t="n">
        <f aca="false">SUM(AU28:AU31)</f>
        <v>1649996.00245537</v>
      </c>
      <c r="AV32" s="30" t="n">
        <f aca="false">SUM(AV28:AV31)</f>
        <v>1727397.49293994</v>
      </c>
      <c r="AW32" s="30" t="n">
        <f aca="false">SUM(AW28:AW31)</f>
        <v>1803182.06045974</v>
      </c>
      <c r="AX32" s="30" t="n">
        <f aca="false">SUM(AX28:AX31)</f>
        <v>1877384.60811967</v>
      </c>
      <c r="AY32" s="30" t="n">
        <f aca="false">SUM(AY28:AY31)</f>
        <v>2012995.74659482</v>
      </c>
      <c r="AZ32" s="30" t="n">
        <f aca="false">SUM(AZ28:AZ31)</f>
        <v>2146129.27115629</v>
      </c>
      <c r="BA32" s="30" t="n">
        <f aca="false">SUM(BA28:BA31)</f>
        <v>2276831.51937842</v>
      </c>
      <c r="BB32" s="30" t="n">
        <f aca="false">SUM(BB28:BB31)</f>
        <v>2405147.92166103</v>
      </c>
      <c r="BC32" s="30" t="n">
        <f aca="false">SUM(BC28:BC31)</f>
        <v>2531123.02061483</v>
      </c>
      <c r="BD32" s="30" t="n">
        <f aca="false">SUM(BD28:BD31)</f>
        <v>2654800.48996718</v>
      </c>
      <c r="BE32" s="30" t="n">
        <f aca="false">SUM(BE28:BE31)</f>
        <v>2776223.1530027</v>
      </c>
      <c r="BF32" s="30" t="n">
        <f aca="false">SUM(BF28:BF31)</f>
        <v>2895433.0005525</v>
      </c>
      <c r="BG32" s="30" t="n">
        <f aca="false">SUM(BG28:BG31)</f>
        <v>3012471.20854535</v>
      </c>
      <c r="BH32" s="30" t="n">
        <f aca="false">SUM(BH28:BH31)</f>
        <v>3127378.1551337</v>
      </c>
      <c r="BI32" s="30" t="n">
        <f aca="false">SUM(BI28:BI31)</f>
        <v>3240193.43740689</v>
      </c>
      <c r="BJ32" s="30" t="n">
        <f aca="false">SUM(BJ28:BJ31)</f>
        <v>3350955.8877036</v>
      </c>
    </row>
    <row r="33" customFormat="false" ht="15" hidden="false" customHeight="false" outlineLevel="0" collapsed="false">
      <c r="A33" s="5" t="s">
        <v>124</v>
      </c>
      <c r="C33" s="21" t="n">
        <f aca="false">C14*Premissas!$B$19+C15*Premissas!$C$19+C16*Premissas!$D$19+C17*Premissas!$E$19</f>
        <v>3903.37094017094</v>
      </c>
      <c r="D33" s="21" t="n">
        <f aca="false">D14*Premissas!$B$19+D15*Premissas!$C$19+D16*Premissas!$D$19+D17*Premissas!$E$19</f>
        <v>3930.69453675214</v>
      </c>
      <c r="E33" s="21" t="n">
        <f aca="false">E14*Premissas!$B$19+E15*Premissas!$C$19+E16*Premissas!$D$19+E17*Premissas!$E$19</f>
        <v>3956.87737317607</v>
      </c>
      <c r="F33" s="21" t="n">
        <f aca="false">F14*Premissas!$B$19+F15*Premissas!$C$19+F16*Premissas!$D$19+F17*Premissas!$E$19</f>
        <v>3981.97198247261</v>
      </c>
      <c r="G33" s="21" t="n">
        <f aca="false">G14*Premissas!$B$19+G15*Premissas!$C$19+G16*Premissas!$D$19+G17*Premissas!$E$19</f>
        <v>4006.02823788687</v>
      </c>
      <c r="H33" s="21" t="n">
        <f aca="false">H14*Premissas!$B$19+H15*Premissas!$C$19+H16*Premissas!$D$19+H17*Premissas!$E$19</f>
        <v>4029.09349833391</v>
      </c>
      <c r="I33" s="21" t="n">
        <f aca="false">I14*Premissas!$B$19+I15*Premissas!$C$19+I16*Premissas!$D$19+I17*Premissas!$E$19</f>
        <v>4051.2127454559</v>
      </c>
      <c r="J33" s="21" t="n">
        <f aca="false">J14*Premissas!$B$19+J15*Premissas!$C$19+J16*Premissas!$D$19+J17*Premissas!$E$19</f>
        <v>4072.42871278363</v>
      </c>
      <c r="K33" s="21" t="n">
        <f aca="false">K14*Premissas!$B$19+K15*Premissas!$C$19+K16*Premissas!$D$19+K17*Premissas!$E$19</f>
        <v>4092.78200747329</v>
      </c>
      <c r="L33" s="21" t="n">
        <f aca="false">L14*Premissas!$B$19+L15*Premissas!$C$19+L16*Premissas!$D$19+L17*Premissas!$E$19</f>
        <v>4112.31122506126</v>
      </c>
      <c r="M33" s="21" t="n">
        <f aca="false">M14*Premissas!$B$19+M15*Premissas!$C$19+M16*Premissas!$D$19+M17*Premissas!$E$19</f>
        <v>4131.05305765219</v>
      </c>
      <c r="N33" s="21" t="n">
        <f aca="false">N14*Premissas!$B$19+N15*Premissas!$C$19+N16*Premissas!$D$19+N17*Premissas!$E$19</f>
        <v>4149.04239593075</v>
      </c>
      <c r="O33" s="21" t="n">
        <f aca="false">O14*Premissas!$B$19+O15*Premissas!$C$19+O16*Premissas!$D$19+O17*Premissas!$E$19</f>
        <v>15065.1617081071</v>
      </c>
      <c r="P33" s="21" t="n">
        <f aca="false">P14*Premissas!$B$19+P15*Premissas!$C$19+P16*Premissas!$D$19+P17*Premissas!$E$19</f>
        <v>15156.0914566132</v>
      </c>
      <c r="Q33" s="21" t="n">
        <f aca="false">Q14*Premissas!$B$19+Q15*Premissas!$C$19+Q16*Premissas!$D$19+Q17*Premissas!$E$19</f>
        <v>15243.7865509695</v>
      </c>
      <c r="R33" s="21" t="n">
        <f aca="false">R14*Premissas!$B$19+R15*Premissas!$C$19+R16*Premissas!$D$19+R17*Premissas!$E$19</f>
        <v>15328.3752857523</v>
      </c>
      <c r="S33" s="21" t="n">
        <f aca="false">S14*Premissas!$B$19+S15*Premissas!$C$19+S16*Premissas!$D$19+S17*Premissas!$E$19</f>
        <v>15409.9802622799</v>
      </c>
      <c r="T33" s="21" t="n">
        <f aca="false">T14*Premissas!$B$19+T15*Premissas!$C$19+T16*Premissas!$D$19+T17*Premissas!$E$19</f>
        <v>15488.7186665621</v>
      </c>
      <c r="U33" s="21" t="n">
        <f aca="false">U14*Premissas!$B$19+U15*Premissas!$C$19+U16*Premissas!$D$19+U17*Premissas!$E$19</f>
        <v>15564.7025327191</v>
      </c>
      <c r="V33" s="21" t="n">
        <f aca="false">V14*Premissas!$B$19+V15*Premissas!$C$19+V16*Premissas!$D$19+V17*Premissas!$E$19</f>
        <v>15638.0389926625</v>
      </c>
      <c r="W33" s="21" t="n">
        <f aca="false">W14*Premissas!$B$19+W15*Premissas!$C$19+W16*Premissas!$D$19+W17*Premissas!$E$19</f>
        <v>15708.8305127892</v>
      </c>
      <c r="X33" s="21" t="n">
        <f aca="false">X14*Premissas!$B$19+X15*Premissas!$C$19+X16*Premissas!$D$19+X17*Premissas!$E$19</f>
        <v>15777.1751183919</v>
      </c>
      <c r="Y33" s="21" t="n">
        <f aca="false">Y14*Premissas!$B$19+Y15*Premissas!$C$19+Y16*Premissas!$D$19+Y17*Premissas!$E$19</f>
        <v>15843.1666064569</v>
      </c>
      <c r="Z33" s="21" t="n">
        <f aca="false">Z14*Premissas!$B$19+Z15*Premissas!$C$19+Z16*Premissas!$D$19+Z17*Premissas!$E$19</f>
        <v>15906.8947474774</v>
      </c>
      <c r="AA33" s="21" t="n">
        <f aca="false">AA14*Premissas!$B$19+AA15*Premissas!$C$19+AA16*Premissas!$D$19+AA17*Premissas!$E$19</f>
        <v>42891.1025564642</v>
      </c>
      <c r="AB33" s="21" t="n">
        <f aca="false">AB14*Premissas!$B$19+AB15*Premissas!$C$19+AB16*Premissas!$D$19+AB17*Premissas!$E$19</f>
        <v>43131.2936735048</v>
      </c>
      <c r="AC33" s="21" t="n">
        <f aca="false">AC14*Premissas!$B$19+AC15*Premissas!$C$19+AC16*Premissas!$D$19+AC17*Premissas!$E$19</f>
        <v>43364.2204226424</v>
      </c>
      <c r="AD33" s="21" t="n">
        <f aca="false">AD14*Premissas!$B$19+AD15*Premissas!$C$19+AD16*Premissas!$D$19+AD17*Premissas!$E$19</f>
        <v>43590.1300767839</v>
      </c>
      <c r="AE33" s="21" t="n">
        <f aca="false">AE14*Premissas!$B$19+AE15*Premissas!$C$19+AE16*Premissas!$D$19+AE17*Premissas!$E$19</f>
        <v>43809.2603245084</v>
      </c>
      <c r="AF33" s="21" t="n">
        <f aca="false">AF14*Premissas!$B$19+AF15*Premissas!$C$19+AF16*Premissas!$D$19+AF17*Premissas!$E$19</f>
        <v>44021.8396869852</v>
      </c>
      <c r="AG33" s="21" t="n">
        <f aca="false">AG14*Premissas!$B$19+AG15*Premissas!$C$19+AG16*Premissas!$D$19+AG17*Premissas!$E$19</f>
        <v>44228.0879151635</v>
      </c>
      <c r="AH33" s="21" t="n">
        <f aca="false">AH14*Premissas!$B$19+AH15*Premissas!$C$19+AH16*Premissas!$D$19+AH17*Premissas!$E$19</f>
        <v>44428.2163682174</v>
      </c>
      <c r="AI33" s="21" t="n">
        <f aca="false">AI14*Premissas!$B$19+AI15*Premissas!$C$19+AI16*Premissas!$D$19+AI17*Premissas!$E$19</f>
        <v>44622.4283741813</v>
      </c>
      <c r="AJ33" s="21" t="n">
        <f aca="false">AJ14*Premissas!$B$19+AJ15*Premissas!$C$19+AJ16*Premissas!$D$19+AJ17*Premissas!$E$19</f>
        <v>44810.9195736596</v>
      </c>
      <c r="AK33" s="21" t="n">
        <f aca="false">AK14*Premissas!$B$19+AK15*Premissas!$C$19+AK16*Premissas!$D$19+AK17*Premissas!$E$19</f>
        <v>44993.8782474527</v>
      </c>
      <c r="AL33" s="21" t="n">
        <f aca="false">AL14*Premissas!$B$19+AL15*Premissas!$C$19+AL16*Premissas!$D$19+AL17*Premissas!$E$19</f>
        <v>45171.4856288952</v>
      </c>
      <c r="AM33" s="21" t="n">
        <f aca="false">AM14*Premissas!$B$19+AM15*Premissas!$C$19+AM16*Premissas!$D$19+AM17*Premissas!$E$19</f>
        <v>79346.4183016047</v>
      </c>
      <c r="AN33" s="21" t="n">
        <f aca="false">AN14*Premissas!$B$19+AN15*Premissas!$C$19+AN16*Premissas!$D$19+AN17*Premissas!$E$19</f>
        <v>79753.888601611</v>
      </c>
      <c r="AO33" s="21" t="n">
        <f aca="false">AO14*Premissas!$B$19+AO15*Premissas!$C$19+AO16*Premissas!$D$19+AO17*Premissas!$E$19</f>
        <v>80150.534017885</v>
      </c>
      <c r="AP33" s="21" t="n">
        <f aca="false">AP14*Premissas!$B$19+AP15*Premissas!$C$19+AP16*Premissas!$D$19+AP17*Premissas!$E$19</f>
        <v>80536.6795208291</v>
      </c>
      <c r="AQ33" s="21" t="n">
        <f aca="false">AQ14*Premissas!$B$19+AQ15*Premissas!$C$19+AQ16*Premissas!$D$19+AQ17*Premissas!$E$19</f>
        <v>80912.6388605111</v>
      </c>
      <c r="AR33" s="21" t="n">
        <f aca="false">AR14*Premissas!$B$19+AR15*Premissas!$C$19+AR16*Premissas!$D$19+AR17*Premissas!$E$19</f>
        <v>81278.7150068166</v>
      </c>
      <c r="AS33" s="21" t="n">
        <f aca="false">AS14*Premissas!$B$19+AS15*Premissas!$C$19+AS16*Premissas!$D$19+AS17*Premissas!$E$19</f>
        <v>81635.2005706345</v>
      </c>
      <c r="AT33" s="21" t="n">
        <f aca="false">AT14*Premissas!$B$19+AT15*Premissas!$C$19+AT16*Premissas!$D$19+AT17*Premissas!$E$19</f>
        <v>81982.3782069421</v>
      </c>
      <c r="AU33" s="21" t="n">
        <f aca="false">AU14*Premissas!$B$19+AU15*Premissas!$C$19+AU16*Premissas!$D$19+AU17*Premissas!$E$19</f>
        <v>82320.5210006158</v>
      </c>
      <c r="AV33" s="21" t="n">
        <f aca="false">AV14*Premissas!$B$19+AV15*Premissas!$C$19+AV16*Premissas!$D$19+AV17*Premissas!$E$19</f>
        <v>82649.892835754</v>
      </c>
      <c r="AW33" s="21" t="n">
        <f aca="false">AW14*Premissas!$B$19+AW15*Premissas!$C$19+AW16*Premissas!$D$19+AW17*Premissas!$E$19</f>
        <v>82970.748749262</v>
      </c>
      <c r="AX33" s="21" t="n">
        <f aca="false">AX14*Premissas!$B$19+AX15*Premissas!$C$19+AX16*Premissas!$D$19+AX17*Premissas!$E$19</f>
        <v>83283.335269414</v>
      </c>
      <c r="AY33" s="21" t="n">
        <f aca="false">AY14*Premissas!$B$19+AY15*Premissas!$C$19+AY16*Premissas!$D$19+AY17*Premissas!$E$19</f>
        <v>124930.823954593</v>
      </c>
      <c r="AZ33" s="21" t="n">
        <f aca="false">AZ14*Premissas!$B$19+AZ15*Premissas!$C$19+AZ16*Premissas!$D$19+AZ17*Premissas!$E$19</f>
        <v>125517.626615859</v>
      </c>
      <c r="BA33" s="21" t="n">
        <f aca="false">BA14*Premissas!$B$19+BA15*Premissas!$C$19+BA16*Premissas!$D$19+BA17*Premissas!$E$19</f>
        <v>126091.0663396</v>
      </c>
      <c r="BB33" s="21" t="n">
        <f aca="false">BB14*Premissas!$B$19+BB15*Premissas!$C$19+BB16*Premissas!$D$19+BB17*Premissas!$E$19</f>
        <v>126651.486283402</v>
      </c>
      <c r="BC33" s="21" t="n">
        <f aca="false">BC14*Premissas!$B$19+BC15*Premissas!$C$19+BC16*Premissas!$D$19+BC17*Premissas!$E$19</f>
        <v>127199.219370614</v>
      </c>
      <c r="BD33" s="21" t="n">
        <f aca="false">BD14*Premissas!$B$19+BD15*Premissas!$C$19+BD16*Premissas!$D$19+BD17*Premissas!$E$19</f>
        <v>127734.588643883</v>
      </c>
      <c r="BE33" s="21" t="n">
        <f aca="false">BE14*Premissas!$B$19+BE15*Premissas!$C$19+BE16*Premissas!$D$19+BE17*Premissas!$E$19</f>
        <v>128257.907605016</v>
      </c>
      <c r="BF33" s="21" t="n">
        <f aca="false">BF14*Premissas!$B$19+BF15*Premissas!$C$19+BF16*Premissas!$D$19+BF17*Premissas!$E$19</f>
        <v>128769.480541731</v>
      </c>
      <c r="BG33" s="21" t="n">
        <f aca="false">BG14*Premissas!$B$19+BG15*Premissas!$C$19+BG16*Premissas!$D$19+BG17*Premissas!$E$19</f>
        <v>129269.602841847</v>
      </c>
      <c r="BH33" s="21" t="n">
        <f aca="false">BH14*Premissas!$B$19+BH15*Premissas!$C$19+BH16*Premissas!$D$19+BH17*Premissas!$E$19</f>
        <v>129758.56129543</v>
      </c>
      <c r="BI33" s="21" t="n">
        <f aca="false">BI14*Premissas!$B$19+BI15*Premissas!$C$19+BI16*Premissas!$D$19+BI17*Premissas!$E$19</f>
        <v>130236.634385391</v>
      </c>
      <c r="BJ33" s="21" t="n">
        <f aca="false">BJ14*Premissas!$B$19+BJ15*Premissas!$C$19+BJ16*Premissas!$D$19+BJ17*Premissas!$E$19</f>
        <v>130704.092567023</v>
      </c>
    </row>
    <row r="34" customFormat="false" ht="15" hidden="false" customHeight="false" outlineLevel="0" collapsed="false">
      <c r="A34" s="5" t="s">
        <v>125</v>
      </c>
      <c r="C34" s="21" t="n">
        <f aca="false">C32*INDEX(Premissas!$B$39:$F$39,C$4)*INDEX(Premissas!$B$50:$D$50,$B$2)</f>
        <v>234.01191034188</v>
      </c>
      <c r="D34" s="21" t="n">
        <f aca="false">D32*INDEX(Premissas!$B$39:$F$39,D$4)*INDEX(Premissas!$B$50:$D$50,$B$2)</f>
        <v>459.732991093654</v>
      </c>
      <c r="E34" s="21" t="n">
        <f aca="false">E32*INDEX(Premissas!$B$39:$F$39,E$4)*INDEX(Premissas!$B$50:$D$50,$B$2)</f>
        <v>677.476730839986</v>
      </c>
      <c r="F34" s="21" t="n">
        <f aca="false">F32*INDEX(Premissas!$B$39:$F$39,F$4)*INDEX(Premissas!$B$50:$D$50,$B$2)</f>
        <v>887.543665340481</v>
      </c>
      <c r="G34" s="21" t="n">
        <f aca="false">G32*INDEX(Premissas!$B$39:$F$39,G$4)*INDEX(Premissas!$B$50:$D$50,$B$2)</f>
        <v>1090.22197082008</v>
      </c>
      <c r="H34" s="21" t="n">
        <f aca="false">H32*INDEX(Premissas!$B$39:$F$39,H$4)*INDEX(Premissas!$B$50:$D$50,$B$2)</f>
        <v>1285.78802724723</v>
      </c>
      <c r="I34" s="21" t="n">
        <f aca="false">I32*INDEX(Premissas!$B$39:$F$39,I$4)*INDEX(Premissas!$B$50:$D$50,$B$2)</f>
        <v>1474.50695324389</v>
      </c>
      <c r="J34" s="21" t="n">
        <f aca="false">J32*INDEX(Premissas!$B$39:$F$39,J$4)*INDEX(Premissas!$B$50:$D$50,$B$2)</f>
        <v>1656.63311417642</v>
      </c>
      <c r="K34" s="21" t="n">
        <f aca="false">K32*INDEX(Premissas!$B$39:$F$39,K$4)*INDEX(Premissas!$B$50:$D$50,$B$2)</f>
        <v>1832.41060488684</v>
      </c>
      <c r="L34" s="21" t="n">
        <f aca="false">L32*INDEX(Premissas!$B$39:$F$39,L$4)*INDEX(Premissas!$B$50:$D$50,$B$2)</f>
        <v>2002.07370843979</v>
      </c>
      <c r="M34" s="21" t="n">
        <f aca="false">M32*INDEX(Premissas!$B$39:$F$39,M$4)*INDEX(Premissas!$B$50:$D$50,$B$2)</f>
        <v>2165.84733218154</v>
      </c>
      <c r="N34" s="21" t="n">
        <f aca="false">N32*INDEX(Premissas!$B$39:$F$39,N$4)*INDEX(Premissas!$B$50:$D$50,$B$2)</f>
        <v>2323.94742233303</v>
      </c>
      <c r="O34" s="21" t="n">
        <f aca="false">O32*INDEX(Premissas!$B$39:$F$39,O$4)*INDEX(Premissas!$B$50:$D$50,$B$2)</f>
        <v>4928.50812840813</v>
      </c>
      <c r="P34" s="21" t="n">
        <f aca="false">P32*INDEX(Premissas!$B$39:$F$39,P$4)*INDEX(Premissas!$B$50:$D$50,$B$2)</f>
        <v>6103.46093326074</v>
      </c>
      <c r="Q34" s="21" t="n">
        <f aca="false">Q32*INDEX(Premissas!$B$39:$F$39,Q$4)*INDEX(Premissas!$B$50:$D$50,$B$2)</f>
        <v>7244.26520793951</v>
      </c>
      <c r="R34" s="21" t="n">
        <f aca="false">R32*INDEX(Premissas!$B$39:$F$39,R$4)*INDEX(Premissas!$B$50:$D$50,$B$2)</f>
        <v>8351.97489162304</v>
      </c>
      <c r="S34" s="21" t="n">
        <f aca="false">S32*INDEX(Premissas!$B$39:$F$39,S$4)*INDEX(Premissas!$B$50:$D$50,$B$2)</f>
        <v>9427.60835513669</v>
      </c>
      <c r="T34" s="21" t="n">
        <f aca="false">T32*INDEX(Premissas!$B$39:$F$39,T$4)*INDEX(Premissas!$B$50:$D$50,$B$2)</f>
        <v>10472.1497500853</v>
      </c>
      <c r="U34" s="21" t="n">
        <f aca="false">U32*INDEX(Premissas!$B$39:$F$39,U$4)*INDEX(Premissas!$B$50:$D$50,$B$2)</f>
        <v>11486.5502999407</v>
      </c>
      <c r="V34" s="21" t="n">
        <f aca="false">V32*INDEX(Premissas!$B$39:$F$39,V$4)*INDEX(Premissas!$B$50:$D$50,$B$2)</f>
        <v>12471.7295358696</v>
      </c>
      <c r="W34" s="21" t="n">
        <f aca="false">W32*INDEX(Premissas!$B$39:$F$39,W$4)*INDEX(Premissas!$B$50:$D$50,$B$2)</f>
        <v>13428.5764799435</v>
      </c>
      <c r="X34" s="21" t="n">
        <f aca="false">X32*INDEX(Premissas!$B$39:$F$39,X$4)*INDEX(Premissas!$B$50:$D$50,$B$2)</f>
        <v>14357.9507782358</v>
      </c>
      <c r="Y34" s="21" t="n">
        <f aca="false">Y32*INDEX(Premissas!$B$39:$F$39,Y$4)*INDEX(Premissas!$B$50:$D$50,$B$2)</f>
        <v>15260.6837861802</v>
      </c>
      <c r="Z34" s="21" t="n">
        <f aca="false">Z32*INDEX(Premissas!$B$39:$F$39,Z$4)*INDEX(Premissas!$B$50:$D$50,$B$2)</f>
        <v>16137.579608445</v>
      </c>
      <c r="AA34" s="21" t="n">
        <f aca="false">AA32*INDEX(Premissas!$B$39:$F$39,AA$4)*INDEX(Premissas!$B$50:$D$50,$B$2)</f>
        <v>26472.6626997578</v>
      </c>
      <c r="AB34" s="21" t="n">
        <f aca="false">AB32*INDEX(Premissas!$B$39:$F$39,AB$4)*INDEX(Premissas!$B$50:$D$50,$B$2)</f>
        <v>30653.1537620728</v>
      </c>
      <c r="AC34" s="21" t="n">
        <f aca="false">AC32*INDEX(Premissas!$B$39:$F$39,AC$4)*INDEX(Premissas!$B$50:$D$50,$B$2)</f>
        <v>34733.2465325831</v>
      </c>
      <c r="AD34" s="21" t="n">
        <f aca="false">AD32*INDEX(Premissas!$B$39:$F$39,AD$4)*INDEX(Premissas!$B$50:$D$50,$B$2)</f>
        <v>38715.4711372378</v>
      </c>
      <c r="AE34" s="21" t="n">
        <f aca="false">AE32*INDEX(Premissas!$B$39:$F$39,AE$4)*INDEX(Premissas!$B$50:$D$50,$B$2)</f>
        <v>42602.2886485445</v>
      </c>
      <c r="AF34" s="21" t="n">
        <f aca="false">AF32*INDEX(Premissas!$B$39:$F$39,AF$4)*INDEX(Premissas!$B$50:$D$50,$B$2)</f>
        <v>46396.0932109092</v>
      </c>
      <c r="AG34" s="21" t="n">
        <f aca="false">AG32*INDEX(Premissas!$B$39:$F$39,AG$4)*INDEX(Premissas!$B$50:$D$50,$B$2)</f>
        <v>50099.214089974</v>
      </c>
      <c r="AH34" s="21" t="n">
        <f aca="false">AH32*INDEX(Premissas!$B$39:$F$39,AH$4)*INDEX(Premissas!$B$50:$D$50,$B$2)</f>
        <v>53713.9176490994</v>
      </c>
      <c r="AI34" s="21" t="n">
        <f aca="false">AI32*INDEX(Premissas!$B$39:$F$39,AI$4)*INDEX(Premissas!$B$50:$D$50,$B$2)</f>
        <v>57242.4092559872</v>
      </c>
      <c r="AJ34" s="21" t="n">
        <f aca="false">AJ32*INDEX(Premissas!$B$39:$F$39,AJ$4)*INDEX(Premissas!$B$50:$D$50,$B$2)</f>
        <v>60686.8351223065</v>
      </c>
      <c r="AK34" s="21" t="n">
        <f aca="false">AK32*INDEX(Premissas!$B$39:$F$39,AK$4)*INDEX(Premissas!$B$50:$D$50,$B$2)</f>
        <v>64049.2840790514</v>
      </c>
      <c r="AL34" s="21" t="n">
        <f aca="false">AL32*INDEX(Premissas!$B$39:$F$39,AL$4)*INDEX(Premissas!$B$50:$D$50,$B$2)</f>
        <v>67331.7892902353</v>
      </c>
      <c r="AM34" s="21" t="n">
        <f aca="false">AM32*INDEX(Premissas!$B$39:$F$39,AM$4)*INDEX(Premissas!$B$50:$D$50,$B$2)</f>
        <v>88097.6326170289</v>
      </c>
      <c r="AN34" s="21" t="n">
        <f aca="false">AN32*INDEX(Premissas!$B$39:$F$39,AN$4)*INDEX(Premissas!$B$50:$D$50,$B$2)</f>
        <v>96442.0040584205</v>
      </c>
      <c r="AO34" s="21" t="n">
        <f aca="false">AO32*INDEX(Premissas!$B$39:$F$39,AO$4)*INDEX(Premissas!$B$50:$D$50,$B$2)</f>
        <v>104610.969942262</v>
      </c>
      <c r="AP34" s="21" t="n">
        <f aca="false">AP32*INDEX(Premissas!$B$39:$F$39,AP$4)*INDEX(Premissas!$B$50:$D$50,$B$2)</f>
        <v>112608.361114271</v>
      </c>
      <c r="AQ34" s="21" t="n">
        <f aca="false">AQ32*INDEX(Premissas!$B$39:$F$39,AQ$4)*INDEX(Premissas!$B$50:$D$50,$B$2)</f>
        <v>120437.918863782</v>
      </c>
      <c r="AR34" s="21" t="n">
        <f aca="false">AR32*INDEX(Premissas!$B$39:$F$39,AR$4)*INDEX(Premissas!$B$50:$D$50,$B$2)</f>
        <v>128103.297267717</v>
      </c>
      <c r="AS34" s="21" t="n">
        <f aca="false">AS32*INDEX(Premissas!$B$39:$F$39,AS$4)*INDEX(Premissas!$B$50:$D$50,$B$2)</f>
        <v>135608.065462778</v>
      </c>
      <c r="AT34" s="21" t="n">
        <f aca="false">AT32*INDEX(Premissas!$B$39:$F$39,AT$4)*INDEX(Premissas!$B$50:$D$50,$B$2)</f>
        <v>142955.709848468</v>
      </c>
      <c r="AU34" s="21" t="n">
        <f aca="false">AU32*INDEX(Premissas!$B$39:$F$39,AU$4)*INDEX(Premissas!$B$50:$D$50,$B$2)</f>
        <v>150149.636223439</v>
      </c>
      <c r="AV34" s="21" t="n">
        <f aca="false">AV32*INDEX(Premissas!$B$39:$F$39,AV$4)*INDEX(Premissas!$B$50:$D$50,$B$2)</f>
        <v>157193.171857535</v>
      </c>
      <c r="AW34" s="21" t="n">
        <f aca="false">AW32*INDEX(Premissas!$B$39:$F$39,AW$4)*INDEX(Premissas!$B$50:$D$50,$B$2)</f>
        <v>164089.567501836</v>
      </c>
      <c r="AX34" s="21" t="n">
        <f aca="false">AX32*INDEX(Premissas!$B$39:$F$39,AX$4)*INDEX(Premissas!$B$50:$D$50,$B$2)</f>
        <v>170841.99933889</v>
      </c>
      <c r="AY34" s="21" t="n">
        <f aca="false">AY32*INDEX(Premissas!$B$39:$F$39,AY$4)*INDEX(Premissas!$B$50:$D$50,$B$2)</f>
        <v>211364.553392456</v>
      </c>
      <c r="AZ34" s="21" t="n">
        <f aca="false">AZ32*INDEX(Premissas!$B$39:$F$39,AZ$4)*INDEX(Premissas!$B$50:$D$50,$B$2)</f>
        <v>225343.573471411</v>
      </c>
      <c r="BA34" s="21" t="n">
        <f aca="false">BA32*INDEX(Premissas!$B$39:$F$39,BA$4)*INDEX(Premissas!$B$50:$D$50,$B$2)</f>
        <v>239067.309534734</v>
      </c>
      <c r="BB34" s="21" t="n">
        <f aca="false">BB32*INDEX(Premissas!$B$39:$F$39,BB$4)*INDEX(Premissas!$B$50:$D$50,$B$2)</f>
        <v>252540.531774408</v>
      </c>
      <c r="BC34" s="21" t="n">
        <f aca="false">BC32*INDEX(Premissas!$B$39:$F$39,BC$4)*INDEX(Premissas!$B$50:$D$50,$B$2)</f>
        <v>265767.917164557</v>
      </c>
      <c r="BD34" s="21" t="n">
        <f aca="false">BD32*INDEX(Premissas!$B$39:$F$39,BD$4)*INDEX(Premissas!$B$50:$D$50,$B$2)</f>
        <v>278754.051446554</v>
      </c>
      <c r="BE34" s="21" t="n">
        <f aca="false">BE32*INDEX(Premissas!$B$39:$F$39,BE$4)*INDEX(Premissas!$B$50:$D$50,$B$2)</f>
        <v>291503.431065284</v>
      </c>
      <c r="BF34" s="21" t="n">
        <f aca="false">BF32*INDEX(Premissas!$B$39:$F$39,BF$4)*INDEX(Premissas!$B$50:$D$50,$B$2)</f>
        <v>304020.465058012</v>
      </c>
      <c r="BG34" s="21" t="n">
        <f aca="false">BG32*INDEX(Premissas!$B$39:$F$39,BG$4)*INDEX(Premissas!$B$50:$D$50,$B$2)</f>
        <v>316309.476897261</v>
      </c>
      <c r="BH34" s="21" t="n">
        <f aca="false">BH32*INDEX(Premissas!$B$39:$F$39,BH$4)*INDEX(Premissas!$B$50:$D$50,$B$2)</f>
        <v>328374.706289038</v>
      </c>
      <c r="BI34" s="21" t="n">
        <f aca="false">BI32*INDEX(Premissas!$B$39:$F$39,BI$4)*INDEX(Premissas!$B$50:$D$50,$B$2)</f>
        <v>340220.310927723</v>
      </c>
      <c r="BJ34" s="21" t="n">
        <f aca="false">BJ32*INDEX(Premissas!$B$39:$F$39,BJ$4)*INDEX(Premissas!$B$50:$D$50,$B$2)</f>
        <v>351850.368208878</v>
      </c>
    </row>
    <row r="35" customFormat="false" ht="15" hidden="false" customHeight="false" outlineLevel="0" collapsed="false">
      <c r="A35" s="18" t="s">
        <v>126</v>
      </c>
      <c r="C35" s="30" t="n">
        <f aca="false">C32+C33+C34</f>
        <v>10823.4374317094</v>
      </c>
      <c r="D35" s="30" t="n">
        <f aca="false">D32+D33+D34</f>
        <v>17525.6558448073</v>
      </c>
      <c r="E35" s="30" t="n">
        <f aca="false">E32+E33+E34</f>
        <v>23990.8321280157</v>
      </c>
      <c r="F35" s="30" t="n">
        <f aca="false">F32+F33+F34</f>
        <v>30227.9060861126</v>
      </c>
      <c r="G35" s="30" t="n">
        <f aca="false">G32+G33+G34</f>
        <v>36245.4493749951</v>
      </c>
      <c r="H35" s="30" t="n">
        <f aca="false">H32+H33+H34</f>
        <v>42051.6823040735</v>
      </c>
      <c r="I35" s="30" t="n">
        <f aca="false">I32+I33+I34</f>
        <v>47654.4897913822</v>
      </c>
      <c r="J35" s="30" t="n">
        <f aca="false">J32+J33+J34</f>
        <v>53061.4365177148</v>
      </c>
      <c r="K35" s="30" t="n">
        <f aca="false">K32+K33+K34</f>
        <v>58279.7813234128</v>
      </c>
      <c r="L35" s="30" t="n">
        <f aca="false">L32+L33+L34</f>
        <v>63316.4908889237</v>
      </c>
      <c r="M35" s="30" t="n">
        <f aca="false">M32+M33+M34</f>
        <v>68178.2527378778</v>
      </c>
      <c r="N35" s="30" t="n">
        <f aca="false">N32+N33+N34</f>
        <v>72871.4875992076</v>
      </c>
      <c r="O35" s="30" t="n">
        <f aca="false">O32+O33+O34</f>
        <v>108002.743558089</v>
      </c>
      <c r="P35" s="30" t="n">
        <f aca="false">P32+P33+P34</f>
        <v>130249.926198101</v>
      </c>
      <c r="Q35" s="30" t="n">
        <f aca="false">Q32+Q33+Q34</f>
        <v>151849.930472115</v>
      </c>
      <c r="R35" s="30" t="n">
        <f aca="false">R32+R33+R34</f>
        <v>172822.758956358</v>
      </c>
      <c r="S35" s="30" t="n">
        <f aca="false">S32+S33+S34</f>
        <v>193187.737816286</v>
      </c>
      <c r="T35" s="30" t="n">
        <f aca="false">T32+T33+T34</f>
        <v>212963.542525314</v>
      </c>
      <c r="U35" s="30" t="n">
        <f aca="false">U32+U33+U34</f>
        <v>232168.222474458</v>
      </c>
      <c r="V35" s="30" t="n">
        <f aca="false">V32+V33+V34</f>
        <v>250819.224526203</v>
      </c>
      <c r="W35" s="30" t="n">
        <f aca="false">W32+W33+W34</f>
        <v>268933.415563152</v>
      </c>
      <c r="X35" s="30" t="n">
        <f aca="false">X32+X33+X34</f>
        <v>286527.10407941</v>
      </c>
      <c r="Y35" s="30" t="n">
        <f aca="false">Y32+Y33+Y34</f>
        <v>303616.060860141</v>
      </c>
      <c r="Z35" s="30" t="n">
        <f aca="false">Z32+Z33+Z34</f>
        <v>320215.538792441</v>
      </c>
      <c r="AA35" s="30" t="n">
        <f aca="false">AA32+AA33+AA34</f>
        <v>413164.57953879</v>
      </c>
      <c r="AB35" s="30" t="n">
        <f aca="false">AB32+AB33+AB34</f>
        <v>471877.353436523</v>
      </c>
      <c r="AC35" s="30" t="n">
        <f aca="false">AC32+AC33+AC34</f>
        <v>529178.590755007</v>
      </c>
      <c r="AD35" s="30" t="n">
        <f aca="false">AD32+AD33+AD34</f>
        <v>585103.927671655</v>
      </c>
      <c r="AE35" s="30" t="n">
        <f aca="false">AE32+AE33+AE34</f>
        <v>639688.024928176</v>
      </c>
      <c r="AF35" s="30" t="n">
        <f aca="false">AF32+AF33+AF34</f>
        <v>692964.597974637</v>
      </c>
      <c r="AG35" s="30" t="n">
        <f aca="false">AG32+AG33+AG34</f>
        <v>744966.446030774</v>
      </c>
      <c r="AH35" s="30" t="n">
        <f aca="false">AH32+AH33+AH34</f>
        <v>795725.480109517</v>
      </c>
      <c r="AI35" s="30" t="n">
        <f aca="false">AI32+AI33+AI34</f>
        <v>845272.750045587</v>
      </c>
      <c r="AJ35" s="30" t="n">
        <f aca="false">AJ32+AJ33+AJ34</f>
        <v>893638.470570077</v>
      </c>
      <c r="AK35" s="30" t="n">
        <f aca="false">AK32+AK33+AK34</f>
        <v>940852.046470029</v>
      </c>
      <c r="AL35" s="30" t="n">
        <f aca="false">AL32+AL33+AL34</f>
        <v>986942.096870238</v>
      </c>
      <c r="AM35" s="30" t="n">
        <f aca="false">AM32+AM33+AM34</f>
        <v>1135549.90385302</v>
      </c>
      <c r="AN35" s="30" t="n">
        <f aca="false">AN32+AN33+AN34</f>
        <v>1235998.13506026</v>
      </c>
      <c r="AO35" s="30" t="n">
        <f aca="false">AO32+AO33+AO34</f>
        <v>1334332.60222677</v>
      </c>
      <c r="AP35" s="30" t="n">
        <f aca="false">AP32+AP33+AP34</f>
        <v>1430599.55837434</v>
      </c>
      <c r="AQ35" s="30" t="n">
        <f aca="false">AQ32+AQ33+AQ34</f>
        <v>1524844.17161201</v>
      </c>
      <c r="AR35" s="30" t="n">
        <f aca="false">AR32+AR33+AR34</f>
        <v>1617110.55367802</v>
      </c>
      <c r="AS35" s="30" t="n">
        <f aca="false">AS32+AS33+AS34</f>
        <v>1707441.7876024</v>
      </c>
      <c r="AT35" s="30" t="n">
        <f aca="false">AT32+AT33+AT34</f>
        <v>1795879.95452209</v>
      </c>
      <c r="AU35" s="30" t="n">
        <f aca="false">AU32+AU33+AU34</f>
        <v>1882466.15967942</v>
      </c>
      <c r="AV35" s="30" t="n">
        <f aca="false">AV32+AV33+AV34</f>
        <v>1967240.55763323</v>
      </c>
      <c r="AW35" s="30" t="n">
        <f aca="false">AW32+AW33+AW34</f>
        <v>2050242.37671084</v>
      </c>
      <c r="AX35" s="30" t="n">
        <f aca="false">AX32+AX33+AX34</f>
        <v>2131509.94272797</v>
      </c>
      <c r="AY35" s="30" t="n">
        <f aca="false">AY32+AY33+AY34</f>
        <v>2349291.12394187</v>
      </c>
      <c r="AZ35" s="30" t="n">
        <f aca="false">AZ32+AZ33+AZ34</f>
        <v>2496990.47124356</v>
      </c>
      <c r="BA35" s="30" t="n">
        <f aca="false">BA32+BA33+BA34</f>
        <v>2641989.89525275</v>
      </c>
      <c r="BB35" s="30" t="n">
        <f aca="false">BB32+BB33+BB34</f>
        <v>2784339.93971884</v>
      </c>
      <c r="BC35" s="30" t="n">
        <f aca="false">BC32+BC33+BC34</f>
        <v>2924090.15715</v>
      </c>
      <c r="BD35" s="30" t="n">
        <f aca="false">BD32+BD33+BD34</f>
        <v>3061289.13005762</v>
      </c>
      <c r="BE35" s="30" t="n">
        <f aca="false">BE32+BE33+BE34</f>
        <v>3195984.491673</v>
      </c>
      <c r="BF35" s="30" t="n">
        <f aca="false">BF32+BF33+BF34</f>
        <v>3328222.94615224</v>
      </c>
      <c r="BG35" s="30" t="n">
        <f aca="false">BG32+BG33+BG34</f>
        <v>3458050.28828446</v>
      </c>
      <c r="BH35" s="30" t="n">
        <f aca="false">BH32+BH33+BH34</f>
        <v>3585511.42271816</v>
      </c>
      <c r="BI35" s="30" t="n">
        <f aca="false">BI32+BI33+BI34</f>
        <v>3710650.38272</v>
      </c>
      <c r="BJ35" s="30" t="n">
        <f aca="false">BJ32+BJ33+BJ34</f>
        <v>3833510.3484795</v>
      </c>
    </row>
    <row r="36" customFormat="false" ht="15" hidden="false" customHeight="false" outlineLevel="0" collapsed="false">
      <c r="A36" s="5" t="s">
        <v>238</v>
      </c>
      <c r="C36" s="21" t="n">
        <f aca="false">-C35*IF(SUMIFS($C$35:$BJ$35,$C$4:$BJ$4,C$4-1)&gt;Premissas!$B$8,Premissas!$B$7,Premissas!$B$6)</f>
        <v>-1190.57811748803</v>
      </c>
      <c r="D36" s="21" t="n">
        <f aca="false">-D35*IF(SUMIFS($C$35:$BJ$35,$C$4:$BJ$4,D$4-1)&gt;Premissas!$B$8,Premissas!$B$7,Premissas!$B$6)</f>
        <v>-1927.82214292881</v>
      </c>
      <c r="E36" s="21" t="n">
        <f aca="false">-E35*IF(SUMIFS($C$35:$BJ$35,$C$4:$BJ$4,E$4-1)&gt;Premissas!$B$8,Premissas!$B$7,Premissas!$B$6)</f>
        <v>-2638.99153408172</v>
      </c>
      <c r="F36" s="21" t="n">
        <f aca="false">-F35*IF(SUMIFS($C$35:$BJ$35,$C$4:$BJ$4,F$4-1)&gt;Premissas!$B$8,Premissas!$B$7,Premissas!$B$6)</f>
        <v>-3325.06966947238</v>
      </c>
      <c r="G36" s="21" t="n">
        <f aca="false">-G35*IF(SUMIFS($C$35:$BJ$35,$C$4:$BJ$4,G$4-1)&gt;Premissas!$B$8,Premissas!$B$7,Premissas!$B$6)</f>
        <v>-3986.99943124946</v>
      </c>
      <c r="H36" s="21" t="n">
        <f aca="false">-H35*IF(SUMIFS($C$35:$BJ$35,$C$4:$BJ$4,H$4-1)&gt;Premissas!$B$8,Premissas!$B$7,Premissas!$B$6)</f>
        <v>-4625.68505344808</v>
      </c>
      <c r="I36" s="21" t="n">
        <f aca="false">-I35*IF(SUMIFS($C$35:$BJ$35,$C$4:$BJ$4,I$4-1)&gt;Premissas!$B$8,Premissas!$B$7,Premissas!$B$6)</f>
        <v>-5241.99387705204</v>
      </c>
      <c r="J36" s="21" t="n">
        <f aca="false">-J35*IF(SUMIFS($C$35:$BJ$35,$C$4:$BJ$4,J$4-1)&gt;Premissas!$B$8,Premissas!$B$7,Premissas!$B$6)</f>
        <v>-5836.75801694863</v>
      </c>
      <c r="K36" s="21" t="n">
        <f aca="false">-K35*IF(SUMIFS($C$35:$BJ$35,$C$4:$BJ$4,K$4-1)&gt;Premissas!$B$8,Premissas!$B$7,Premissas!$B$6)</f>
        <v>-6410.77594557541</v>
      </c>
      <c r="L36" s="21" t="n">
        <f aca="false">-L35*IF(SUMIFS($C$35:$BJ$35,$C$4:$BJ$4,L$4-1)&gt;Premissas!$B$8,Premissas!$B$7,Premissas!$B$6)</f>
        <v>-6964.8139977816</v>
      </c>
      <c r="M36" s="21" t="n">
        <f aca="false">-M35*IF(SUMIFS($C$35:$BJ$35,$C$4:$BJ$4,M$4-1)&gt;Premissas!$B$8,Premissas!$B$7,Premissas!$B$6)</f>
        <v>-7499.60780116656</v>
      </c>
      <c r="N36" s="21" t="n">
        <f aca="false">-N35*IF(SUMIFS($C$35:$BJ$35,$C$4:$BJ$4,N$4-1)&gt;Premissas!$B$8,Premissas!$B$7,Premissas!$B$6)</f>
        <v>-8015.86363591283</v>
      </c>
      <c r="O36" s="21" t="n">
        <f aca="false">-O35*IF(SUMIFS($C$35:$BJ$35,$C$4:$BJ$4,O$4-1)&gt;Premissas!$B$8,Premissas!$B$7,Premissas!$B$6)</f>
        <v>-11880.3017913898</v>
      </c>
      <c r="P36" s="21" t="n">
        <f aca="false">-P35*IF(SUMIFS($C$35:$BJ$35,$C$4:$BJ$4,P$4-1)&gt;Premissas!$B$8,Premissas!$B$7,Premissas!$B$6)</f>
        <v>-14327.4918817912</v>
      </c>
      <c r="Q36" s="21" t="n">
        <f aca="false">-Q35*IF(SUMIFS($C$35:$BJ$35,$C$4:$BJ$4,Q$4-1)&gt;Premissas!$B$8,Premissas!$B$7,Premissas!$B$6)</f>
        <v>-16703.4923519326</v>
      </c>
      <c r="R36" s="21" t="n">
        <f aca="false">-R35*IF(SUMIFS($C$35:$BJ$35,$C$4:$BJ$4,R$4-1)&gt;Premissas!$B$8,Premissas!$B$7,Premissas!$B$6)</f>
        <v>-19010.5034851994</v>
      </c>
      <c r="S36" s="21" t="n">
        <f aca="false">-S35*IF(SUMIFS($C$35:$BJ$35,$C$4:$BJ$4,S$4-1)&gt;Premissas!$B$8,Premissas!$B$7,Premissas!$B$6)</f>
        <v>-21250.6511597915</v>
      </c>
      <c r="T36" s="21" t="n">
        <f aca="false">-T35*IF(SUMIFS($C$35:$BJ$35,$C$4:$BJ$4,T$4-1)&gt;Premissas!$B$8,Premissas!$B$7,Premissas!$B$6)</f>
        <v>-23425.9896777845</v>
      </c>
      <c r="U36" s="21" t="n">
        <f aca="false">-U35*IF(SUMIFS($C$35:$BJ$35,$C$4:$BJ$4,U$4-1)&gt;Premissas!$B$8,Premissas!$B$7,Premissas!$B$6)</f>
        <v>-25538.5044721904</v>
      </c>
      <c r="V36" s="21" t="n">
        <f aca="false">-V35*IF(SUMIFS($C$35:$BJ$35,$C$4:$BJ$4,V$4-1)&gt;Premissas!$B$8,Premissas!$B$7,Premissas!$B$6)</f>
        <v>-27590.1146978823</v>
      </c>
      <c r="W36" s="21" t="n">
        <f aca="false">-W35*IF(SUMIFS($C$35:$BJ$35,$C$4:$BJ$4,W$4-1)&gt;Premissas!$B$8,Premissas!$B$7,Premissas!$B$6)</f>
        <v>-29582.6757119468</v>
      </c>
      <c r="X36" s="21" t="n">
        <f aca="false">-X35*IF(SUMIFS($C$35:$BJ$35,$C$4:$BJ$4,X$4-1)&gt;Premissas!$B$8,Premissas!$B$7,Premissas!$B$6)</f>
        <v>-31517.9814487351</v>
      </c>
      <c r="Y36" s="21" t="n">
        <f aca="false">-Y35*IF(SUMIFS($C$35:$BJ$35,$C$4:$BJ$4,Y$4-1)&gt;Premissas!$B$8,Premissas!$B$7,Premissas!$B$6)</f>
        <v>-33397.7666946155</v>
      </c>
      <c r="Z36" s="21" t="n">
        <f aca="false">-Z35*IF(SUMIFS($C$35:$BJ$35,$C$4:$BJ$4,Z$4-1)&gt;Premissas!$B$8,Premissas!$B$7,Premissas!$B$6)</f>
        <v>-35223.7092671685</v>
      </c>
      <c r="AA36" s="21" t="n">
        <f aca="false">-AA35*IF(SUMIFS($C$35:$BJ$35,$C$4:$BJ$4,AA$4-1)&gt;Premissas!$B$8,Premissas!$B$7,Premissas!$B$6)</f>
        <v>-45448.103749267</v>
      </c>
      <c r="AB36" s="21" t="n">
        <f aca="false">-AB35*IF(SUMIFS($C$35:$BJ$35,$C$4:$BJ$4,AB$4-1)&gt;Premissas!$B$8,Premissas!$B$7,Premissas!$B$6)</f>
        <v>-51906.5088780175</v>
      </c>
      <c r="AC36" s="21" t="n">
        <f aca="false">-AC35*IF(SUMIFS($C$35:$BJ$35,$C$4:$BJ$4,AC$4-1)&gt;Premissas!$B$8,Premissas!$B$7,Premissas!$B$6)</f>
        <v>-58209.6449830507</v>
      </c>
      <c r="AD36" s="21" t="n">
        <f aca="false">-AD35*IF(SUMIFS($C$35:$BJ$35,$C$4:$BJ$4,AD$4-1)&gt;Premissas!$B$8,Premissas!$B$7,Premissas!$B$6)</f>
        <v>-64361.4320438821</v>
      </c>
      <c r="AE36" s="21" t="n">
        <f aca="false">-AE35*IF(SUMIFS($C$35:$BJ$35,$C$4:$BJ$4,AE$4-1)&gt;Premissas!$B$8,Premissas!$B$7,Premissas!$B$6)</f>
        <v>-70365.6827420994</v>
      </c>
      <c r="AF36" s="21" t="n">
        <f aca="false">-AF35*IF(SUMIFS($C$35:$BJ$35,$C$4:$BJ$4,AF$4-1)&gt;Premissas!$B$8,Premissas!$B$7,Premissas!$B$6)</f>
        <v>-76226.1057772101</v>
      </c>
      <c r="AG36" s="21" t="n">
        <f aca="false">-AG35*IF(SUMIFS($C$35:$BJ$35,$C$4:$BJ$4,AG$4-1)&gt;Premissas!$B$8,Premissas!$B$7,Premissas!$B$6)</f>
        <v>-81946.3090633852</v>
      </c>
      <c r="AH36" s="21" t="n">
        <f aca="false">-AH35*IF(SUMIFS($C$35:$BJ$35,$C$4:$BJ$4,AH$4-1)&gt;Premissas!$B$8,Premissas!$B$7,Premissas!$B$6)</f>
        <v>-87529.8028120469</v>
      </c>
      <c r="AI36" s="21" t="n">
        <f aca="false">-AI35*IF(SUMIFS($C$35:$BJ$35,$C$4:$BJ$4,AI$4-1)&gt;Premissas!$B$8,Premissas!$B$7,Premissas!$B$6)</f>
        <v>-92980.0025050146</v>
      </c>
      <c r="AJ36" s="21" t="n">
        <f aca="false">-AJ35*IF(SUMIFS($C$35:$BJ$35,$C$4:$BJ$4,AJ$4-1)&gt;Premissas!$B$8,Premissas!$B$7,Premissas!$B$6)</f>
        <v>-98300.2317627085</v>
      </c>
      <c r="AK36" s="21" t="n">
        <f aca="false">-AK35*IF(SUMIFS($C$35:$BJ$35,$C$4:$BJ$4,AK$4-1)&gt;Premissas!$B$8,Premissas!$B$7,Premissas!$B$6)</f>
        <v>-103493.725111703</v>
      </c>
      <c r="AL36" s="21" t="n">
        <f aca="false">-AL35*IF(SUMIFS($C$35:$BJ$35,$C$4:$BJ$4,AL$4-1)&gt;Premissas!$B$8,Premissas!$B$7,Premissas!$B$6)</f>
        <v>-108563.630655726</v>
      </c>
      <c r="AM36" s="21" t="n">
        <f aca="false">-AM35*IF(SUMIFS($C$35:$BJ$35,$C$4:$BJ$4,AM$4-1)&gt;Premissas!$B$8,Premissas!$B$7,Premissas!$B$6)</f>
        <v>-185435.299299198</v>
      </c>
      <c r="AN36" s="21" t="n">
        <f aca="false">-AN35*IF(SUMIFS($C$35:$BJ$35,$C$4:$BJ$4,AN$4-1)&gt;Premissas!$B$8,Premissas!$B$7,Premissas!$B$6)</f>
        <v>-201838.49545534</v>
      </c>
      <c r="AO36" s="21" t="n">
        <f aca="false">-AO35*IF(SUMIFS($C$35:$BJ$35,$C$4:$BJ$4,AO$4-1)&gt;Premissas!$B$8,Premissas!$B$7,Premissas!$B$6)</f>
        <v>-217896.513943631</v>
      </c>
      <c r="AP36" s="21" t="n">
        <f aca="false">-AP35*IF(SUMIFS($C$35:$BJ$35,$C$4:$BJ$4,AP$4-1)&gt;Premissas!$B$8,Premissas!$B$7,Premissas!$B$6)</f>
        <v>-233616.907882529</v>
      </c>
      <c r="AQ36" s="21" t="n">
        <f aca="false">-AQ35*IF(SUMIFS($C$35:$BJ$35,$C$4:$BJ$4,AQ$4-1)&gt;Premissas!$B$8,Premissas!$B$7,Premissas!$B$6)</f>
        <v>-249007.053224241</v>
      </c>
      <c r="AR36" s="21" t="n">
        <f aca="false">-AR35*IF(SUMIFS($C$35:$BJ$35,$C$4:$BJ$4,AR$4-1)&gt;Premissas!$B$8,Premissas!$B$7,Premissas!$B$6)</f>
        <v>-264074.153415621</v>
      </c>
      <c r="AS36" s="21" t="n">
        <f aca="false">-AS35*IF(SUMIFS($C$35:$BJ$35,$C$4:$BJ$4,AS$4-1)&gt;Premissas!$B$8,Premissas!$B$7,Premissas!$B$6)</f>
        <v>-278825.243915471</v>
      </c>
      <c r="AT36" s="21" t="n">
        <f aca="false">-AT35*IF(SUMIFS($C$35:$BJ$35,$C$4:$BJ$4,AT$4-1)&gt;Premissas!$B$8,Premissas!$B$7,Premissas!$B$6)</f>
        <v>-293267.196573457</v>
      </c>
      <c r="AU36" s="21" t="n">
        <f aca="false">-AU35*IF(SUMIFS($C$35:$BJ$35,$C$4:$BJ$4,AU$4-1)&gt;Premissas!$B$8,Premissas!$B$7,Premissas!$B$6)</f>
        <v>-307406.72387565</v>
      </c>
      <c r="AV36" s="21" t="n">
        <f aca="false">-AV35*IF(SUMIFS($C$35:$BJ$35,$C$4:$BJ$4,AV$4-1)&gt;Premissas!$B$8,Premissas!$B$7,Premissas!$B$6)</f>
        <v>-321250.383061507</v>
      </c>
      <c r="AW36" s="21" t="n">
        <f aca="false">-AW35*IF(SUMIFS($C$35:$BJ$35,$C$4:$BJ$4,AW$4-1)&gt;Premissas!$B$8,Premissas!$B$7,Premissas!$B$6)</f>
        <v>-334804.58011688</v>
      </c>
      <c r="AX36" s="21" t="n">
        <f aca="false">-AX35*IF(SUMIFS($C$35:$BJ$35,$C$4:$BJ$4,AX$4-1)&gt;Premissas!$B$8,Premissas!$B$7,Premissas!$B$6)</f>
        <v>-348075.573647478</v>
      </c>
      <c r="AY36" s="21" t="n">
        <f aca="false">-AY35*IF(SUMIFS($C$35:$BJ$35,$C$4:$BJ$4,AY$4-1)&gt;Premissas!$B$8,Premissas!$B$7,Premissas!$B$6)</f>
        <v>-383639.240539707</v>
      </c>
      <c r="AZ36" s="21" t="n">
        <f aca="false">-AZ35*IF(SUMIFS($C$35:$BJ$35,$C$4:$BJ$4,AZ$4-1)&gt;Premissas!$B$8,Premissas!$B$7,Premissas!$B$6)</f>
        <v>-407758.543954074</v>
      </c>
      <c r="BA36" s="21" t="n">
        <f aca="false">-BA35*IF(SUMIFS($C$35:$BJ$35,$C$4:$BJ$4,BA$4-1)&gt;Premissas!$B$8,Premissas!$B$7,Premissas!$B$6)</f>
        <v>-431436.949894774</v>
      </c>
      <c r="BB36" s="21" t="n">
        <f aca="false">-BB35*IF(SUMIFS($C$35:$BJ$35,$C$4:$BJ$4,BB$4-1)&gt;Premissas!$B$8,Premissas!$B$7,Premissas!$B$6)</f>
        <v>-454682.712156086</v>
      </c>
      <c r="BC36" s="21" t="n">
        <f aca="false">-BC35*IF(SUMIFS($C$35:$BJ$35,$C$4:$BJ$4,BC$4-1)&gt;Premissas!$B$8,Premissas!$B$7,Premissas!$B$6)</f>
        <v>-477503.922662595</v>
      </c>
      <c r="BD36" s="21" t="n">
        <f aca="false">-BD35*IF(SUMIFS($C$35:$BJ$35,$C$4:$BJ$4,BD$4-1)&gt;Premissas!$B$8,Premissas!$B$7,Premissas!$B$6)</f>
        <v>-499908.514938409</v>
      </c>
      <c r="BE36" s="21" t="n">
        <f aca="false">-BE35*IF(SUMIFS($C$35:$BJ$35,$C$4:$BJ$4,BE$4-1)&gt;Premissas!$B$8,Premissas!$B$7,Premissas!$B$6)</f>
        <v>-521904.267490201</v>
      </c>
      <c r="BF36" s="21" t="n">
        <f aca="false">-BF35*IF(SUMIFS($C$35:$BJ$35,$C$4:$BJ$4,BF$4-1)&gt;Premissas!$B$8,Premissas!$B$7,Premissas!$B$6)</f>
        <v>-543498.807106661</v>
      </c>
      <c r="BG36" s="21" t="n">
        <f aca="false">-BG35*IF(SUMIFS($C$35:$BJ$35,$C$4:$BJ$4,BG$4-1)&gt;Premissas!$B$8,Premissas!$B$7,Premissas!$B$6)</f>
        <v>-564699.612076852</v>
      </c>
      <c r="BH36" s="21" t="n">
        <f aca="false">-BH35*IF(SUMIFS($C$35:$BJ$35,$C$4:$BJ$4,BH$4-1)&gt;Premissas!$B$8,Premissas!$B$7,Premissas!$B$6)</f>
        <v>-585514.015329876</v>
      </c>
      <c r="BI36" s="21" t="n">
        <f aca="false">-BI35*IF(SUMIFS($C$35:$BJ$35,$C$4:$BJ$4,BI$4-1)&gt;Premissas!$B$8,Premissas!$B$7,Premissas!$B$6)</f>
        <v>-605949.207498176</v>
      </c>
      <c r="BJ36" s="21" t="n">
        <f aca="false">-BJ35*IF(SUMIFS($C$35:$BJ$35,$C$4:$BJ$4,BJ$4-1)&gt;Premissas!$B$8,Premissas!$B$7,Premissas!$B$6)</f>
        <v>-626012.239906702</v>
      </c>
    </row>
    <row r="37" customFormat="false" ht="15" hidden="false" customHeight="false" outlineLevel="0" collapsed="false">
      <c r="A37" s="18" t="s">
        <v>128</v>
      </c>
      <c r="C37" s="30" t="n">
        <f aca="false">C35+C36</f>
        <v>9632.85931422137</v>
      </c>
      <c r="D37" s="30" t="n">
        <f aca="false">D35+D36</f>
        <v>15597.8337018785</v>
      </c>
      <c r="E37" s="30" t="n">
        <f aca="false">E35+E36</f>
        <v>21351.8405939339</v>
      </c>
      <c r="F37" s="30" t="n">
        <f aca="false">F35+F36</f>
        <v>26902.8364166402</v>
      </c>
      <c r="G37" s="30" t="n">
        <f aca="false">G35+G36</f>
        <v>32258.4499437456</v>
      </c>
      <c r="H37" s="30" t="n">
        <f aca="false">H35+H36</f>
        <v>37425.9972506254</v>
      </c>
      <c r="I37" s="30" t="n">
        <f aca="false">I35+I36</f>
        <v>42412.4959143302</v>
      </c>
      <c r="J37" s="30" t="n">
        <f aca="false">J35+J36</f>
        <v>47224.6785007662</v>
      </c>
      <c r="K37" s="30" t="n">
        <f aca="false">K35+K36</f>
        <v>51869.0053778374</v>
      </c>
      <c r="L37" s="30" t="n">
        <f aca="false">L35+L36</f>
        <v>56351.6768911421</v>
      </c>
      <c r="M37" s="30" t="n">
        <f aca="false">M35+M36</f>
        <v>60678.6449367112</v>
      </c>
      <c r="N37" s="30" t="n">
        <f aca="false">N35+N36</f>
        <v>64855.6239632948</v>
      </c>
      <c r="O37" s="30" t="n">
        <f aca="false">O35+O36</f>
        <v>96122.4417666991</v>
      </c>
      <c r="P37" s="30" t="n">
        <f aca="false">P35+P36</f>
        <v>115922.43431631</v>
      </c>
      <c r="Q37" s="30" t="n">
        <f aca="false">Q35+Q36</f>
        <v>135146.438120182</v>
      </c>
      <c r="R37" s="30" t="n">
        <f aca="false">R35+R36</f>
        <v>153812.255471159</v>
      </c>
      <c r="S37" s="30" t="n">
        <f aca="false">S35+S36</f>
        <v>171937.086656494</v>
      </c>
      <c r="T37" s="30" t="n">
        <f aca="false">T35+T36</f>
        <v>189537.552847529</v>
      </c>
      <c r="U37" s="30" t="n">
        <f aca="false">U35+U36</f>
        <v>206629.718002268</v>
      </c>
      <c r="V37" s="30" t="n">
        <f aca="false">V35+V36</f>
        <v>223229.109828321</v>
      </c>
      <c r="W37" s="30" t="n">
        <f aca="false">W35+W36</f>
        <v>239350.739851206</v>
      </c>
      <c r="X37" s="30" t="n">
        <f aca="false">X35+X36</f>
        <v>255009.122630675</v>
      </c>
      <c r="Y37" s="30" t="n">
        <f aca="false">Y35+Y36</f>
        <v>270218.294165525</v>
      </c>
      <c r="Z37" s="30" t="n">
        <f aca="false">Z35+Z36</f>
        <v>284991.829525272</v>
      </c>
      <c r="AA37" s="30" t="n">
        <f aca="false">AA35+AA36</f>
        <v>367716.475789524</v>
      </c>
      <c r="AB37" s="30" t="n">
        <f aca="false">AB35+AB36</f>
        <v>419970.844558505</v>
      </c>
      <c r="AC37" s="30" t="n">
        <f aca="false">AC35+AC36</f>
        <v>470968.945771956</v>
      </c>
      <c r="AD37" s="30" t="n">
        <f aca="false">AD35+AD36</f>
        <v>520742.495627773</v>
      </c>
      <c r="AE37" s="30" t="n">
        <f aca="false">AE35+AE36</f>
        <v>569322.342186077</v>
      </c>
      <c r="AF37" s="30" t="n">
        <f aca="false">AF35+AF36</f>
        <v>616738.492197427</v>
      </c>
      <c r="AG37" s="30" t="n">
        <f aca="false">AG35+AG36</f>
        <v>663020.136967389</v>
      </c>
      <c r="AH37" s="30" t="n">
        <f aca="false">AH35+AH36</f>
        <v>708195.67729747</v>
      </c>
      <c r="AI37" s="30" t="n">
        <f aca="false">AI35+AI36</f>
        <v>752292.747540572</v>
      </c>
      <c r="AJ37" s="30" t="n">
        <f aca="false">AJ35+AJ36</f>
        <v>795338.238807368</v>
      </c>
      <c r="AK37" s="30" t="n">
        <f aca="false">AK35+AK36</f>
        <v>837358.321358326</v>
      </c>
      <c r="AL37" s="30" t="n">
        <f aca="false">AL35+AL36</f>
        <v>878378.466214512</v>
      </c>
      <c r="AM37" s="30" t="n">
        <f aca="false">AM35+AM36</f>
        <v>950114.604553819</v>
      </c>
      <c r="AN37" s="30" t="n">
        <f aca="false">AN35+AN36</f>
        <v>1034159.63960492</v>
      </c>
      <c r="AO37" s="30" t="n">
        <f aca="false">AO35+AO36</f>
        <v>1116436.08828314</v>
      </c>
      <c r="AP37" s="30" t="n">
        <f aca="false">AP35+AP36</f>
        <v>1196982.65049181</v>
      </c>
      <c r="AQ37" s="30" t="n">
        <f aca="false">AQ35+AQ36</f>
        <v>1275837.11838777</v>
      </c>
      <c r="AR37" s="30" t="n">
        <f aca="false">AR35+AR36</f>
        <v>1353036.4002624</v>
      </c>
      <c r="AS37" s="30" t="n">
        <f aca="false">AS35+AS36</f>
        <v>1428616.54368693</v>
      </c>
      <c r="AT37" s="30" t="n">
        <f aca="false">AT35+AT36</f>
        <v>1502612.75794863</v>
      </c>
      <c r="AU37" s="30" t="n">
        <f aca="false">AU35+AU36</f>
        <v>1575059.43580377</v>
      </c>
      <c r="AV37" s="30" t="n">
        <f aca="false">AV35+AV36</f>
        <v>1645990.17457173</v>
      </c>
      <c r="AW37" s="30" t="n">
        <f aca="false">AW35+AW36</f>
        <v>1715437.79659396</v>
      </c>
      <c r="AX37" s="30" t="n">
        <f aca="false">AX35+AX36</f>
        <v>1783434.3690805</v>
      </c>
      <c r="AY37" s="30" t="n">
        <f aca="false">AY35+AY36</f>
        <v>1965651.88340216</v>
      </c>
      <c r="AZ37" s="30" t="n">
        <f aca="false">AZ35+AZ36</f>
        <v>2089231.92728949</v>
      </c>
      <c r="BA37" s="30" t="n">
        <f aca="false">BA35+BA36</f>
        <v>2210552.94535797</v>
      </c>
      <c r="BB37" s="30" t="n">
        <f aca="false">BB35+BB36</f>
        <v>2329657.22756275</v>
      </c>
      <c r="BC37" s="30" t="n">
        <f aca="false">BC35+BC36</f>
        <v>2446586.23448741</v>
      </c>
      <c r="BD37" s="30" t="n">
        <f aca="false">BD35+BD36</f>
        <v>2561380.61511921</v>
      </c>
      <c r="BE37" s="30" t="n">
        <f aca="false">BE35+BE36</f>
        <v>2674080.2241828</v>
      </c>
      <c r="BF37" s="30" t="n">
        <f aca="false">BF35+BF36</f>
        <v>2784724.13904558</v>
      </c>
      <c r="BG37" s="30" t="n">
        <f aca="false">BG35+BG36</f>
        <v>2893350.67620761</v>
      </c>
      <c r="BH37" s="30" t="n">
        <f aca="false">BH35+BH36</f>
        <v>2999997.40738829</v>
      </c>
      <c r="BI37" s="30" t="n">
        <f aca="false">BI35+BI36</f>
        <v>3104701.17522182</v>
      </c>
      <c r="BJ37" s="30" t="n">
        <f aca="false">BJ35+BJ36</f>
        <v>3207498.1085728</v>
      </c>
    </row>
    <row r="38" customFormat="false" ht="15" hidden="false" customHeight="false" outlineLevel="0" collapsed="false">
      <c r="A38" s="3" t="s">
        <v>239</v>
      </c>
      <c r="B38" s="4"/>
    </row>
    <row r="39" customFormat="false" ht="15" hidden="false" customHeight="false" outlineLevel="0" collapsed="false">
      <c r="A39" s="5" t="s">
        <v>240</v>
      </c>
      <c r="C39" s="21" t="n">
        <f aca="false">-(C22*Premissas!$B$21+C23*Premissas!$C$21+C24*Premissas!$D$21+C25*Premissas!$E$21)*Premissas!$B$5</f>
        <v>-484.063384615385</v>
      </c>
      <c r="D39" s="21" t="n">
        <f aca="false">-(D22*Premissas!$B$21+D23*Premissas!$C$21+D24*Premissas!$D$21+D25*Premissas!$E$21)*Premissas!$B$5</f>
        <v>-950.804652923077</v>
      </c>
      <c r="E39" s="21" t="n">
        <f aca="false">-(E22*Premissas!$B$21+E23*Premissas!$C$21+E24*Premissas!$D$21+E25*Premissas!$E$21)*Premissas!$B$5</f>
        <v>-1400.88746041892</v>
      </c>
      <c r="F39" s="21" t="n">
        <f aca="false">-(F22*Premissas!$B$21+F23*Premissas!$C$21+F24*Premissas!$D$21+F25*Premissas!$E$21)*Premissas!$B$5</f>
        <v>-1834.94761460305</v>
      </c>
      <c r="G39" s="21" t="n">
        <f aca="false">-(G22*Premissas!$B$21+G23*Premissas!$C$21+G24*Premissas!$D$21+G25*Premissas!$E$21)*Premissas!$B$5</f>
        <v>-2253.59437025963</v>
      </c>
      <c r="H39" s="21" t="n">
        <f aca="false">-(H22*Premissas!$B$21+H23*Premissas!$C$21+H24*Premissas!$D$21+H25*Premissas!$E$21)*Premissas!$B$5</f>
        <v>-2657.41165837609</v>
      </c>
      <c r="I39" s="21" t="n">
        <f aca="false">-(I22*Premissas!$B$21+I23*Premissas!$C$21+I24*Premissas!$D$21+I25*Premissas!$E$21)*Premissas!$B$5</f>
        <v>-3046.95925236979</v>
      </c>
      <c r="J39" s="21" t="n">
        <f aca="false">-(J22*Premissas!$B$21+J23*Premissas!$C$21+J24*Premissas!$D$21+J25*Premissas!$E$21)*Premissas!$B$5</f>
        <v>-3422.77387507647</v>
      </c>
      <c r="K39" s="21" t="n">
        <f aca="false">-(K22*Premissas!$B$21+K23*Premissas!$C$21+K24*Premissas!$D$21+K25*Premissas!$E$21)*Premissas!$B$5</f>
        <v>-3785.37024975433</v>
      </c>
      <c r="L39" s="21" t="n">
        <f aca="false">-(L22*Premissas!$B$21+L23*Premissas!$C$21+L24*Premissas!$D$21+L25*Premissas!$E$21)*Premissas!$B$5</f>
        <v>-4135.24209816896</v>
      </c>
      <c r="M39" s="21" t="n">
        <f aca="false">-(M22*Premissas!$B$21+M23*Premissas!$C$21+M24*Premissas!$D$21+M25*Premissas!$E$21)*Premissas!$B$5</f>
        <v>-4472.86308864679</v>
      </c>
      <c r="N39" s="21" t="n">
        <f aca="false">-(N22*Premissas!$B$21+N23*Premissas!$C$21+N24*Premissas!$D$21+N25*Premissas!$E$21)*Premissas!$B$5</f>
        <v>-4798.68773681851</v>
      </c>
      <c r="O39" s="21" t="n">
        <f aca="false">-(O22*Premissas!$B$21+O23*Premissas!$C$21+O24*Premissas!$D$21+O25*Premissas!$E$21)*Premissas!$B$5</f>
        <v>-6335.04843818774</v>
      </c>
      <c r="P39" s="21" t="n">
        <f aca="false">-(P22*Premissas!$B$21+P23*Premissas!$C$21+P24*Premissas!$D$21+P25*Premissas!$E$21)*Premissas!$B$5</f>
        <v>-7826.06934239032</v>
      </c>
      <c r="Q39" s="21" t="n">
        <f aca="false">-(Q22*Premissas!$B$21+Q23*Premissas!$C$21+Q24*Premissas!$D$21+Q25*Premissas!$E$21)*Premissas!$B$5</f>
        <v>-9273.17951293245</v>
      </c>
      <c r="R39" s="21" t="n">
        <f aca="false">-(R22*Premissas!$B$21+R23*Premissas!$C$21+R24*Premissas!$D$21+R25*Premissas!$E$21)*Premissas!$B$5</f>
        <v>-10677.7584695265</v>
      </c>
      <c r="S39" s="21" t="n">
        <f aca="false">-(S22*Premissas!$B$21+S23*Premissas!$C$21+S24*Premissas!$D$21+S25*Premissas!$E$21)*Premissas!$B$5</f>
        <v>-12041.1381237658</v>
      </c>
      <c r="T39" s="21" t="n">
        <f aca="false">-(T22*Premissas!$B$21+T23*Premissas!$C$21+T24*Premissas!$D$21+T25*Premissas!$E$21)*Premissas!$B$5</f>
        <v>-13364.6046292806</v>
      </c>
      <c r="U39" s="21" t="n">
        <f aca="false">-(U22*Premissas!$B$21+U23*Premissas!$C$21+U24*Premissas!$D$21+U25*Premissas!$E$21)*Premissas!$B$5</f>
        <v>-14649.4001505598</v>
      </c>
      <c r="V39" s="21" t="n">
        <f aca="false">-(V22*Premissas!$B$21+V23*Premissas!$C$21+V24*Premissas!$D$21+V25*Premissas!$E$21)*Premissas!$B$5</f>
        <v>-15896.7245544037</v>
      </c>
      <c r="W39" s="21" t="n">
        <f aca="false">-(W22*Premissas!$B$21+W23*Premissas!$C$21+W24*Premissas!$D$21+W25*Premissas!$E$21)*Premissas!$B$5</f>
        <v>-17107.7370277648</v>
      </c>
      <c r="X39" s="21" t="n">
        <f aca="false">-(X22*Premissas!$B$21+X23*Premissas!$C$21+X24*Premissas!$D$21+X25*Premissas!$E$21)*Premissas!$B$5</f>
        <v>-18283.5576255378</v>
      </c>
      <c r="Y39" s="21" t="n">
        <f aca="false">-(Y22*Premissas!$B$21+Y23*Premissas!$C$21+Y24*Premissas!$D$21+Y25*Premissas!$E$21)*Premissas!$B$5</f>
        <v>-19425.2687516743</v>
      </c>
      <c r="Z39" s="21" t="n">
        <f aca="false">-(Z22*Premissas!$B$21+Z23*Premissas!$C$21+Z24*Premissas!$D$21+Z25*Premissas!$E$21)*Premissas!$B$5</f>
        <v>-20533.9165768208</v>
      </c>
      <c r="AA39" s="21" t="n">
        <f aca="false">-(AA22*Premissas!$B$21+AA23*Premissas!$C$21+AA24*Premissas!$D$21+AA25*Premissas!$E$21)*Premissas!$B$5</f>
        <v>-24425.4014147634</v>
      </c>
      <c r="AB39" s="21" t="n">
        <f aca="false">-(AB22*Premissas!$B$21+AB23*Premissas!$C$21+AB24*Premissas!$D$21+AB25*Premissas!$E$21)*Premissas!$B$5</f>
        <v>-28221.8768676196</v>
      </c>
      <c r="AC39" s="21" t="n">
        <f aca="false">-(AC22*Premissas!$B$21+AC23*Premissas!$C$21+AC24*Premissas!$D$21+AC25*Premissas!$E$21)*Premissas!$B$5</f>
        <v>-31925.7961267651</v>
      </c>
      <c r="AD39" s="21" t="n">
        <f aca="false">-(AD22*Premissas!$B$21+AD23*Premissas!$C$21+AD24*Premissas!$D$21+AD25*Premissas!$E$21)*Premissas!$B$5</f>
        <v>-35539.5430769826</v>
      </c>
      <c r="AE39" s="21" t="n">
        <f aca="false">-(AE22*Premissas!$B$21+AE23*Premissas!$C$21+AE24*Premissas!$D$21+AE25*Premissas!$E$21)*Premissas!$B$5</f>
        <v>-39065.4345233454</v>
      </c>
      <c r="AF39" s="21" t="n">
        <f aca="false">-(AF22*Premissas!$B$21+AF23*Premissas!$C$21+AF24*Premissas!$D$21+AF25*Premissas!$E$21)*Premissas!$B$5</f>
        <v>-42505.7223349784</v>
      </c>
      <c r="AG39" s="21" t="n">
        <f aca="false">-(AG22*Premissas!$B$21+AG23*Premissas!$C$21+AG24*Premissas!$D$21+AG25*Premissas!$E$21)*Premissas!$B$5</f>
        <v>-45862.5955092488</v>
      </c>
      <c r="AH39" s="21" t="n">
        <f aca="false">-(AH22*Premissas!$B$21+AH23*Premissas!$C$21+AH24*Premissas!$D$21+AH25*Premissas!$E$21)*Premissas!$B$5</f>
        <v>-49138.182159775</v>
      </c>
      <c r="AI39" s="21" t="n">
        <f aca="false">-(AI22*Premissas!$B$21+AI23*Premissas!$C$21+AI24*Premissas!$D$21+AI25*Premissas!$E$21)*Premissas!$B$5</f>
        <v>-52334.5514314797</v>
      </c>
      <c r="AJ39" s="21" t="n">
        <f aca="false">-(AJ22*Premissas!$B$21+AJ23*Premissas!$C$21+AJ24*Premissas!$D$21+AJ25*Premissas!$E$21)*Premissas!$B$5</f>
        <v>-55453.7153457651</v>
      </c>
      <c r="AK39" s="21" t="n">
        <f aca="false">-(AK22*Premissas!$B$21+AK23*Premissas!$C$21+AK24*Premissas!$D$21+AK25*Premissas!$E$21)*Premissas!$B$5</f>
        <v>-58497.6305787423</v>
      </c>
      <c r="AL39" s="21" t="n">
        <f aca="false">-(AL22*Premissas!$B$21+AL23*Premissas!$C$21+AL24*Premissas!$D$21+AL25*Premissas!$E$21)*Premissas!$B$5</f>
        <v>-61468.2001753106</v>
      </c>
      <c r="AM39" s="21" t="n">
        <f aca="false">-(AM22*Premissas!$B$21+AM23*Premissas!$C$21+AM24*Premissas!$D$21+AM25*Premissas!$E$21)*Premissas!$B$5</f>
        <v>-67991.3499649304</v>
      </c>
      <c r="AN39" s="21" t="n">
        <f aca="false">-(AN22*Premissas!$B$21+AN23*Premissas!$C$21+AN24*Premissas!$D$21+AN25*Premissas!$E$21)*Premissas!$B$5</f>
        <v>-74375.1465708924</v>
      </c>
      <c r="AO39" s="21" t="n">
        <f aca="false">-(AO22*Premissas!$B$21+AO23*Premissas!$C$21+AO24*Premissas!$D$21+AO25*Premissas!$E$21)*Premissas!$B$5</f>
        <v>-80622.7104158715</v>
      </c>
      <c r="AP39" s="21" t="n">
        <f aca="false">-(AP22*Premissas!$B$21+AP23*Premissas!$C$21+AP24*Premissas!$D$21+AP25*Premissas!$E$21)*Premissas!$B$5</f>
        <v>-86737.0861416347</v>
      </c>
      <c r="AQ39" s="21" t="n">
        <f aca="false">-(AQ22*Premissas!$B$21+AQ23*Premissas!$C$21+AQ24*Premissas!$D$21+AQ25*Premissas!$E$21)*Premissas!$B$5</f>
        <v>-92721.2446980677</v>
      </c>
      <c r="AR39" s="21" t="n">
        <f aca="false">-(AR22*Premissas!$B$21+AR23*Premissas!$C$21+AR24*Premissas!$D$21+AR25*Premissas!$E$21)*Premissas!$B$5</f>
        <v>-98578.0853645215</v>
      </c>
      <c r="AS39" s="21" t="n">
        <f aca="false">-(AS22*Premissas!$B$21+AS23*Premissas!$C$21+AS24*Premissas!$D$21+AS25*Premissas!$E$21)*Premissas!$B$5</f>
        <v>-104310.437706043</v>
      </c>
      <c r="AT39" s="21" t="n">
        <f aca="false">-(AT22*Premissas!$B$21+AT23*Premissas!$C$21+AT24*Premissas!$D$21+AT25*Premissas!$E$21)*Premissas!$B$5</f>
        <v>-109921.063466947</v>
      </c>
      <c r="AU39" s="21" t="n">
        <f aca="false">-(AU22*Premissas!$B$21+AU23*Premissas!$C$21+AU24*Premissas!$D$21+AU25*Premissas!$E$21)*Premissas!$B$5</f>
        <v>-115412.658404077</v>
      </c>
      <c r="AV39" s="21" t="n">
        <f aca="false">-(AV22*Premissas!$B$21+AV23*Premissas!$C$21+AV24*Premissas!$D$21+AV25*Premissas!$E$21)*Premissas!$B$5</f>
        <v>-120787.854062015</v>
      </c>
      <c r="AW39" s="21" t="n">
        <f aca="false">-(AW22*Premissas!$B$21+AW23*Premissas!$C$21+AW24*Premissas!$D$21+AW25*Premissas!$E$21)*Premissas!$B$5</f>
        <v>-126049.219492383</v>
      </c>
      <c r="AX39" s="21" t="n">
        <f aca="false">-(AX22*Premissas!$B$21+AX23*Premissas!$C$21+AX24*Premissas!$D$21+AX25*Premissas!$E$21)*Premissas!$B$5</f>
        <v>-131199.262919326</v>
      </c>
      <c r="AY39" s="21" t="n">
        <f aca="false">-(AY22*Premissas!$B$21+AY23*Premissas!$C$21+AY24*Premissas!$D$21+AY25*Premissas!$E$21)*Premissas!$B$5</f>
        <v>-140591.626961125</v>
      </c>
      <c r="AZ39" s="21" t="n">
        <f aca="false">-(AZ22*Premissas!$B$21+AZ23*Premissas!$C$21+AZ24*Premissas!$D$21+AZ25*Premissas!$E$21)*Premissas!$B$5</f>
        <v>-149809.951193921</v>
      </c>
      <c r="BA39" s="21" t="n">
        <f aca="false">-(BA22*Premissas!$B$21+BA23*Premissas!$C$21+BA24*Premissas!$D$21+BA25*Premissas!$E$21)*Premissas!$B$5</f>
        <v>-158857.56548822</v>
      </c>
      <c r="BB39" s="21" t="n">
        <f aca="false">-(BB22*Premissas!$B$21+BB23*Premissas!$C$21+BB24*Premissas!$D$21+BB25*Premissas!$E$21)*Premissas!$B$5</f>
        <v>-167737.732026188</v>
      </c>
      <c r="BC39" s="21" t="n">
        <f aca="false">-(BC22*Premissas!$B$21+BC23*Premissas!$C$21+BC24*Premissas!$D$21+BC25*Premissas!$E$21)*Premissas!$B$5</f>
        <v>-176453.646835104</v>
      </c>
      <c r="BD39" s="21" t="n">
        <f aca="false">-(BD22*Premissas!$B$21+BD23*Premissas!$C$21+BD24*Premissas!$D$21+BD25*Premissas!$E$21)*Premissas!$B$5</f>
        <v>-185008.441279922</v>
      </c>
      <c r="BE39" s="21" t="n">
        <f aca="false">-(BE22*Premissas!$B$21+BE23*Premissas!$C$21+BE24*Premissas!$D$21+BE25*Premissas!$E$21)*Premissas!$B$5</f>
        <v>-193405.183516253</v>
      </c>
      <c r="BF39" s="21" t="n">
        <f aca="false">-(BF22*Premissas!$B$21+BF23*Premissas!$C$21+BF24*Premissas!$D$21+BF25*Premissas!$E$21)*Premissas!$B$5</f>
        <v>-201646.879905035</v>
      </c>
      <c r="BG39" s="21" t="n">
        <f aca="false">-(BG22*Premissas!$B$21+BG23*Premissas!$C$21+BG24*Premissas!$D$21+BG25*Premissas!$E$21)*Premissas!$B$5</f>
        <v>-209736.476390101</v>
      </c>
      <c r="BH39" s="21" t="n">
        <f aca="false">-(BH22*Premissas!$B$21+BH23*Premissas!$C$21+BH24*Premissas!$D$21+BH25*Premissas!$E$21)*Premissas!$B$5</f>
        <v>-217676.85983982</v>
      </c>
      <c r="BI39" s="21" t="n">
        <f aca="false">-(BI22*Premissas!$B$21+BI23*Premissas!$C$21+BI24*Premissas!$D$21+BI25*Premissas!$E$21)*Premissas!$B$5</f>
        <v>-225470.859353944</v>
      </c>
      <c r="BJ39" s="21" t="n">
        <f aca="false">-(BJ22*Premissas!$B$21+BJ23*Premissas!$C$21+BJ24*Premissas!$D$21+BJ25*Premissas!$E$21)*Premissas!$B$5</f>
        <v>-233121.247536731</v>
      </c>
    </row>
    <row r="40" customFormat="false" ht="15" hidden="false" customHeight="false" outlineLevel="0" collapsed="false">
      <c r="A40" s="5" t="s">
        <v>241</v>
      </c>
      <c r="C40" s="21" t="n">
        <f aca="false">-(C22*Premissas!$B$22+C23*Premissas!$C$22+C24*Premissas!$D$22+C25*Premissas!$E$22)</f>
        <v>-124.817094017094</v>
      </c>
      <c r="D40" s="21" t="n">
        <f aca="false">-(D22*Premissas!$B$22+D23*Premissas!$C$22+D24*Premissas!$D$22+D25*Premissas!$E$22)</f>
        <v>-244.82872991453</v>
      </c>
      <c r="E40" s="21" t="n">
        <f aca="false">-(E22*Premissas!$B$22+E23*Premissas!$C$22+E24*Premissas!$D$22+E25*Premissas!$E$22)</f>
        <v>-360.237213507692</v>
      </c>
      <c r="F40" s="21" t="n">
        <f aca="false">-(F22*Premissas!$B$22+F23*Premissas!$C$22+F24*Premissas!$D$22+F25*Premissas!$E$22)</f>
        <v>-471.235428502857</v>
      </c>
      <c r="G40" s="21" t="n">
        <f aca="false">-(G22*Premissas!$B$22+G23*Premissas!$C$22+G24*Premissas!$D$22+G25*Premissas!$E$22)</f>
        <v>-578.007319085237</v>
      </c>
      <c r="H40" s="21" t="n">
        <f aca="false">-(H22*Premissas!$B$22+H23*Premissas!$C$22+H24*Premissas!$D$22+H25*Premissas!$E$22)</f>
        <v>-680.72834586143</v>
      </c>
      <c r="I40" s="21" t="n">
        <f aca="false">-(I22*Premissas!$B$22+I23*Premissas!$C$22+I24*Premissas!$D$22+I25*Premissas!$E$22)</f>
        <v>-779.565916705218</v>
      </c>
      <c r="J40" s="21" t="n">
        <f aca="false">-(J22*Premissas!$B$22+J23*Premissas!$C$22+J24*Premissas!$D$22+J25*Premissas!$E$22)</f>
        <v>-874.679793962741</v>
      </c>
      <c r="K40" s="21" t="n">
        <f aca="false">-(K22*Premissas!$B$22+K23*Premissas!$C$22+K24*Premissas!$D$22+K25*Premissas!$E$22)</f>
        <v>-966.222479385733</v>
      </c>
      <c r="L40" s="21" t="n">
        <f aca="false">-(L22*Premissas!$B$22+L23*Premissas!$C$22+L24*Premissas!$D$22+L25*Premissas!$E$22)</f>
        <v>-1054.33957807958</v>
      </c>
      <c r="M40" s="21" t="n">
        <f aca="false">-(M22*Premissas!$B$22+M23*Premissas!$C$22+M24*Premissas!$D$22+M25*Premissas!$E$22)</f>
        <v>-1139.17014267605</v>
      </c>
      <c r="N40" s="21" t="n">
        <f aca="false">-(N22*Premissas!$B$22+N23*Premissas!$C$22+N24*Premissas!$D$22+N25*Premissas!$E$22)</f>
        <v>-1220.84699886814</v>
      </c>
      <c r="O40" s="21" t="n">
        <f aca="false">-(O22*Premissas!$B$22+O23*Premissas!$C$22+O24*Premissas!$D$22+O25*Premissas!$E$22)</f>
        <v>-1587.31163819203</v>
      </c>
      <c r="P40" s="21" t="n">
        <f aca="false">-(P22*Premissas!$B$22+P23*Premissas!$C$22+P24*Premissas!$D$22+P25*Premissas!$E$22)</f>
        <v>-1942.0485331005</v>
      </c>
      <c r="Q40" s="21" t="n">
        <f aca="false">-(Q22*Premissas!$B$22+Q23*Premissas!$C$22+Q24*Premissas!$D$22+Q25*Premissas!$E$22)</f>
        <v>-2285.47072554077</v>
      </c>
      <c r="R40" s="21" t="n">
        <f aca="false">-(R22*Premissas!$B$22+R23*Premissas!$C$22+R24*Premissas!$D$22+R25*Premissas!$E$22)</f>
        <v>-2617.97489601476</v>
      </c>
      <c r="S40" s="21" t="n">
        <f aca="false">-(S22*Premissas!$B$22+S23*Premissas!$C$22+S24*Premissas!$D$22+S25*Premissas!$E$22)</f>
        <v>-2939.94209345356</v>
      </c>
      <c r="T40" s="21" t="n">
        <f aca="false">-(T22*Premissas!$B$22+T23*Premissas!$C$22+T24*Premissas!$D$22+T25*Premissas!$E$22)</f>
        <v>-3251.73842918477</v>
      </c>
      <c r="U40" s="21" t="n">
        <f aca="false">-(U22*Premissas!$B$22+U23*Premissas!$C$22+U24*Premissas!$D$22+U25*Premissas!$E$22)</f>
        <v>-3553.71573688296</v>
      </c>
      <c r="V40" s="21" t="n">
        <f aca="false">-(V22*Premissas!$B$22+V23*Premissas!$C$22+V24*Premissas!$D$22+V25*Premissas!$E$22)</f>
        <v>-3846.21220028978</v>
      </c>
      <c r="W40" s="21" t="n">
        <f aca="false">-(W22*Premissas!$B$22+W23*Premissas!$C$22+W24*Premissas!$D$22+W25*Premissas!$E$22)</f>
        <v>-4129.55295039247</v>
      </c>
      <c r="X40" s="21" t="n">
        <f aca="false">-(X22*Premissas!$B$22+X23*Premissas!$C$22+X24*Premissas!$D$22+X25*Premissas!$E$22)</f>
        <v>-4404.05063365699</v>
      </c>
      <c r="Y40" s="21" t="n">
        <f aca="false">-(Y22*Premissas!$B$22+Y23*Premissas!$C$22+Y24*Premissas!$D$22+Y25*Premissas!$E$22)</f>
        <v>-4670.00595282486</v>
      </c>
      <c r="Z40" s="21" t="n">
        <f aca="false">-(Z22*Premissas!$B$22+Z23*Premissas!$C$22+Z24*Premissas!$D$22+Z25*Premissas!$E$22)</f>
        <v>-4927.7081817005</v>
      </c>
      <c r="AA40" s="21" t="n">
        <f aca="false">-(AA22*Premissas!$B$22+AA23*Premissas!$C$22+AA24*Premissas!$D$22+AA25*Premissas!$E$22)</f>
        <v>-5794.53792801554</v>
      </c>
      <c r="AB40" s="21" t="n">
        <f aca="false">-(AB22*Premissas!$B$22+AB23*Premissas!$C$22+AB24*Premissas!$D$22+AB25*Premissas!$E$22)</f>
        <v>-6638.35449295301</v>
      </c>
      <c r="AC40" s="21" t="n">
        <f aca="false">-(AC22*Premissas!$B$22+AC23*Premissas!$C$22+AC24*Premissas!$D$22+AC25*Premissas!$E$22)</f>
        <v>-7459.83082521818</v>
      </c>
      <c r="AD40" s="21" t="n">
        <f aca="false">-(AD22*Premissas!$B$22+AD23*Premissas!$C$22+AD24*Premissas!$D$22+AD25*Premissas!$E$22)</f>
        <v>-8259.61744478767</v>
      </c>
      <c r="AE40" s="21" t="n">
        <f aca="false">-(AE22*Premissas!$B$22+AE23*Premissas!$C$22+AE24*Premissas!$D$22+AE25*Premissas!$E$22)</f>
        <v>-9038.34330639972</v>
      </c>
      <c r="AF40" s="21" t="n">
        <f aca="false">-(AF22*Premissas!$B$22+AF23*Premissas!$C$22+AF24*Premissas!$D$22+AF25*Premissas!$E$22)</f>
        <v>-9796.61662536848</v>
      </c>
      <c r="AG40" s="21" t="n">
        <f aca="false">-(AG22*Premissas!$B$22+AG23*Premissas!$C$22+AG24*Premissas!$D$22+AG25*Premissas!$E$22)</f>
        <v>-10535.0256675165</v>
      </c>
      <c r="AH40" s="21" t="n">
        <f aca="false">-(AH22*Premissas!$B$22+AH23*Premissas!$C$22+AH24*Premissas!$D$22+AH25*Premissas!$E$22)</f>
        <v>-11254.13950493</v>
      </c>
      <c r="AI40" s="21" t="n">
        <f aca="false">-(AI22*Premissas!$B$22+AI23*Premissas!$C$22+AI24*Premissas!$D$22+AI25*Premissas!$E$22)</f>
        <v>-11954.5087391556</v>
      </c>
      <c r="AJ40" s="21" t="n">
        <f aca="false">-(AJ22*Premissas!$B$22+AJ23*Premissas!$C$22+AJ24*Premissas!$D$22+AJ25*Premissas!$E$22)</f>
        <v>-12636.6661933764</v>
      </c>
      <c r="AK40" s="21" t="n">
        <f aca="false">-(AK22*Premissas!$B$22+AK23*Premissas!$C$22+AK24*Premissas!$D$22+AK25*Premissas!$E$22)</f>
        <v>-13301.1275750286</v>
      </c>
      <c r="AL40" s="21" t="n">
        <f aca="false">-(AL22*Premissas!$B$22+AL23*Premissas!$C$22+AL24*Premissas!$D$22+AL25*Premissas!$E$22)</f>
        <v>-13948.3921102468</v>
      </c>
      <c r="AM40" s="21" t="n">
        <f aca="false">-(AM22*Premissas!$B$22+AM23*Premissas!$C$22+AM24*Premissas!$D$22+AM25*Premissas!$E$22)</f>
        <v>-15371.5920507905</v>
      </c>
      <c r="AN40" s="21" t="n">
        <f aca="false">-(AN22*Premissas!$B$22+AN23*Premissas!$C$22+AN24*Premissas!$D$22+AN25*Premissas!$E$22)</f>
        <v>-16761.7786884559</v>
      </c>
      <c r="AO40" s="21" t="n">
        <f aca="false">-(AO22*Premissas!$B$22+AO23*Premissas!$C$22+AO24*Premissas!$D$22+AO25*Premissas!$E$22)</f>
        <v>-18119.7928333547</v>
      </c>
      <c r="AP40" s="21" t="n">
        <f aca="false">-(AP22*Premissas!$B$22+AP23*Premissas!$C$22+AP24*Premissas!$D$22+AP25*Premissas!$E$22)</f>
        <v>-19446.4507920025</v>
      </c>
      <c r="AQ40" s="21" t="n">
        <f aca="false">-(AQ22*Premissas!$B$22+AQ23*Premissas!$C$22+AQ24*Premissas!$D$22+AQ25*Premissas!$E$22)</f>
        <v>-20742.5452029091</v>
      </c>
      <c r="AR40" s="21" t="n">
        <f aca="false">-(AR22*Premissas!$B$22+AR23*Premissas!$C$22+AR24*Premissas!$D$22+AR25*Premissas!$E$22)</f>
        <v>-22008.8458393541</v>
      </c>
      <c r="AS40" s="21" t="n">
        <f aca="false">-(AS22*Premissas!$B$22+AS23*Premissas!$C$22+AS24*Premissas!$D$22+AS25*Premissas!$E$22)</f>
        <v>-23246.1003807713</v>
      </c>
      <c r="AT40" s="21" t="n">
        <f aca="false">-(AT22*Premissas!$B$22+AT23*Premissas!$C$22+AT24*Premissas!$D$22+AT25*Premissas!$E$22)</f>
        <v>-24455.0351541008</v>
      </c>
      <c r="AU40" s="21" t="n">
        <f aca="false">-(AU22*Premissas!$B$22+AU23*Premissas!$C$22+AU24*Premissas!$D$22+AU25*Premissas!$E$22)</f>
        <v>-25636.355846403</v>
      </c>
      <c r="AV40" s="21" t="n">
        <f aca="false">-(AV22*Premissas!$B$22+AV23*Premissas!$C$22+AV24*Premissas!$D$22+AV25*Premissas!$E$22)</f>
        <v>-26790.7481899721</v>
      </c>
      <c r="AW40" s="21" t="n">
        <f aca="false">-(AW22*Premissas!$B$22+AW23*Premissas!$C$22+AW24*Premissas!$D$22+AW25*Premissas!$E$22)</f>
        <v>-27918.8786211281</v>
      </c>
      <c r="AX40" s="21" t="n">
        <f aca="false">-(AX22*Premissas!$B$22+AX23*Premissas!$C$22+AX24*Premissas!$D$22+AX25*Premissas!$E$22)</f>
        <v>-29021.3949138131</v>
      </c>
      <c r="AY40" s="21" t="n">
        <f aca="false">-(AY22*Premissas!$B$22+AY23*Premissas!$C$22+AY24*Premissas!$D$22+AY25*Premissas!$E$22)</f>
        <v>-31013.1347530325</v>
      </c>
      <c r="AZ40" s="21" t="n">
        <f aca="false">-(AZ22*Premissas!$B$22+AZ23*Premissas!$C$22+AZ24*Premissas!$D$22+AZ25*Premissas!$E$22)</f>
        <v>-32965.1447738737</v>
      </c>
      <c r="BA40" s="21" t="n">
        <f aca="false">-(BA22*Premissas!$B$22+BA23*Premissas!$C$22+BA24*Premissas!$D$22+BA25*Premissas!$E$22)</f>
        <v>-34878.2844323983</v>
      </c>
      <c r="BB40" s="21" t="n">
        <f aca="false">-(BB22*Premissas!$B$22+BB23*Premissas!$C$22+BB24*Premissas!$D$22+BB25*Premissas!$E$22)</f>
        <v>-36753.3920201983</v>
      </c>
      <c r="BC40" s="21" t="n">
        <f aca="false">-(BC22*Premissas!$B$22+BC23*Premissas!$C$22+BC24*Premissas!$D$22+BC25*Premissas!$E$22)</f>
        <v>-38591.2852814642</v>
      </c>
      <c r="BD40" s="21" t="n">
        <f aca="false">-(BD22*Premissas!$B$22+BD23*Premissas!$C$22+BD24*Premissas!$D$22+BD25*Premissas!$E$22)</f>
        <v>-40392.7620088085</v>
      </c>
      <c r="BE40" s="21" t="n">
        <f aca="false">-(BE22*Premissas!$B$22+BE23*Premissas!$C$22+BE24*Premissas!$D$22+BE25*Premissas!$E$22)</f>
        <v>-42158.60061867</v>
      </c>
      <c r="BF40" s="21" t="n">
        <f aca="false">-(BF22*Premissas!$B$22+BF23*Premissas!$C$22+BF24*Premissas!$D$22+BF25*Premissas!$E$22)</f>
        <v>-43889.5607070921</v>
      </c>
      <c r="BG40" s="21" t="n">
        <f aca="false">-(BG22*Premissas!$B$22+BG23*Premissas!$C$22+BG24*Premissas!$D$22+BG25*Premissas!$E$22)</f>
        <v>-45586.3835866368</v>
      </c>
      <c r="BH40" s="21" t="n">
        <f aca="false">-(BH22*Premissas!$B$22+BH23*Premissas!$C$22+BH24*Premissas!$D$22+BH25*Premissas!$E$22)</f>
        <v>-47249.7928051586</v>
      </c>
      <c r="BI40" s="21" t="n">
        <f aca="false">-(BI22*Premissas!$B$22+BI23*Premissas!$C$22+BI24*Premissas!$D$22+BI25*Premissas!$E$22)</f>
        <v>-48880.4946471395</v>
      </c>
      <c r="BJ40" s="21" t="n">
        <f aca="false">-(BJ22*Premissas!$B$22+BJ23*Premissas!$C$22+BJ24*Premissas!$D$22+BJ25*Premissas!$E$22)</f>
        <v>-50479.1786182512</v>
      </c>
    </row>
    <row r="41" customFormat="false" ht="15" hidden="false" customHeight="false" outlineLevel="0" collapsed="false">
      <c r="A41" s="5" t="s">
        <v>242</v>
      </c>
      <c r="C41" s="21" t="n">
        <f aca="false">-(IFERROR(C22/Premissas!$B$23,0)+IFERROR(C23/Premissas!$C$23,0)+IFERROR(C24/Premissas!$D$23,0)+IFERROR(C25/Premissas!$E$23,0))*Premissas!$B$24*(1+Premissas!$B$10)</f>
        <v>-337.573504273504</v>
      </c>
      <c r="D41" s="21" t="n">
        <f aca="false">-(IFERROR(D22/Premissas!$B$23,0)+IFERROR(D23/Premissas!$C$23,0)+IFERROR(D24/Premissas!$D$23,0)+IFERROR(D25/Premissas!$E$23,0))*Premissas!$B$24*(1+Premissas!$B$10)</f>
        <v>-666.538884188034</v>
      </c>
      <c r="E41" s="21" t="n">
        <f aca="false">-(IFERROR(E22/Premissas!$B$23,0)+IFERROR(E23/Premissas!$C$23,0)+IFERROR(E24/Premissas!$D$23,0)+IFERROR(E25/Premissas!$E$23,0))*Premissas!$B$24*(1+Premissas!$B$10)</f>
        <v>-987.077247928633</v>
      </c>
      <c r="F41" s="21" t="n">
        <f aca="false">-(IFERROR(F22/Premissas!$B$23,0)+IFERROR(F23/Premissas!$C$23,0)+IFERROR(F24/Premissas!$D$23,0)+IFERROR(F25/Premissas!$E$23,0))*Premissas!$B$24*(1+Premissas!$B$10)</f>
        <v>-1299.36836085514</v>
      </c>
      <c r="G41" s="21" t="n">
        <f aca="false">-(IFERROR(G22/Premissas!$B$23,0)+IFERROR(G23/Premissas!$C$23,0)+IFERROR(G24/Premissas!$D$23,0)+IFERROR(G25/Premissas!$E$23,0))*Premissas!$B$24*(1+Premissas!$B$10)</f>
        <v>-1603.59045911902</v>
      </c>
      <c r="H41" s="21" t="n">
        <f aca="false">-(IFERROR(H22/Premissas!$B$23,0)+IFERROR(H23/Premissas!$C$23,0)+IFERROR(H24/Premissas!$D$23,0)+IFERROR(H25/Premissas!$E$23,0))*Premissas!$B$24*(1+Premissas!$B$10)</f>
        <v>-1899.92008191693</v>
      </c>
      <c r="I41" s="21" t="n">
        <f aca="false">-(IFERROR(I22/Premissas!$B$23,0)+IFERROR(I23/Premissas!$C$23,0)+IFERROR(I24/Premissas!$D$23,0)+IFERROR(I25/Premissas!$E$23,0))*Premissas!$B$24*(1+Premissas!$B$10)</f>
        <v>-2188.53192104915</v>
      </c>
      <c r="J41" s="21" t="n">
        <f aca="false">-(IFERROR(J22/Premissas!$B$23,0)+IFERROR(J23/Premissas!$C$23,0)+IFERROR(J24/Premissas!$D$23,0)+IFERROR(J25/Premissas!$E$23,0))*Premissas!$B$24*(1+Premissas!$B$10)</f>
        <v>-2469.59868653747</v>
      </c>
      <c r="K41" s="21" t="n">
        <f aca="false">-(IFERROR(K22/Premissas!$B$23,0)+IFERROR(K23/Premissas!$C$23,0)+IFERROR(K24/Premissas!$D$23,0)+IFERROR(K25/Premissas!$E$23,0))*Premissas!$B$24*(1+Premissas!$B$10)</f>
        <v>-2743.29098713875</v>
      </c>
      <c r="L41" s="21" t="n">
        <f aca="false">-(IFERROR(L22/Premissas!$B$23,0)+IFERROR(L23/Premissas!$C$23,0)+IFERROR(L24/Premissas!$D$23,0)+IFERROR(L25/Premissas!$E$23,0))*Premissas!$B$24*(1+Premissas!$B$10)</f>
        <v>-3009.77722466597</v>
      </c>
      <c r="M41" s="21" t="n">
        <f aca="false">-(IFERROR(M22/Premissas!$B$23,0)+IFERROR(M23/Premissas!$C$23,0)+IFERROR(M24/Premissas!$D$23,0)+IFERROR(M25/Premissas!$E$23,0))*Premissas!$B$24*(1+Premissas!$B$10)</f>
        <v>-3269.22350110023</v>
      </c>
      <c r="N41" s="21" t="n">
        <f aca="false">-(IFERROR(N22/Premissas!$B$23,0)+IFERROR(N23/Premissas!$C$23,0)+IFERROR(N24/Premissas!$D$23,0)+IFERROR(N25/Premissas!$E$23,0))*Premissas!$B$24*(1+Premissas!$B$10)</f>
        <v>-3521.79353754395</v>
      </c>
      <c r="O41" s="21" t="n">
        <f aca="false">-(IFERROR(O22/Premissas!$B$23,0)+IFERROR(O23/Premissas!$C$23,0)+IFERROR(O24/Premissas!$D$23,0)+IFERROR(O25/Premissas!$E$23,0))*Premissas!$B$24*(1+Premissas!$B$10)</f>
        <v>-5181.42254173621</v>
      </c>
      <c r="P41" s="21" t="n">
        <f aca="false">-(IFERROR(P22/Premissas!$B$23,0)+IFERROR(P23/Premissas!$C$23,0)+IFERROR(P24/Premissas!$D$23,0)+IFERROR(P25/Premissas!$E$23,0))*Premissas!$B$24*(1+Premissas!$B$10)</f>
        <v>-6804.56470325761</v>
      </c>
      <c r="Q41" s="21" t="n">
        <f aca="false">-(IFERROR(Q22/Premissas!$B$23,0)+IFERROR(Q23/Premissas!$C$23,0)+IFERROR(Q24/Premissas!$D$23,0)+IFERROR(Q25/Premissas!$E$23,0))*Premissas!$B$24*(1+Premissas!$B$10)</f>
        <v>-8391.8876158724</v>
      </c>
      <c r="R41" s="21" t="n">
        <f aca="false">-(IFERROR(R22/Premissas!$B$23,0)+IFERROR(R23/Premissas!$C$23,0)+IFERROR(R24/Premissas!$D$23,0)+IFERROR(R25/Premissas!$E$23,0))*Premissas!$B$24*(1+Premissas!$B$10)</f>
        <v>-9944.05447155538</v>
      </c>
      <c r="S41" s="21" t="n">
        <f aca="false">-(IFERROR(S22/Premissas!$B$23,0)+IFERROR(S23/Premissas!$C$23,0)+IFERROR(S24/Premissas!$D$23,0)+IFERROR(S25/Premissas!$E$23,0))*Premissas!$B$24*(1+Premissas!$B$10)</f>
        <v>-11461.7235336134</v>
      </c>
      <c r="T41" s="21" t="n">
        <f aca="false">-(IFERROR(T22/Premissas!$B$23,0)+IFERROR(T23/Premissas!$C$23,0)+IFERROR(T24/Premissas!$D$23,0)+IFERROR(T25/Premissas!$E$23,0))*Premissas!$B$24*(1+Premissas!$B$10)</f>
        <v>-12945.5476569814</v>
      </c>
      <c r="U41" s="21" t="n">
        <f aca="false">-(IFERROR(U22/Premissas!$B$23,0)+IFERROR(U23/Premissas!$C$23,0)+IFERROR(U24/Premissas!$D$23,0)+IFERROR(U25/Premissas!$E$23,0))*Premissas!$B$24*(1+Premissas!$B$10)</f>
        <v>-14396.1738526537</v>
      </c>
      <c r="V41" s="21" t="n">
        <f aca="false">-(IFERROR(V22/Premissas!$B$23,0)+IFERROR(V23/Premissas!$C$23,0)+IFERROR(V24/Premissas!$D$23,0)+IFERROR(V25/Premissas!$E$23,0))*Premissas!$B$24*(1+Premissas!$B$10)</f>
        <v>-15814.2428933905</v>
      </c>
      <c r="W41" s="21" t="n">
        <f aca="false">-(IFERROR(W22/Premissas!$B$23,0)+IFERROR(W23/Premissas!$C$23,0)+IFERROR(W24/Premissas!$D$23,0)+IFERROR(W25/Premissas!$E$23,0))*Premissas!$B$24*(1+Premissas!$B$10)</f>
        <v>-17200.3889580076</v>
      </c>
      <c r="X41" s="21" t="n">
        <f aca="false">-(IFERROR(X22/Premissas!$B$23,0)+IFERROR(X23/Premissas!$C$23,0)+IFERROR(X24/Premissas!$D$23,0)+IFERROR(X25/Premissas!$E$23,0))*Premissas!$B$24*(1+Premissas!$B$10)</f>
        <v>-18555.2393117209</v>
      </c>
      <c r="Y41" s="21" t="n">
        <f aca="false">-(IFERROR(Y22/Premissas!$B$23,0)+IFERROR(Y23/Premissas!$C$23,0)+IFERROR(Y24/Premissas!$D$23,0)+IFERROR(Y25/Premissas!$E$23,0))*Premissas!$B$24*(1+Premissas!$B$10)</f>
        <v>-19879.414020162</v>
      </c>
      <c r="Z41" s="21" t="n">
        <f aca="false">-(IFERROR(Z22/Premissas!$B$23,0)+IFERROR(Z23/Premissas!$C$23,0)+IFERROR(Z24/Premissas!$D$23,0)+IFERROR(Z25/Premissas!$E$23,0))*Premissas!$B$24*(1+Premissas!$B$10)</f>
        <v>-21173.5256948276</v>
      </c>
      <c r="AA41" s="21" t="n">
        <f aca="false">-(IFERROR(AA22/Premissas!$B$23,0)+IFERROR(AA23/Premissas!$C$23,0)+IFERROR(AA24/Premissas!$D$23,0)+IFERROR(AA25/Premissas!$E$23,0))*Premissas!$B$24*(1+Premissas!$B$10)</f>
        <v>-26539.8244985302</v>
      </c>
      <c r="AB41" s="21" t="n">
        <f aca="false">-(IFERROR(AB22/Premissas!$B$23,0)+IFERROR(AB23/Premissas!$C$23,0)+IFERROR(AB24/Premissas!$D$23,0)+IFERROR(AB25/Premissas!$E$23,0))*Premissas!$B$24*(1+Premissas!$B$10)</f>
        <v>-31804.1711641138</v>
      </c>
      <c r="AC41" s="21" t="n">
        <f aca="false">-(IFERROR(AC22/Premissas!$B$23,0)+IFERROR(AC23/Premissas!$C$23,0)+IFERROR(AC24/Premissas!$D$23,0)+IFERROR(AC25/Premissas!$E$23,0))*Premissas!$B$24*(1+Premissas!$B$10)</f>
        <v>-36968.1650164211</v>
      </c>
      <c r="AD41" s="21" t="n">
        <f aca="false">-(IFERROR(AD22/Premissas!$B$23,0)+IFERROR(AD23/Premissas!$C$23,0)+IFERROR(AD24/Premissas!$D$23,0)+IFERROR(AD25/Premissas!$E$23,0))*Premissas!$B$24*(1+Premissas!$B$10)</f>
        <v>-42033.3977723645</v>
      </c>
      <c r="AE41" s="21" t="n">
        <f aca="false">-(IFERROR(AE22/Premissas!$B$23,0)+IFERROR(AE23/Premissas!$C$23,0)+IFERROR(AE24/Premissas!$D$23,0)+IFERROR(AE25/Premissas!$E$23,0))*Premissas!$B$24*(1+Premissas!$B$10)</f>
        <v>-47001.4524524556</v>
      </c>
      <c r="AF41" s="21" t="n">
        <f aca="false">-(IFERROR(AF22/Premissas!$B$23,0)+IFERROR(AF23/Premissas!$C$23,0)+IFERROR(AF24/Premissas!$D$23,0)+IFERROR(AF25/Premissas!$E$23,0))*Premissas!$B$24*(1+Premissas!$B$10)</f>
        <v>-51873.9023763723</v>
      </c>
      <c r="AG41" s="21" t="n">
        <f aca="false">-(IFERROR(AG22/Premissas!$B$23,0)+IFERROR(AG23/Premissas!$C$23,0)+IFERROR(AG24/Premissas!$D$23,0)+IFERROR(AG25/Premissas!$E$23,0))*Premissas!$B$24*(1+Premissas!$B$10)</f>
        <v>-56652.3102377342</v>
      </c>
      <c r="AH41" s="21" t="n">
        <f aca="false">-(IFERROR(AH22/Premissas!$B$23,0)+IFERROR(AH23/Premissas!$C$23,0)+IFERROR(AH24/Premissas!$D$23,0)+IFERROR(AH25/Premissas!$E$23,0))*Premissas!$B$24*(1+Premissas!$B$10)</f>
        <v>-61338.2272535074</v>
      </c>
      <c r="AI41" s="21" t="n">
        <f aca="false">-(IFERROR(AI22/Premissas!$B$23,0)+IFERROR(AI23/Premissas!$C$23,0)+IFERROR(AI24/Premissas!$D$23,0)+IFERROR(AI25/Premissas!$E$23,0))*Premissas!$B$24*(1+Premissas!$B$10)</f>
        <v>-65933.1923837123</v>
      </c>
      <c r="AJ41" s="21" t="n">
        <f aca="false">-(IFERROR(AJ22/Premissas!$B$23,0)+IFERROR(AJ23/Premissas!$C$23,0)+IFERROR(AJ24/Premissas!$D$23,0)+IFERROR(AJ25/Premissas!$E$23,0))*Premissas!$B$24*(1+Premissas!$B$10)</f>
        <v>-70438.7316173346</v>
      </c>
      <c r="AK41" s="21" t="n">
        <f aca="false">-(IFERROR(AK22/Premissas!$B$23,0)+IFERROR(AK23/Premissas!$C$23,0)+IFERROR(AK24/Premissas!$D$23,0)+IFERROR(AK25/Premissas!$E$23,0))*Premissas!$B$24*(1+Premissas!$B$10)</f>
        <v>-74856.3573205622</v>
      </c>
      <c r="AL41" s="21" t="n">
        <f aca="false">-(IFERROR(AL22/Premissas!$B$23,0)+IFERROR(AL23/Premissas!$C$23,0)+IFERROR(AL24/Premissas!$D$23,0)+IFERROR(AL25/Premissas!$E$23,0))*Premissas!$B$24*(1+Premissas!$B$10)</f>
        <v>-79187.5676436775</v>
      </c>
      <c r="AM41" s="21" t="n">
        <f aca="false">-(IFERROR(AM22/Premissas!$B$23,0)+IFERROR(AM23/Premissas!$C$23,0)+IFERROR(AM24/Premissas!$D$23,0)+IFERROR(AM25/Premissas!$E$23,0))*Premissas!$B$24*(1+Premissas!$B$10)</f>
        <v>-88779.5790251918</v>
      </c>
      <c r="AN41" s="21" t="n">
        <f aca="false">-(IFERROR(AN22/Premissas!$B$23,0)+IFERROR(AN23/Premissas!$C$23,0)+IFERROR(AN24/Premissas!$D$23,0)+IFERROR(AN25/Premissas!$E$23,0))*Premissas!$B$24*(1+Premissas!$B$10)</f>
        <v>-98209.4423072149</v>
      </c>
      <c r="AO41" s="21" t="n">
        <f aca="false">-(IFERROR(AO22/Premissas!$B$23,0)+IFERROR(AO23/Premissas!$C$23,0)+IFERROR(AO24/Premissas!$D$23,0)+IFERROR(AO25/Premissas!$E$23,0))*Premissas!$B$24*(1+Premissas!$B$10)</f>
        <v>-107479.385189779</v>
      </c>
      <c r="AP41" s="21" t="n">
        <f aca="false">-(IFERROR(AP22/Premissas!$B$23,0)+IFERROR(AP23/Premissas!$C$23,0)+IFERROR(AP24/Premissas!$D$23,0)+IFERROR(AP25/Premissas!$E$23,0))*Premissas!$B$24*(1+Premissas!$B$10)</f>
        <v>-116591.628851247</v>
      </c>
      <c r="AQ41" s="21" t="n">
        <f aca="false">-(IFERROR(AQ22/Premissas!$B$23,0)+IFERROR(AQ23/Premissas!$C$23,0)+IFERROR(AQ24/Premissas!$D$23,0)+IFERROR(AQ25/Premissas!$E$23,0))*Premissas!$B$24*(1+Premissas!$B$10)</f>
        <v>-125548.386536143</v>
      </c>
      <c r="AR41" s="21" t="n">
        <f aca="false">-(IFERROR(AR22/Premissas!$B$23,0)+IFERROR(AR23/Premissas!$C$23,0)+IFERROR(AR24/Premissas!$D$23,0)+IFERROR(AR25/Premissas!$E$23,0))*Premissas!$B$24*(1+Premissas!$B$10)</f>
        <v>-134351.862237857</v>
      </c>
      <c r="AS41" s="21" t="n">
        <f aca="false">-(IFERROR(AS22/Premissas!$B$23,0)+IFERROR(AS23/Premissas!$C$23,0)+IFERROR(AS24/Premissas!$D$23,0)+IFERROR(AS25/Premissas!$E$23,0))*Premissas!$B$24*(1+Premissas!$B$10)</f>
        <v>-143004.249471343</v>
      </c>
      <c r="AT41" s="21" t="n">
        <f aca="false">-(IFERROR(AT22/Premissas!$B$23,0)+IFERROR(AT23/Premissas!$C$23,0)+IFERROR(AT24/Premissas!$D$23,0)+IFERROR(AT25/Premissas!$E$23,0))*Premissas!$B$24*(1+Premissas!$B$10)</f>
        <v>-151507.7301311</v>
      </c>
      <c r="AU41" s="21" t="n">
        <f aca="false">-(IFERROR(AU22/Premissas!$B$23,0)+IFERROR(AU23/Premissas!$C$23,0)+IFERROR(AU24/Premissas!$D$23,0)+IFERROR(AU25/Premissas!$E$23,0))*Premissas!$B$24*(1+Premissas!$B$10)</f>
        <v>-159864.473430017</v>
      </c>
      <c r="AV41" s="21" t="n">
        <f aca="false">-(IFERROR(AV22/Premissas!$B$23,0)+IFERROR(AV23/Premissas!$C$23,0)+IFERROR(AV24/Premissas!$D$23,0)+IFERROR(AV25/Premissas!$E$23,0))*Premissas!$B$24*(1+Premissas!$B$10)</f>
        <v>-168076.634914851</v>
      </c>
      <c r="AW41" s="21" t="n">
        <f aca="false">-(IFERROR(AW22/Premissas!$B$23,0)+IFERROR(AW23/Premissas!$C$23,0)+IFERROR(AW24/Premissas!$D$23,0)+IFERROR(AW25/Premissas!$E$23,0))*Premissas!$B$24*(1+Premissas!$B$10)</f>
        <v>-176146.355554295</v>
      </c>
      <c r="AX41" s="21" t="n">
        <f aca="false">-(IFERROR(AX22/Premissas!$B$23,0)+IFERROR(AX23/Premissas!$C$23,0)+IFERROR(AX24/Premissas!$D$23,0)+IFERROR(AX25/Premissas!$E$23,0))*Premissas!$B$24*(1+Premissas!$B$10)</f>
        <v>-184075.760895835</v>
      </c>
      <c r="AY41" s="21" t="n">
        <f aca="false">-(IFERROR(AY22/Premissas!$B$23,0)+IFERROR(AY23/Premissas!$C$23,0)+IFERROR(AY24/Premissas!$D$23,0)+IFERROR(AY25/Premissas!$E$23,0))*Premissas!$B$24*(1+Premissas!$B$10)</f>
        <v>-199142.373401182</v>
      </c>
      <c r="AZ41" s="21" t="n">
        <f aca="false">-(IFERROR(AZ22/Premissas!$B$23,0)+IFERROR(AZ23/Premissas!$C$23,0)+IFERROR(AZ24/Premissas!$D$23,0)+IFERROR(AZ25/Premissas!$E$23,0))*Premissas!$B$24*(1+Premissas!$B$10)</f>
        <v>-213979.402806905</v>
      </c>
      <c r="BA41" s="21" t="n">
        <f aca="false">-(IFERROR(BA22/Premissas!$B$23,0)+IFERROR(BA23/Premissas!$C$23,0)+IFERROR(BA24/Premissas!$D$23,0)+IFERROR(BA25/Premissas!$E$23,0))*Premissas!$B$24*(1+Premissas!$B$10)</f>
        <v>-228589.748626756</v>
      </c>
      <c r="BB41" s="21" t="n">
        <f aca="false">-(IFERROR(BB22/Premissas!$B$23,0)+IFERROR(BB23/Premissas!$C$23,0)+IFERROR(BB24/Premissas!$D$23,0)+IFERROR(BB25/Premissas!$E$23,0))*Premissas!$B$24*(1+Premissas!$B$10)</f>
        <v>-242976.298613003</v>
      </c>
      <c r="BC41" s="21" t="n">
        <f aca="false">-(IFERROR(BC22/Premissas!$B$23,0)+IFERROR(BC23/Premissas!$C$23,0)+IFERROR(BC24/Premissas!$D$23,0)+IFERROR(BC25/Premissas!$E$23,0))*Premissas!$B$24*(1+Premissas!$B$10)</f>
        <v>-257141.927514019</v>
      </c>
      <c r="BD41" s="21" t="n">
        <f aca="false">-(IFERROR(BD22/Premissas!$B$23,0)+IFERROR(BD23/Premissas!$C$23,0)+IFERROR(BD24/Premissas!$D$23,0)+IFERROR(BD25/Premissas!$E$23,0))*Premissas!$B$24*(1+Premissas!$B$10)</f>
        <v>-271089.49591064</v>
      </c>
      <c r="BE41" s="21" t="n">
        <f aca="false">-(IFERROR(BE22/Premissas!$B$23,0)+IFERROR(BE23/Premissas!$C$23,0)+IFERROR(BE24/Premissas!$D$23,0)+IFERROR(BE25/Premissas!$E$23,0))*Premissas!$B$24*(1+Premissas!$B$10)</f>
        <v>-284821.849127565</v>
      </c>
      <c r="BF41" s="21" t="n">
        <f aca="false">-(IFERROR(BF22/Premissas!$B$23,0)+IFERROR(BF23/Premissas!$C$23,0)+IFERROR(BF24/Premissas!$D$23,0)+IFERROR(BF25/Premissas!$E$23,0))*Premissas!$B$24*(1+Premissas!$B$10)</f>
        <v>-298341.816216213</v>
      </c>
      <c r="BG41" s="21" t="n">
        <f aca="false">-(IFERROR(BG22/Premissas!$B$23,0)+IFERROR(BG23/Premissas!$C$23,0)+IFERROR(BG24/Premissas!$D$23,0)+IFERROR(BG25/Premissas!$E$23,0))*Premissas!$B$24*(1+Premissas!$B$10)</f>
        <v>-311652.209005655</v>
      </c>
      <c r="BH41" s="21" t="n">
        <f aca="false">-(IFERROR(BH22/Premissas!$B$23,0)+IFERROR(BH23/Premissas!$C$23,0)+IFERROR(BH24/Premissas!$D$23,0)+IFERROR(BH25/Premissas!$E$23,0))*Premissas!$B$24*(1+Premissas!$B$10)</f>
        <v>-324755.821218345</v>
      </c>
      <c r="BI41" s="21" t="n">
        <f aca="false">-(IFERROR(BI22/Premissas!$B$23,0)+IFERROR(BI23/Premissas!$C$23,0)+IFERROR(BI24/Premissas!$D$23,0)+IFERROR(BI25/Premissas!$E$23,0))*Premissas!$B$24*(1+Premissas!$B$10)</f>
        <v>-337655.427647561</v>
      </c>
      <c r="BJ41" s="21" t="n">
        <f aca="false">-(IFERROR(BJ22/Premissas!$B$23,0)+IFERROR(BJ23/Premissas!$C$23,0)+IFERROR(BJ24/Premissas!$D$23,0)+IFERROR(BJ25/Premissas!$E$23,0))*Premissas!$B$24*(1+Premissas!$B$10)</f>
        <v>-350353.783393555</v>
      </c>
    </row>
    <row r="42" customFormat="false" ht="15" hidden="false" customHeight="false" outlineLevel="0" collapsed="false">
      <c r="A42" s="5" t="s">
        <v>243</v>
      </c>
      <c r="C42" s="21" t="n">
        <f aca="false">-C35*Premissas!$B$9</f>
        <v>-378.820310109829</v>
      </c>
      <c r="D42" s="21" t="n">
        <f aca="false">-D35*Premissas!$B$9</f>
        <v>-613.397954568257</v>
      </c>
      <c r="E42" s="21" t="n">
        <f aca="false">-E35*Premissas!$B$9</f>
        <v>-839.679124480548</v>
      </c>
      <c r="F42" s="21" t="n">
        <f aca="false">-F35*Premissas!$B$9</f>
        <v>-1057.97671301394</v>
      </c>
      <c r="G42" s="21" t="n">
        <f aca="false">-G35*Premissas!$B$9</f>
        <v>-1268.59072812483</v>
      </c>
      <c r="H42" s="21" t="n">
        <f aca="false">-H35*Premissas!$B$9</f>
        <v>-1471.80888064257</v>
      </c>
      <c r="I42" s="21" t="n">
        <f aca="false">-I35*Premissas!$B$9</f>
        <v>-1667.90714269838</v>
      </c>
      <c r="J42" s="21" t="n">
        <f aca="false">-J35*Premissas!$B$9</f>
        <v>-1857.15027812002</v>
      </c>
      <c r="K42" s="21" t="n">
        <f aca="false">-K35*Premissas!$B$9</f>
        <v>-2039.79234631945</v>
      </c>
      <c r="L42" s="21" t="n">
        <f aca="false">-L35*Premissas!$B$9</f>
        <v>-2216.07718111233</v>
      </c>
      <c r="M42" s="21" t="n">
        <f aca="false">-M35*Premissas!$B$9</f>
        <v>-2386.23884582572</v>
      </c>
      <c r="N42" s="21" t="n">
        <f aca="false">-N35*Premissas!$B$9</f>
        <v>-2550.50206597227</v>
      </c>
      <c r="O42" s="21" t="n">
        <f aca="false">-O35*Premissas!$B$9</f>
        <v>-3780.09602453311</v>
      </c>
      <c r="P42" s="21" t="n">
        <f aca="false">-P35*Premissas!$B$9</f>
        <v>-4558.74741693355</v>
      </c>
      <c r="Q42" s="21" t="n">
        <f aca="false">-Q35*Premissas!$B$9</f>
        <v>-5314.74756652401</v>
      </c>
      <c r="R42" s="21" t="n">
        <f aca="false">-R35*Premissas!$B$9</f>
        <v>-6048.79656347253</v>
      </c>
      <c r="S42" s="21" t="n">
        <f aca="false">-S35*Premissas!$B$9</f>
        <v>-6761.57082357001</v>
      </c>
      <c r="T42" s="21" t="n">
        <f aca="false">-T35*Premissas!$B$9</f>
        <v>-7453.72398838599</v>
      </c>
      <c r="U42" s="21" t="n">
        <f aca="false">-U35*Premissas!$B$9</f>
        <v>-8125.88778660605</v>
      </c>
      <c r="V42" s="21" t="n">
        <f aca="false">-V35*Premissas!$B$9</f>
        <v>-8778.67285841711</v>
      </c>
      <c r="W42" s="21" t="n">
        <f aca="false">-W35*Premissas!$B$9</f>
        <v>-9412.66954471034</v>
      </c>
      <c r="X42" s="21" t="n">
        <f aca="false">-X35*Premissas!$B$9</f>
        <v>-10028.4486427793</v>
      </c>
      <c r="Y42" s="21" t="n">
        <f aca="false">-Y35*Premissas!$B$9</f>
        <v>-10626.5621301049</v>
      </c>
      <c r="Z42" s="21" t="n">
        <f aca="false">-Z35*Premissas!$B$9</f>
        <v>-11207.5438577354</v>
      </c>
      <c r="AA42" s="21" t="n">
        <f aca="false">-AA35*Premissas!$B$9</f>
        <v>-14460.7602838577</v>
      </c>
      <c r="AB42" s="21" t="n">
        <f aca="false">-AB35*Premissas!$B$9</f>
        <v>-16515.7073702783</v>
      </c>
      <c r="AC42" s="21" t="n">
        <f aca="false">-AC35*Premissas!$B$9</f>
        <v>-18521.2506764252</v>
      </c>
      <c r="AD42" s="21" t="n">
        <f aca="false">-AD35*Premissas!$B$9</f>
        <v>-20478.6374685079</v>
      </c>
      <c r="AE42" s="21" t="n">
        <f aca="false">-AE35*Premissas!$B$9</f>
        <v>-22389.0808724862</v>
      </c>
      <c r="AF42" s="21" t="n">
        <f aca="false">-AF35*Premissas!$B$9</f>
        <v>-24253.7609291123</v>
      </c>
      <c r="AG42" s="21" t="n">
        <f aca="false">-AG35*Premissas!$B$9</f>
        <v>-26073.8256110771</v>
      </c>
      <c r="AH42" s="21" t="n">
        <f aca="false">-AH35*Premissas!$B$9</f>
        <v>-27850.3918038331</v>
      </c>
      <c r="AI42" s="21" t="n">
        <f aca="false">-AI35*Premissas!$B$9</f>
        <v>-29584.5462515955</v>
      </c>
      <c r="AJ42" s="21" t="n">
        <f aca="false">-AJ35*Premissas!$B$9</f>
        <v>-31277.3464699527</v>
      </c>
      <c r="AK42" s="21" t="n">
        <f aca="false">-AK35*Premissas!$B$9</f>
        <v>-32929.821626451</v>
      </c>
      <c r="AL42" s="21" t="n">
        <f aca="false">-AL35*Premissas!$B$9</f>
        <v>-34542.9733904583</v>
      </c>
      <c r="AM42" s="21" t="n">
        <f aca="false">-AM35*Premissas!$B$9</f>
        <v>-39744.2466348556</v>
      </c>
      <c r="AN42" s="21" t="n">
        <f aca="false">-AN35*Premissas!$B$9</f>
        <v>-43259.934727109</v>
      </c>
      <c r="AO42" s="21" t="n">
        <f aca="false">-AO35*Premissas!$B$9</f>
        <v>-46701.6410779368</v>
      </c>
      <c r="AP42" s="21" t="n">
        <f aca="false">-AP35*Premissas!$B$9</f>
        <v>-50070.9845431018</v>
      </c>
      <c r="AQ42" s="21" t="n">
        <f aca="false">-AQ35*Premissas!$B$9</f>
        <v>-53369.5460064202</v>
      </c>
      <c r="AR42" s="21" t="n">
        <f aca="false">-AR35*Premissas!$B$9</f>
        <v>-56598.8693787307</v>
      </c>
      <c r="AS42" s="21" t="n">
        <f aca="false">-AS35*Premissas!$B$9</f>
        <v>-59760.4625660839</v>
      </c>
      <c r="AT42" s="21" t="n">
        <f aca="false">-AT35*Premissas!$B$9</f>
        <v>-62855.7984082731</v>
      </c>
      <c r="AU42" s="21" t="n">
        <f aca="false">-AU35*Premissas!$B$9</f>
        <v>-65886.3155887799</v>
      </c>
      <c r="AV42" s="21" t="n">
        <f aca="false">-AV35*Premissas!$B$9</f>
        <v>-68853.4195171631</v>
      </c>
      <c r="AW42" s="21" t="n">
        <f aca="false">-AW35*Premissas!$B$9</f>
        <v>-71758.4831848793</v>
      </c>
      <c r="AX42" s="21" t="n">
        <f aca="false">-AX35*Premissas!$B$9</f>
        <v>-74602.8479954791</v>
      </c>
      <c r="AY42" s="21" t="n">
        <f aca="false">-AY35*Premissas!$B$9</f>
        <v>-82225.1893379655</v>
      </c>
      <c r="AZ42" s="21" t="n">
        <f aca="false">-AZ35*Premissas!$B$9</f>
        <v>-87394.6664935247</v>
      </c>
      <c r="BA42" s="21" t="n">
        <f aca="false">-BA35*Premissas!$B$9</f>
        <v>-92469.6463338462</v>
      </c>
      <c r="BB42" s="21" t="n">
        <f aca="false">-BB35*Premissas!$B$9</f>
        <v>-97451.8978901593</v>
      </c>
      <c r="BC42" s="21" t="n">
        <f aca="false">-BC35*Premissas!$B$9</f>
        <v>-102343.15550025</v>
      </c>
      <c r="BD42" s="21" t="n">
        <f aca="false">-BD35*Premissas!$B$9</f>
        <v>-107145.119552017</v>
      </c>
      <c r="BE42" s="21" t="n">
        <f aca="false">-BE35*Premissas!$B$9</f>
        <v>-111859.457208555</v>
      </c>
      <c r="BF42" s="21" t="n">
        <f aca="false">-BF35*Premissas!$B$9</f>
        <v>-116487.803115328</v>
      </c>
      <c r="BG42" s="21" t="n">
        <f aca="false">-BG35*Premissas!$B$9</f>
        <v>-121031.760089956</v>
      </c>
      <c r="BH42" s="21" t="n">
        <f aca="false">-BH35*Premissas!$B$9</f>
        <v>-125492.899795136</v>
      </c>
      <c r="BI42" s="21" t="n">
        <f aca="false">-BI35*Premissas!$B$9</f>
        <v>-129872.7633952</v>
      </c>
      <c r="BJ42" s="21" t="n">
        <f aca="false">-BJ35*Premissas!$B$9</f>
        <v>-134172.862196782</v>
      </c>
    </row>
    <row r="43" customFormat="false" ht="15" hidden="false" customHeight="false" outlineLevel="0" collapsed="false">
      <c r="A43" s="18" t="s">
        <v>244</v>
      </c>
      <c r="C43" s="30" t="n">
        <f aca="false">SUM(C39:C42)</f>
        <v>-1325.27429301581</v>
      </c>
      <c r="D43" s="30" t="n">
        <f aca="false">SUM(D39:D42)</f>
        <v>-2475.5702215939</v>
      </c>
      <c r="E43" s="30" t="n">
        <f aca="false">SUM(E39:E42)</f>
        <v>-3587.8810463358</v>
      </c>
      <c r="F43" s="30" t="n">
        <f aca="false">SUM(F39:F42)</f>
        <v>-4663.52811697499</v>
      </c>
      <c r="G43" s="30" t="n">
        <f aca="false">SUM(G39:G42)</f>
        <v>-5703.78287658871</v>
      </c>
      <c r="H43" s="30" t="n">
        <f aca="false">SUM(H39:H42)</f>
        <v>-6709.86896679703</v>
      </c>
      <c r="I43" s="30" t="n">
        <f aca="false">SUM(I39:I42)</f>
        <v>-7682.96423282253</v>
      </c>
      <c r="J43" s="30" t="n">
        <f aca="false">SUM(J39:J42)</f>
        <v>-8624.2026336967</v>
      </c>
      <c r="K43" s="30" t="n">
        <f aca="false">SUM(K39:K42)</f>
        <v>-9534.67606259827</v>
      </c>
      <c r="L43" s="30" t="n">
        <f aca="false">SUM(L39:L42)</f>
        <v>-10415.4360820268</v>
      </c>
      <c r="M43" s="30" t="n">
        <f aca="false">SUM(M39:M42)</f>
        <v>-11267.4955782488</v>
      </c>
      <c r="N43" s="30" t="n">
        <f aca="false">SUM(N39:N42)</f>
        <v>-12091.8303392029</v>
      </c>
      <c r="O43" s="30" t="n">
        <f aca="false">SUM(O39:O42)</f>
        <v>-16883.8786426491</v>
      </c>
      <c r="P43" s="30" t="n">
        <f aca="false">SUM(P39:P42)</f>
        <v>-21131.429995682</v>
      </c>
      <c r="Q43" s="30" t="n">
        <f aca="false">SUM(Q39:Q42)</f>
        <v>-25265.2854208696</v>
      </c>
      <c r="R43" s="30" t="n">
        <f aca="false">SUM(R39:R42)</f>
        <v>-29288.5844005692</v>
      </c>
      <c r="S43" s="30" t="n">
        <f aca="false">SUM(S39:S42)</f>
        <v>-33204.3745744027</v>
      </c>
      <c r="T43" s="30" t="n">
        <f aca="false">SUM(T39:T42)</f>
        <v>-37015.6147038327</v>
      </c>
      <c r="U43" s="30" t="n">
        <f aca="false">SUM(U39:U42)</f>
        <v>-40725.1775267025</v>
      </c>
      <c r="V43" s="30" t="n">
        <f aca="false">SUM(V39:V42)</f>
        <v>-44335.852506501</v>
      </c>
      <c r="W43" s="30" t="n">
        <f aca="false">SUM(W39:W42)</f>
        <v>-47850.3484808752</v>
      </c>
      <c r="X43" s="30" t="n">
        <f aca="false">SUM(X39:X42)</f>
        <v>-51271.2962136951</v>
      </c>
      <c r="Y43" s="30" t="n">
        <f aca="false">SUM(Y39:Y42)</f>
        <v>-54601.2508547661</v>
      </c>
      <c r="Z43" s="30" t="n">
        <f aca="false">SUM(Z39:Z42)</f>
        <v>-57842.6943110843</v>
      </c>
      <c r="AA43" s="30" t="n">
        <f aca="false">SUM(AA39:AA42)</f>
        <v>-71220.5241251668</v>
      </c>
      <c r="AB43" s="30" t="n">
        <f aca="false">SUM(AB39:AB42)</f>
        <v>-83180.1098949647</v>
      </c>
      <c r="AC43" s="30" t="n">
        <f aca="false">SUM(AC39:AC42)</f>
        <v>-94875.0426448296</v>
      </c>
      <c r="AD43" s="30" t="n">
        <f aca="false">SUM(AD39:AD42)</f>
        <v>-106311.195762643</v>
      </c>
      <c r="AE43" s="30" t="n">
        <f aca="false">SUM(AE39:AE42)</f>
        <v>-117494.311154687</v>
      </c>
      <c r="AF43" s="30" t="n">
        <f aca="false">SUM(AF39:AF42)</f>
        <v>-128430.002265832</v>
      </c>
      <c r="AG43" s="30" t="n">
        <f aca="false">SUM(AG39:AG42)</f>
        <v>-139123.757025577</v>
      </c>
      <c r="AH43" s="30" t="n">
        <f aca="false">SUM(AH39:AH42)</f>
        <v>-149580.940722046</v>
      </c>
      <c r="AI43" s="30" t="n">
        <f aca="false">SUM(AI39:AI42)</f>
        <v>-159806.798805943</v>
      </c>
      <c r="AJ43" s="30" t="n">
        <f aca="false">SUM(AJ39:AJ42)</f>
        <v>-169806.459626429</v>
      </c>
      <c r="AK43" s="30" t="n">
        <f aca="false">SUM(AK39:AK42)</f>
        <v>-179584.937100784</v>
      </c>
      <c r="AL43" s="30" t="n">
        <f aca="false">SUM(AL39:AL42)</f>
        <v>-189147.133319693</v>
      </c>
      <c r="AM43" s="30" t="n">
        <f aca="false">SUM(AM39:AM42)</f>
        <v>-211886.767675768</v>
      </c>
      <c r="AN43" s="30" t="n">
        <f aca="false">SUM(AN39:AN42)</f>
        <v>-232606.302293672</v>
      </c>
      <c r="AO43" s="30" t="n">
        <f aca="false">SUM(AO39:AO42)</f>
        <v>-252923.529516942</v>
      </c>
      <c r="AP43" s="30" t="n">
        <f aca="false">SUM(AP39:AP42)</f>
        <v>-272846.150327986</v>
      </c>
      <c r="AQ43" s="30" t="n">
        <f aca="false">SUM(AQ39:AQ42)</f>
        <v>-292381.72244354</v>
      </c>
      <c r="AR43" s="30" t="n">
        <f aca="false">SUM(AR39:AR42)</f>
        <v>-311537.662820464</v>
      </c>
      <c r="AS43" s="30" t="n">
        <f aca="false">SUM(AS39:AS42)</f>
        <v>-330321.250124242</v>
      </c>
      <c r="AT43" s="30" t="n">
        <f aca="false">SUM(AT39:AT42)</f>
        <v>-348739.62716042</v>
      </c>
      <c r="AU43" s="30" t="n">
        <f aca="false">SUM(AU39:AU42)</f>
        <v>-366799.803269277</v>
      </c>
      <c r="AV43" s="30" t="n">
        <f aca="false">SUM(AV39:AV42)</f>
        <v>-384508.656684001</v>
      </c>
      <c r="AW43" s="30" t="n">
        <f aca="false">SUM(AW39:AW42)</f>
        <v>-401872.936852685</v>
      </c>
      <c r="AX43" s="30" t="n">
        <f aca="false">SUM(AX39:AX42)</f>
        <v>-418899.266724453</v>
      </c>
      <c r="AY43" s="30" t="n">
        <f aca="false">SUM(AY39:AY42)</f>
        <v>-452972.324453305</v>
      </c>
      <c r="AZ43" s="30" t="n">
        <f aca="false">SUM(AZ39:AZ42)</f>
        <v>-484149.165268224</v>
      </c>
      <c r="BA43" s="30" t="n">
        <f aca="false">SUM(BA39:BA42)</f>
        <v>-514795.244881221</v>
      </c>
      <c r="BB43" s="30" t="n">
        <f aca="false">SUM(BB39:BB42)</f>
        <v>-544919.320549549</v>
      </c>
      <c r="BC43" s="30" t="n">
        <f aca="false">SUM(BC39:BC42)</f>
        <v>-574530.015130837</v>
      </c>
      <c r="BD43" s="30" t="n">
        <f aca="false">SUM(BD39:BD42)</f>
        <v>-603635.818751388</v>
      </c>
      <c r="BE43" s="30" t="n">
        <f aca="false">SUM(BE39:BE42)</f>
        <v>-632245.090471044</v>
      </c>
      <c r="BF43" s="30" t="n">
        <f aca="false">SUM(BF39:BF42)</f>
        <v>-660366.059943669</v>
      </c>
      <c r="BG43" s="30" t="n">
        <f aca="false">SUM(BG39:BG42)</f>
        <v>-688006.829072348</v>
      </c>
      <c r="BH43" s="30" t="n">
        <f aca="false">SUM(BH39:BH42)</f>
        <v>-715175.37365846</v>
      </c>
      <c r="BI43" s="30" t="n">
        <f aca="false">SUM(BI39:BI42)</f>
        <v>-741879.545043845</v>
      </c>
      <c r="BJ43" s="30" t="n">
        <f aca="false">SUM(BJ39:BJ42)</f>
        <v>-768127.071745319</v>
      </c>
    </row>
    <row r="44" customFormat="false" ht="15" hidden="false" customHeight="false" outlineLevel="0" collapsed="false">
      <c r="A44" s="18" t="s">
        <v>130</v>
      </c>
      <c r="C44" s="30" t="n">
        <f aca="false">C37+C43</f>
        <v>8307.58502120556</v>
      </c>
      <c r="D44" s="30" t="n">
        <f aca="false">D37+D43</f>
        <v>13122.2634802846</v>
      </c>
      <c r="E44" s="30" t="n">
        <f aca="false">E37+E43</f>
        <v>17763.9595475981</v>
      </c>
      <c r="F44" s="30" t="n">
        <f aca="false">F37+F43</f>
        <v>22239.3082996652</v>
      </c>
      <c r="G44" s="30" t="n">
        <f aca="false">G37+G43</f>
        <v>26554.6670671569</v>
      </c>
      <c r="H44" s="30" t="n">
        <f aca="false">H37+H43</f>
        <v>30716.1282838283</v>
      </c>
      <c r="I44" s="30" t="n">
        <f aca="false">I37+I43</f>
        <v>34729.5316815076</v>
      </c>
      <c r="J44" s="30" t="n">
        <f aca="false">J37+J43</f>
        <v>38600.4758670695</v>
      </c>
      <c r="K44" s="30" t="n">
        <f aca="false">K37+K43</f>
        <v>42334.3293152391</v>
      </c>
      <c r="L44" s="30" t="n">
        <f aca="false">L37+L43</f>
        <v>45936.2408091152</v>
      </c>
      <c r="M44" s="30" t="n">
        <f aca="false">M37+M43</f>
        <v>49411.1493584624</v>
      </c>
      <c r="N44" s="30" t="n">
        <f aca="false">N37+N43</f>
        <v>52763.7936240919</v>
      </c>
      <c r="O44" s="30" t="n">
        <f aca="false">O37+O43</f>
        <v>79238.56312405</v>
      </c>
      <c r="P44" s="30" t="n">
        <f aca="false">P37+P43</f>
        <v>94791.0043206283</v>
      </c>
      <c r="Q44" s="30" t="n">
        <f aca="false">Q37+Q43</f>
        <v>109881.152699312</v>
      </c>
      <c r="R44" s="30" t="n">
        <f aca="false">R37+R43</f>
        <v>124523.67107059</v>
      </c>
      <c r="S44" s="30" t="n">
        <f aca="false">S37+S43</f>
        <v>138732.712082092</v>
      </c>
      <c r="T44" s="30" t="n">
        <f aca="false">T37+T43</f>
        <v>152521.938143697</v>
      </c>
      <c r="U44" s="30" t="n">
        <f aca="false">U37+U43</f>
        <v>165904.540475566</v>
      </c>
      <c r="V44" s="30" t="n">
        <f aca="false">V37+V43</f>
        <v>178893.25732182</v>
      </c>
      <c r="W44" s="30" t="n">
        <f aca="false">W37+W43</f>
        <v>191500.39137033</v>
      </c>
      <c r="X44" s="30" t="n">
        <f aca="false">X37+X43</f>
        <v>203737.82641698</v>
      </c>
      <c r="Y44" s="30" t="n">
        <f aca="false">Y37+Y43</f>
        <v>215617.043310759</v>
      </c>
      <c r="Z44" s="30" t="n">
        <f aca="false">Z37+Z43</f>
        <v>227149.135214188</v>
      </c>
      <c r="AA44" s="30" t="n">
        <f aca="false">AA37+AA43</f>
        <v>296495.951664357</v>
      </c>
      <c r="AB44" s="30" t="n">
        <f aca="false">AB37+AB43</f>
        <v>336790.734663541</v>
      </c>
      <c r="AC44" s="30" t="n">
        <f aca="false">AC37+AC43</f>
        <v>376093.903127126</v>
      </c>
      <c r="AD44" s="30" t="n">
        <f aca="false">AD37+AD43</f>
        <v>414431.29986513</v>
      </c>
      <c r="AE44" s="30" t="n">
        <f aca="false">AE37+AE43</f>
        <v>451828.03103139</v>
      </c>
      <c r="AF44" s="30" t="n">
        <f aca="false">AF37+AF43</f>
        <v>488308.489931595</v>
      </c>
      <c r="AG44" s="30" t="n">
        <f aca="false">AG37+AG43</f>
        <v>523896.379941812</v>
      </c>
      <c r="AH44" s="30" t="n">
        <f aca="false">AH37+AH43</f>
        <v>558614.736575425</v>
      </c>
      <c r="AI44" s="30" t="n">
        <f aca="false">AI37+AI43</f>
        <v>592485.948734629</v>
      </c>
      <c r="AJ44" s="30" t="n">
        <f aca="false">AJ37+AJ43</f>
        <v>625531.77918094</v>
      </c>
      <c r="AK44" s="30" t="n">
        <f aca="false">AK37+AK43</f>
        <v>657773.384257542</v>
      </c>
      <c r="AL44" s="30" t="n">
        <f aca="false">AL37+AL43</f>
        <v>689231.332894819</v>
      </c>
      <c r="AM44" s="30" t="n">
        <f aca="false">AM37+AM43</f>
        <v>738227.836878051</v>
      </c>
      <c r="AN44" s="30" t="n">
        <f aca="false">AN37+AN43</f>
        <v>801553.337311244</v>
      </c>
      <c r="AO44" s="30" t="n">
        <f aca="false">AO37+AO43</f>
        <v>863512.558766194</v>
      </c>
      <c r="AP44" s="30" t="n">
        <f aca="false">AP37+AP43</f>
        <v>924136.500163821</v>
      </c>
      <c r="AQ44" s="30" t="n">
        <f aca="false">AQ37+AQ43</f>
        <v>983455.395944225</v>
      </c>
      <c r="AR44" s="30" t="n">
        <f aca="false">AR37+AR43</f>
        <v>1041498.73744194</v>
      </c>
      <c r="AS44" s="30" t="n">
        <f aca="false">AS37+AS43</f>
        <v>1098295.29356268</v>
      </c>
      <c r="AT44" s="30" t="n">
        <f aca="false">AT37+AT43</f>
        <v>1153873.13078821</v>
      </c>
      <c r="AU44" s="30" t="n">
        <f aca="false">AU37+AU43</f>
        <v>1208259.6325345</v>
      </c>
      <c r="AV44" s="30" t="n">
        <f aca="false">AV37+AV43</f>
        <v>1261481.51788773</v>
      </c>
      <c r="AW44" s="30" t="n">
        <f aca="false">AW37+AW43</f>
        <v>1313564.85974127</v>
      </c>
      <c r="AX44" s="30" t="n">
        <f aca="false">AX37+AX43</f>
        <v>1364535.10235604</v>
      </c>
      <c r="AY44" s="30" t="n">
        <f aca="false">AY37+AY43</f>
        <v>1512679.55894886</v>
      </c>
      <c r="AZ44" s="30" t="n">
        <f aca="false">AZ37+AZ43</f>
        <v>1605082.76202127</v>
      </c>
      <c r="BA44" s="30" t="n">
        <f aca="false">BA37+BA43</f>
        <v>1695757.70047675</v>
      </c>
      <c r="BB44" s="30" t="n">
        <f aca="false">BB37+BB43</f>
        <v>1784737.9070132</v>
      </c>
      <c r="BC44" s="30" t="n">
        <f aca="false">BC37+BC43</f>
        <v>1872056.21935657</v>
      </c>
      <c r="BD44" s="30" t="n">
        <f aca="false">BD37+BD43</f>
        <v>1957744.79636782</v>
      </c>
      <c r="BE44" s="30" t="n">
        <f aca="false">BE37+BE43</f>
        <v>2041835.13371176</v>
      </c>
      <c r="BF44" s="30" t="n">
        <f aca="false">BF37+BF43</f>
        <v>2124358.07910191</v>
      </c>
      <c r="BG44" s="30" t="n">
        <f aca="false">BG37+BG43</f>
        <v>2205343.84713526</v>
      </c>
      <c r="BH44" s="30" t="n">
        <f aca="false">BH37+BH43</f>
        <v>2284822.03372983</v>
      </c>
      <c r="BI44" s="30" t="n">
        <f aca="false">BI37+BI43</f>
        <v>2362821.63017798</v>
      </c>
      <c r="BJ44" s="30" t="n">
        <f aca="false">BJ37+BJ43</f>
        <v>2439371.03682748</v>
      </c>
    </row>
    <row r="45" customFormat="false" ht="15" hidden="false" customHeight="false" outlineLevel="0" collapsed="false">
      <c r="A45" s="5" t="s">
        <v>245</v>
      </c>
      <c r="C45" s="15" t="n">
        <f aca="false">IFERROR(C44/C37,0)</f>
        <v>0.862421504375211</v>
      </c>
      <c r="D45" s="15" t="n">
        <f aca="false">IFERROR(D44/D37,0)</f>
        <v>0.84128756153518</v>
      </c>
      <c r="E45" s="15" t="n">
        <f aca="false">IFERROR(E44/E37,0)</f>
        <v>0.831963851989645</v>
      </c>
      <c r="F45" s="15" t="n">
        <f aca="false">IFERROR(F44/F37,0)</f>
        <v>0.82665292072733</v>
      </c>
      <c r="G45" s="15" t="n">
        <f aca="false">IFERROR(G44/G37,0)</f>
        <v>0.823184843458525</v>
      </c>
      <c r="H45" s="15" t="n">
        <f aca="false">IFERROR(H44/H37,0)</f>
        <v>0.820716361360687</v>
      </c>
      <c r="I45" s="15" t="n">
        <f aca="false">IFERROR(I44/I37,0)</f>
        <v>0.818851400579171</v>
      </c>
      <c r="J45" s="15" t="n">
        <f aca="false">IFERROR(J44/J37,0)</f>
        <v>0.817379325651592</v>
      </c>
      <c r="K45" s="15" t="n">
        <f aca="false">IFERROR(K44/K37,0)</f>
        <v>0.816177773351477</v>
      </c>
      <c r="L45" s="15" t="n">
        <f aca="false">IFERROR(L44/L37,0)</f>
        <v>0.815170787159591</v>
      </c>
      <c r="M45" s="15" t="n">
        <f aca="false">IFERROR(M44/M37,0)</f>
        <v>0.81430871454033</v>
      </c>
      <c r="N45" s="15" t="n">
        <f aca="false">IFERROR(N44/N37,0)</f>
        <v>0.813557720976576</v>
      </c>
      <c r="O45" s="15" t="n">
        <f aca="false">IFERROR(O44/O37,0)</f>
        <v>0.824350293934185</v>
      </c>
      <c r="P45" s="15" t="n">
        <f aca="false">IFERROR(P44/P37,0)</f>
        <v>0.817710608646968</v>
      </c>
      <c r="Q45" s="15" t="n">
        <f aca="false">IFERROR(Q44/Q37,0)</f>
        <v>0.813052524563008</v>
      </c>
      <c r="R45" s="15" t="n">
        <f aca="false">IFERROR(R44/R37,0)</f>
        <v>0.809582244855248</v>
      </c>
      <c r="S45" s="15" t="n">
        <f aca="false">IFERROR(S44/S37,0)</f>
        <v>0.806880672343017</v>
      </c>
      <c r="T45" s="15" t="n">
        <f aca="false">IFERROR(T44/T37,0)</f>
        <v>0.804705641981094</v>
      </c>
      <c r="U45" s="15" t="n">
        <f aca="false">IFERROR(U44/U37,0)</f>
        <v>0.802907452420491</v>
      </c>
      <c r="V45" s="15" t="n">
        <f aca="false">IFERROR(V44/V37,0)</f>
        <v>0.801388570959233</v>
      </c>
      <c r="W45" s="15" t="n">
        <f aca="false">IFERROR(W44/W37,0)</f>
        <v>0.800082721655167</v>
      </c>
      <c r="X45" s="15" t="n">
        <f aca="false">IFERROR(X44/X37,0)</f>
        <v>0.798943286088042</v>
      </c>
      <c r="Y45" s="15" t="n">
        <f aca="false">IFERROR(Y44/Y37,0)</f>
        <v>0.797936512687333</v>
      </c>
      <c r="Z45" s="15" t="n">
        <f aca="false">IFERROR(Z44/Z37,0)</f>
        <v>0.797037359255399</v>
      </c>
      <c r="AA45" s="15" t="n">
        <f aca="false">IFERROR(AA44/AA37,0)</f>
        <v>0.806316744518316</v>
      </c>
      <c r="AB45" s="15" t="n">
        <f aca="false">IFERROR(AB44/AB37,0)</f>
        <v>0.801938370311378</v>
      </c>
      <c r="AC45" s="15" t="n">
        <f aca="false">IFERROR(AC44/AC37,0)</f>
        <v>0.798553506560137</v>
      </c>
      <c r="AD45" s="15" t="n">
        <f aca="false">IFERROR(AD44/AD37,0)</f>
        <v>0.795846898120959</v>
      </c>
      <c r="AE45" s="15" t="n">
        <f aca="false">IFERROR(AE44/AE37,0)</f>
        <v>0.793624274951983</v>
      </c>
      <c r="AF45" s="15" t="n">
        <f aca="false">IFERROR(AF44/AF37,0)</f>
        <v>0.791759386043446</v>
      </c>
      <c r="AG45" s="15" t="n">
        <f aca="false">IFERROR(AG44/AG37,0)</f>
        <v>0.79016661897794</v>
      </c>
      <c r="AH45" s="15" t="n">
        <f aca="false">IFERROR(AH44/AH37,0)</f>
        <v>0.788785860296609</v>
      </c>
      <c r="AI45" s="15" t="n">
        <f aca="false">IFERROR(AI44/AI37,0)</f>
        <v>0.78757365489912</v>
      </c>
      <c r="AJ45" s="15" t="n">
        <f aca="false">IFERROR(AJ44/AJ37,0)</f>
        <v>0.786497805158899</v>
      </c>
      <c r="AK45" s="15" t="n">
        <f aca="false">IFERROR(AK44/AK37,0)</f>
        <v>0.785533943450315</v>
      </c>
      <c r="AL45" s="15" t="n">
        <f aca="false">IFERROR(AL44/AL37,0)</f>
        <v>0.784663285138526</v>
      </c>
      <c r="AM45" s="15" t="n">
        <f aca="false">IFERROR(AM44/AM37,0)</f>
        <v>0.776988200517903</v>
      </c>
      <c r="AN45" s="15" t="n">
        <f aca="false">IFERROR(AN44/AN37,0)</f>
        <v>0.775076986776881</v>
      </c>
      <c r="AO45" s="15" t="n">
        <f aca="false">IFERROR(AO44/AO37,0)</f>
        <v>0.773454537907414</v>
      </c>
      <c r="AP45" s="15" t="n">
        <f aca="false">IFERROR(AP44/AP37,0)</f>
        <v>0.772055050074551</v>
      </c>
      <c r="AQ45" s="15" t="n">
        <f aca="false">IFERROR(AQ44/AQ37,0)</f>
        <v>0.770831465686613</v>
      </c>
      <c r="AR45" s="15" t="n">
        <f aca="false">IFERROR(AR44/AR37,0)</f>
        <v>0.769749237522327</v>
      </c>
      <c r="AS45" s="15" t="n">
        <f aca="false">IFERROR(AS44/AS37,0)</f>
        <v>0.768782426898292</v>
      </c>
      <c r="AT45" s="15" t="n">
        <f aca="false">IFERROR(AT44/AT37,0)</f>
        <v>0.767911176505303</v>
      </c>
      <c r="AU45" s="15" t="n">
        <f aca="false">IFERROR(AU44/AU37,0)</f>
        <v>0.767120024215407</v>
      </c>
      <c r="AV45" s="15" t="n">
        <f aca="false">IFERROR(AV44/AV37,0)</f>
        <v>0.766396748520053</v>
      </c>
      <c r="AW45" s="15" t="n">
        <f aca="false">IFERROR(AW44/AW37,0)</f>
        <v>0.765731559809039</v>
      </c>
      <c r="AX45" s="15" t="n">
        <f aca="false">IFERROR(AX44/AX37,0)</f>
        <v>0.765116522375629</v>
      </c>
      <c r="AY45" s="15" t="n">
        <f aca="false">IFERROR(AY44/AY37,0)</f>
        <v>0.769556182212032</v>
      </c>
      <c r="AZ45" s="15" t="n">
        <f aca="false">IFERROR(AZ44/AZ37,0)</f>
        <v>0.768264519154489</v>
      </c>
      <c r="BA45" s="15" t="n">
        <f aca="false">IFERROR(BA44/BA37,0)</f>
        <v>0.767119242286298</v>
      </c>
      <c r="BB45" s="15" t="n">
        <f aca="false">IFERROR(BB44/BB37,0)</f>
        <v>0.766094636540314</v>
      </c>
      <c r="BC45" s="15" t="n">
        <f aca="false">IFERROR(BC44/BC37,0)</f>
        <v>0.765170748109269</v>
      </c>
      <c r="BD45" s="15" t="n">
        <f aca="false">IFERROR(BD44/BD37,0)</f>
        <v>0.764331854786332</v>
      </c>
      <c r="BE45" s="15" t="n">
        <f aca="false">IFERROR(BE44/BE37,0)</f>
        <v>0.763565399140462</v>
      </c>
      <c r="BF45" s="15" t="n">
        <f aca="false">IFERROR(BF44/BF37,0)</f>
        <v>0.762861228986941</v>
      </c>
      <c r="BG45" s="15" t="n">
        <f aca="false">IFERROR(BG44/BG37,0)</f>
        <v>0.762211046614599</v>
      </c>
      <c r="BH45" s="15" t="n">
        <f aca="false">IFERROR(BH44/BH37,0)</f>
        <v>0.761608002761219</v>
      </c>
      <c r="BI45" s="15" t="n">
        <f aca="false">IFERROR(BI44/BI37,0)</f>
        <v>0.761046392817229</v>
      </c>
      <c r="BJ45" s="15" t="n">
        <f aca="false">IFERROR(BJ44/BJ37,0)</f>
        <v>0.760521426437535</v>
      </c>
    </row>
    <row r="46" customFormat="false" ht="15" hidden="false" customHeight="false" outlineLevel="0" collapsed="false">
      <c r="A46" s="3" t="s">
        <v>246</v>
      </c>
      <c r="B46" s="4"/>
    </row>
    <row r="47" customFormat="false" ht="15" hidden="false" customHeight="false" outlineLevel="0" collapsed="false">
      <c r="A47" s="5" t="s">
        <v>247</v>
      </c>
      <c r="C47" s="21" t="n">
        <f aca="false">-INDEX(Premissas!$D$67:$H$67,C$4)</f>
        <v>-160550</v>
      </c>
      <c r="D47" s="21" t="n">
        <f aca="false">-INDEX(Premissas!$D$67:$H$67,D$4)</f>
        <v>-160550</v>
      </c>
      <c r="E47" s="21" t="n">
        <f aca="false">-INDEX(Premissas!$D$67:$H$67,E$4)</f>
        <v>-160550</v>
      </c>
      <c r="F47" s="21" t="n">
        <f aca="false">-INDEX(Premissas!$D$67:$H$67,F$4)</f>
        <v>-160550</v>
      </c>
      <c r="G47" s="21" t="n">
        <f aca="false">-INDEX(Premissas!$D$67:$H$67,G$4)</f>
        <v>-160550</v>
      </c>
      <c r="H47" s="21" t="n">
        <f aca="false">-INDEX(Premissas!$D$67:$H$67,H$4)</f>
        <v>-160550</v>
      </c>
      <c r="I47" s="21" t="n">
        <f aca="false">-INDEX(Premissas!$D$67:$H$67,I$4)</f>
        <v>-160550</v>
      </c>
      <c r="J47" s="21" t="n">
        <f aca="false">-INDEX(Premissas!$D$67:$H$67,J$4)</f>
        <v>-160550</v>
      </c>
      <c r="K47" s="21" t="n">
        <f aca="false">-INDEX(Premissas!$D$67:$H$67,K$4)</f>
        <v>-160550</v>
      </c>
      <c r="L47" s="21" t="n">
        <f aca="false">-INDEX(Premissas!$D$67:$H$67,L$4)</f>
        <v>-160550</v>
      </c>
      <c r="M47" s="21" t="n">
        <f aca="false">-INDEX(Premissas!$D$67:$H$67,M$4)</f>
        <v>-160550</v>
      </c>
      <c r="N47" s="21" t="n">
        <f aca="false">-INDEX(Premissas!$D$67:$H$67,N$4)</f>
        <v>-160550</v>
      </c>
      <c r="O47" s="21" t="n">
        <f aca="false">-INDEX(Premissas!$D$67:$H$67,O$4)</f>
        <v>-371600</v>
      </c>
      <c r="P47" s="21" t="n">
        <f aca="false">-INDEX(Premissas!$D$67:$H$67,P$4)</f>
        <v>-371600</v>
      </c>
      <c r="Q47" s="21" t="n">
        <f aca="false">-INDEX(Premissas!$D$67:$H$67,Q$4)</f>
        <v>-371600</v>
      </c>
      <c r="R47" s="21" t="n">
        <f aca="false">-INDEX(Premissas!$D$67:$H$67,R$4)</f>
        <v>-371600</v>
      </c>
      <c r="S47" s="21" t="n">
        <f aca="false">-INDEX(Premissas!$D$67:$H$67,S$4)</f>
        <v>-371600</v>
      </c>
      <c r="T47" s="21" t="n">
        <f aca="false">-INDEX(Premissas!$D$67:$H$67,T$4)</f>
        <v>-371600</v>
      </c>
      <c r="U47" s="21" t="n">
        <f aca="false">-INDEX(Premissas!$D$67:$H$67,U$4)</f>
        <v>-371600</v>
      </c>
      <c r="V47" s="21" t="n">
        <f aca="false">-INDEX(Premissas!$D$67:$H$67,V$4)</f>
        <v>-371600</v>
      </c>
      <c r="W47" s="21" t="n">
        <f aca="false">-INDEX(Premissas!$D$67:$H$67,W$4)</f>
        <v>-371600</v>
      </c>
      <c r="X47" s="21" t="n">
        <f aca="false">-INDEX(Premissas!$D$67:$H$67,X$4)</f>
        <v>-371600</v>
      </c>
      <c r="Y47" s="21" t="n">
        <f aca="false">-INDEX(Premissas!$D$67:$H$67,Y$4)</f>
        <v>-371600</v>
      </c>
      <c r="Z47" s="21" t="n">
        <f aca="false">-INDEX(Premissas!$D$67:$H$67,Z$4)</f>
        <v>-371600</v>
      </c>
      <c r="AA47" s="21" t="n">
        <f aca="false">-INDEX(Premissas!$D$67:$H$67,AA$4)</f>
        <v>-621400</v>
      </c>
      <c r="AB47" s="21" t="n">
        <f aca="false">-INDEX(Premissas!$D$67:$H$67,AB$4)</f>
        <v>-621400</v>
      </c>
      <c r="AC47" s="21" t="n">
        <f aca="false">-INDEX(Premissas!$D$67:$H$67,AC$4)</f>
        <v>-621400</v>
      </c>
      <c r="AD47" s="21" t="n">
        <f aca="false">-INDEX(Premissas!$D$67:$H$67,AD$4)</f>
        <v>-621400</v>
      </c>
      <c r="AE47" s="21" t="n">
        <f aca="false">-INDEX(Premissas!$D$67:$H$67,AE$4)</f>
        <v>-621400</v>
      </c>
      <c r="AF47" s="21" t="n">
        <f aca="false">-INDEX(Premissas!$D$67:$H$67,AF$4)</f>
        <v>-621400</v>
      </c>
      <c r="AG47" s="21" t="n">
        <f aca="false">-INDEX(Premissas!$D$67:$H$67,AG$4)</f>
        <v>-621400</v>
      </c>
      <c r="AH47" s="21" t="n">
        <f aca="false">-INDEX(Premissas!$D$67:$H$67,AH$4)</f>
        <v>-621400</v>
      </c>
      <c r="AI47" s="21" t="n">
        <f aca="false">-INDEX(Premissas!$D$67:$H$67,AI$4)</f>
        <v>-621400</v>
      </c>
      <c r="AJ47" s="21" t="n">
        <f aca="false">-INDEX(Premissas!$D$67:$H$67,AJ$4)</f>
        <v>-621400</v>
      </c>
      <c r="AK47" s="21" t="n">
        <f aca="false">-INDEX(Premissas!$D$67:$H$67,AK$4)</f>
        <v>-621400</v>
      </c>
      <c r="AL47" s="21" t="n">
        <f aca="false">-INDEX(Premissas!$D$67:$H$67,AL$4)</f>
        <v>-621400</v>
      </c>
      <c r="AM47" s="21" t="n">
        <f aca="false">-INDEX(Premissas!$D$67:$H$67,AM$4)</f>
        <v>-899250</v>
      </c>
      <c r="AN47" s="21" t="n">
        <f aca="false">-INDEX(Premissas!$D$67:$H$67,AN$4)</f>
        <v>-899250</v>
      </c>
      <c r="AO47" s="21" t="n">
        <f aca="false">-INDEX(Premissas!$D$67:$H$67,AO$4)</f>
        <v>-899250</v>
      </c>
      <c r="AP47" s="21" t="n">
        <f aca="false">-INDEX(Premissas!$D$67:$H$67,AP$4)</f>
        <v>-899250</v>
      </c>
      <c r="AQ47" s="21" t="n">
        <f aca="false">-INDEX(Premissas!$D$67:$H$67,AQ$4)</f>
        <v>-899250</v>
      </c>
      <c r="AR47" s="21" t="n">
        <f aca="false">-INDEX(Premissas!$D$67:$H$67,AR$4)</f>
        <v>-899250</v>
      </c>
      <c r="AS47" s="21" t="n">
        <f aca="false">-INDEX(Premissas!$D$67:$H$67,AS$4)</f>
        <v>-899250</v>
      </c>
      <c r="AT47" s="21" t="n">
        <f aca="false">-INDEX(Premissas!$D$67:$H$67,AT$4)</f>
        <v>-899250</v>
      </c>
      <c r="AU47" s="21" t="n">
        <f aca="false">-INDEX(Premissas!$D$67:$H$67,AU$4)</f>
        <v>-899250</v>
      </c>
      <c r="AV47" s="21" t="n">
        <f aca="false">-INDEX(Premissas!$D$67:$H$67,AV$4)</f>
        <v>-899250</v>
      </c>
      <c r="AW47" s="21" t="n">
        <f aca="false">-INDEX(Premissas!$D$67:$H$67,AW$4)</f>
        <v>-899250</v>
      </c>
      <c r="AX47" s="21" t="n">
        <f aca="false">-INDEX(Premissas!$D$67:$H$67,AX$4)</f>
        <v>-899250</v>
      </c>
      <c r="AY47" s="21" t="n">
        <f aca="false">-INDEX(Premissas!$D$67:$H$67,AY$4)</f>
        <v>-1142100</v>
      </c>
      <c r="AZ47" s="21" t="n">
        <f aca="false">-INDEX(Premissas!$D$67:$H$67,AZ$4)</f>
        <v>-1142100</v>
      </c>
      <c r="BA47" s="21" t="n">
        <f aca="false">-INDEX(Premissas!$D$67:$H$67,BA$4)</f>
        <v>-1142100</v>
      </c>
      <c r="BB47" s="21" t="n">
        <f aca="false">-INDEX(Premissas!$D$67:$H$67,BB$4)</f>
        <v>-1142100</v>
      </c>
      <c r="BC47" s="21" t="n">
        <f aca="false">-INDEX(Premissas!$D$67:$H$67,BC$4)</f>
        <v>-1142100</v>
      </c>
      <c r="BD47" s="21" t="n">
        <f aca="false">-INDEX(Premissas!$D$67:$H$67,BD$4)</f>
        <v>-1142100</v>
      </c>
      <c r="BE47" s="21" t="n">
        <f aca="false">-INDEX(Premissas!$D$67:$H$67,BE$4)</f>
        <v>-1142100</v>
      </c>
      <c r="BF47" s="21" t="n">
        <f aca="false">-INDEX(Premissas!$D$67:$H$67,BF$4)</f>
        <v>-1142100</v>
      </c>
      <c r="BG47" s="21" t="n">
        <f aca="false">-INDEX(Premissas!$D$67:$H$67,BG$4)</f>
        <v>-1142100</v>
      </c>
      <c r="BH47" s="21" t="n">
        <f aca="false">-INDEX(Premissas!$D$67:$H$67,BH$4)</f>
        <v>-1142100</v>
      </c>
      <c r="BI47" s="21" t="n">
        <f aca="false">-INDEX(Premissas!$D$67:$H$67,BI$4)</f>
        <v>-1142100</v>
      </c>
      <c r="BJ47" s="21" t="n">
        <f aca="false">-INDEX(Premissas!$D$67:$H$67,BJ$4)</f>
        <v>-1142100</v>
      </c>
    </row>
    <row r="48" customFormat="false" ht="15" hidden="false" customHeight="false" outlineLevel="0" collapsed="false">
      <c r="A48" s="5" t="s">
        <v>248</v>
      </c>
      <c r="C48" s="16" t="n">
        <f aca="false">-C7</f>
        <v>-20000</v>
      </c>
      <c r="D48" s="16" t="n">
        <f aca="false">-D7</f>
        <v>-20000</v>
      </c>
      <c r="E48" s="16" t="n">
        <f aca="false">-E7</f>
        <v>-20000</v>
      </c>
      <c r="F48" s="16" t="n">
        <f aca="false">-F7</f>
        <v>-20000</v>
      </c>
      <c r="G48" s="16" t="n">
        <f aca="false">-G7</f>
        <v>-20000</v>
      </c>
      <c r="H48" s="16" t="n">
        <f aca="false">-H7</f>
        <v>-20000</v>
      </c>
      <c r="I48" s="16" t="n">
        <f aca="false">-I7</f>
        <v>-20000</v>
      </c>
      <c r="J48" s="16" t="n">
        <f aca="false">-J7</f>
        <v>-20000</v>
      </c>
      <c r="K48" s="16" t="n">
        <f aca="false">-K7</f>
        <v>-20000</v>
      </c>
      <c r="L48" s="16" t="n">
        <f aca="false">-L7</f>
        <v>-20000</v>
      </c>
      <c r="M48" s="16" t="n">
        <f aca="false">-M7</f>
        <v>-20000</v>
      </c>
      <c r="N48" s="16" t="n">
        <f aca="false">-N7</f>
        <v>-20000</v>
      </c>
      <c r="O48" s="16" t="n">
        <f aca="false">-O7</f>
        <v>-56000</v>
      </c>
      <c r="P48" s="16" t="n">
        <f aca="false">-P7</f>
        <v>-56000</v>
      </c>
      <c r="Q48" s="16" t="n">
        <f aca="false">-Q7</f>
        <v>-56000</v>
      </c>
      <c r="R48" s="16" t="n">
        <f aca="false">-R7</f>
        <v>-56000</v>
      </c>
      <c r="S48" s="16" t="n">
        <f aca="false">-S7</f>
        <v>-56000</v>
      </c>
      <c r="T48" s="16" t="n">
        <f aca="false">-T7</f>
        <v>-56000</v>
      </c>
      <c r="U48" s="16" t="n">
        <f aca="false">-U7</f>
        <v>-56000</v>
      </c>
      <c r="V48" s="16" t="n">
        <f aca="false">-V7</f>
        <v>-56000</v>
      </c>
      <c r="W48" s="16" t="n">
        <f aca="false">-W7</f>
        <v>-56000</v>
      </c>
      <c r="X48" s="16" t="n">
        <f aca="false">-X7</f>
        <v>-56000</v>
      </c>
      <c r="Y48" s="16" t="n">
        <f aca="false">-Y7</f>
        <v>-56000</v>
      </c>
      <c r="Z48" s="16" t="n">
        <f aca="false">-Z7</f>
        <v>-56000</v>
      </c>
      <c r="AA48" s="16" t="n">
        <f aca="false">-AA7</f>
        <v>-120000</v>
      </c>
      <c r="AB48" s="16" t="n">
        <f aca="false">-AB7</f>
        <v>-120000</v>
      </c>
      <c r="AC48" s="16" t="n">
        <f aca="false">-AC7</f>
        <v>-120000</v>
      </c>
      <c r="AD48" s="16" t="n">
        <f aca="false">-AD7</f>
        <v>-120000</v>
      </c>
      <c r="AE48" s="16" t="n">
        <f aca="false">-AE7</f>
        <v>-120000</v>
      </c>
      <c r="AF48" s="16" t="n">
        <f aca="false">-AF7</f>
        <v>-120000</v>
      </c>
      <c r="AG48" s="16" t="n">
        <f aca="false">-AG7</f>
        <v>-120000</v>
      </c>
      <c r="AH48" s="16" t="n">
        <f aca="false">-AH7</f>
        <v>-120000</v>
      </c>
      <c r="AI48" s="16" t="n">
        <f aca="false">-AI7</f>
        <v>-120000</v>
      </c>
      <c r="AJ48" s="16" t="n">
        <f aca="false">-AJ7</f>
        <v>-120000</v>
      </c>
      <c r="AK48" s="16" t="n">
        <f aca="false">-AK7</f>
        <v>-120000</v>
      </c>
      <c r="AL48" s="16" t="n">
        <f aca="false">-AL7</f>
        <v>-120000</v>
      </c>
      <c r="AM48" s="16" t="n">
        <f aca="false">-AM7</f>
        <v>-192000</v>
      </c>
      <c r="AN48" s="16" t="n">
        <f aca="false">-AN7</f>
        <v>-192000</v>
      </c>
      <c r="AO48" s="16" t="n">
        <f aca="false">-AO7</f>
        <v>-192000</v>
      </c>
      <c r="AP48" s="16" t="n">
        <f aca="false">-AP7</f>
        <v>-192000</v>
      </c>
      <c r="AQ48" s="16" t="n">
        <f aca="false">-AQ7</f>
        <v>-192000</v>
      </c>
      <c r="AR48" s="16" t="n">
        <f aca="false">-AR7</f>
        <v>-192000</v>
      </c>
      <c r="AS48" s="16" t="n">
        <f aca="false">-AS7</f>
        <v>-192000</v>
      </c>
      <c r="AT48" s="16" t="n">
        <f aca="false">-AT7</f>
        <v>-192000</v>
      </c>
      <c r="AU48" s="16" t="n">
        <f aca="false">-AU7</f>
        <v>-192000</v>
      </c>
      <c r="AV48" s="16" t="n">
        <f aca="false">-AV7</f>
        <v>-192000</v>
      </c>
      <c r="AW48" s="16" t="n">
        <f aca="false">-AW7</f>
        <v>-192000</v>
      </c>
      <c r="AX48" s="16" t="n">
        <f aca="false">-AX7</f>
        <v>-192000</v>
      </c>
      <c r="AY48" s="16" t="n">
        <f aca="false">-AY7</f>
        <v>-256000</v>
      </c>
      <c r="AZ48" s="16" t="n">
        <f aca="false">-AZ7</f>
        <v>-256000</v>
      </c>
      <c r="BA48" s="16" t="n">
        <f aca="false">-BA7</f>
        <v>-256000</v>
      </c>
      <c r="BB48" s="16" t="n">
        <f aca="false">-BB7</f>
        <v>-256000</v>
      </c>
      <c r="BC48" s="16" t="n">
        <f aca="false">-BC7</f>
        <v>-256000</v>
      </c>
      <c r="BD48" s="16" t="n">
        <f aca="false">-BD7</f>
        <v>-256000</v>
      </c>
      <c r="BE48" s="16" t="n">
        <f aca="false">-BE7</f>
        <v>-256000</v>
      </c>
      <c r="BF48" s="16" t="n">
        <f aca="false">-BF7</f>
        <v>-256000</v>
      </c>
      <c r="BG48" s="16" t="n">
        <f aca="false">-BG7</f>
        <v>-256000</v>
      </c>
      <c r="BH48" s="16" t="n">
        <f aca="false">-BH7</f>
        <v>-256000</v>
      </c>
      <c r="BI48" s="16" t="n">
        <f aca="false">-BI7</f>
        <v>-256000</v>
      </c>
      <c r="BJ48" s="16" t="n">
        <f aca="false">-BJ7</f>
        <v>-256000</v>
      </c>
    </row>
    <row r="49" customFormat="false" ht="15" hidden="false" customHeight="false" outlineLevel="0" collapsed="false">
      <c r="A49" s="5" t="s">
        <v>249</v>
      </c>
      <c r="C49" s="21" t="n">
        <f aca="false">-0.1*(C14*Premissas!$B$18+C15*Premissas!$C$18+C16*Premissas!$D$18+C17*Premissas!$E$18)</f>
        <v>-700.110427350427</v>
      </c>
      <c r="D49" s="21" t="n">
        <f aca="false">-0.1*(D14*Premissas!$B$18+D15*Premissas!$C$18+D16*Premissas!$D$18+D17*Premissas!$E$18)</f>
        <v>-705.011200341881</v>
      </c>
      <c r="E49" s="21" t="n">
        <f aca="false">-0.1*(E14*Premissas!$B$18+E15*Premissas!$C$18+E16*Premissas!$D$18+E17*Premissas!$E$18)</f>
        <v>-709.70736606094</v>
      </c>
      <c r="F49" s="21" t="n">
        <f aca="false">-0.1*(F14*Premissas!$B$18+F15*Premissas!$C$18+F16*Premissas!$D$18+F17*Premissas!$E$18)</f>
        <v>-714.20834685628</v>
      </c>
      <c r="G49" s="21" t="n">
        <f aca="false">-0.1*(G14*Premissas!$B$18+G15*Premissas!$C$18+G16*Premissas!$D$18+G17*Premissas!$E$18)</f>
        <v>-718.523088016338</v>
      </c>
      <c r="H49" s="21" t="n">
        <f aca="false">-0.1*(H14*Premissas!$B$18+H15*Premissas!$C$18+H16*Premissas!$D$18+H17*Premissas!$E$18)</f>
        <v>-722.660083858146</v>
      </c>
      <c r="I49" s="21" t="n">
        <f aca="false">-0.1*(I14*Premissas!$B$18+I15*Premissas!$C$18+I16*Premissas!$D$18+I17*Premissas!$E$18)</f>
        <v>-726.627402309968</v>
      </c>
      <c r="J49" s="21" t="n">
        <f aca="false">-0.1*(J14*Premissas!$B$18+J15*Premissas!$C$18+J16*Premissas!$D$18+J17*Premissas!$E$18)</f>
        <v>-730.432708077761</v>
      </c>
      <c r="K49" s="21" t="n">
        <f aca="false">-0.1*(K14*Premissas!$B$18+K15*Premissas!$C$18+K16*Premissas!$D$18+K17*Premissas!$E$18)</f>
        <v>-734.083284479948</v>
      </c>
      <c r="L49" s="21" t="n">
        <f aca="false">-0.1*(L14*Premissas!$B$18+L15*Premissas!$C$18+L16*Premissas!$D$18+L17*Premissas!$E$18)</f>
        <v>-737.586054029883</v>
      </c>
      <c r="M49" s="21" t="n">
        <f aca="false">-0.1*(M14*Premissas!$B$18+M15*Premissas!$C$18+M16*Premissas!$D$18+M17*Premissas!$E$18)</f>
        <v>-740.947597840524</v>
      </c>
      <c r="N49" s="21" t="n">
        <f aca="false">-0.1*(N14*Premissas!$B$18+N15*Premissas!$C$18+N16*Premissas!$D$18+N17*Premissas!$E$18)</f>
        <v>-744.1741739213</v>
      </c>
      <c r="O49" s="21" t="n">
        <f aca="false">-0.1*(O14*Premissas!$B$18+O15*Premissas!$C$18+O16*Premissas!$D$18+O17*Premissas!$E$18)</f>
        <v>-2530.26318000466</v>
      </c>
      <c r="P49" s="21" t="n">
        <f aca="false">-0.1*(P14*Premissas!$B$18+P15*Premissas!$C$18+P16*Premissas!$D$18+P17*Premissas!$E$18)</f>
        <v>-2545.53524937039</v>
      </c>
      <c r="Q49" s="21" t="n">
        <f aca="false">-0.1*(Q14*Premissas!$B$18+Q15*Premissas!$C$18+Q16*Premissas!$D$18+Q17*Premissas!$E$18)</f>
        <v>-2560.26404369839</v>
      </c>
      <c r="R49" s="21" t="n">
        <f aca="false">-0.1*(R14*Premissas!$B$18+R15*Premissas!$C$18+R16*Premissas!$D$18+R17*Premissas!$E$18)</f>
        <v>-2574.47111065267</v>
      </c>
      <c r="S49" s="21" t="n">
        <f aca="false">-0.1*(S14*Premissas!$B$18+S15*Premissas!$C$18+S16*Premissas!$D$18+S17*Premissas!$E$18)</f>
        <v>-2588.17704168836</v>
      </c>
      <c r="T49" s="21" t="n">
        <f aca="false">-0.1*(T14*Premissas!$B$18+T15*Premissas!$C$18+T16*Premissas!$D$18+T17*Premissas!$E$18)</f>
        <v>-2601.40151873466</v>
      </c>
      <c r="U49" s="21" t="n">
        <f aca="false">-0.1*(U14*Premissas!$B$18+U15*Premissas!$C$18+U16*Premissas!$D$18+U17*Premissas!$E$18)</f>
        <v>-2614.16335843718</v>
      </c>
      <c r="V49" s="21" t="n">
        <f aca="false">-0.1*(V14*Premissas!$B$18+V15*Premissas!$C$18+V16*Premissas!$D$18+V17*Premissas!$E$18)</f>
        <v>-2626.4805540931</v>
      </c>
      <c r="W49" s="21" t="n">
        <f aca="false">-0.1*(W14*Premissas!$B$18+W15*Premissas!$C$18+W16*Premissas!$D$18+W17*Premissas!$E$18)</f>
        <v>-2638.37031540489</v>
      </c>
      <c r="X49" s="21" t="n">
        <f aca="false">-0.1*(X14*Premissas!$B$18+X15*Premissas!$C$18+X16*Premissas!$D$18+X17*Premissas!$E$18)</f>
        <v>-2649.84910617123</v>
      </c>
      <c r="Y49" s="21" t="n">
        <f aca="false">-0.1*(Y14*Premissas!$B$18+Y15*Premissas!$C$18+Y16*Premissas!$D$18+Y17*Premissas!$E$18)</f>
        <v>-2660.93268002726</v>
      </c>
      <c r="Z49" s="21" t="n">
        <f aca="false">-0.1*(Z14*Premissas!$B$18+Z15*Premissas!$C$18+Z16*Premissas!$D$18+Z17*Premissas!$E$18)</f>
        <v>-2671.63611434005</v>
      </c>
      <c r="AA49" s="21" t="n">
        <f aca="false">-0.1*(AA14*Premissas!$B$18+AA15*Premissas!$C$18+AA16*Premissas!$D$18+AA17*Premissas!$E$18)</f>
        <v>-6827.13250812875</v>
      </c>
      <c r="AB49" s="21" t="n">
        <f aca="false">-0.1*(AB14*Premissas!$B$18+AB15*Premissas!$C$18+AB16*Premissas!$D$18+AB17*Premissas!$E$18)</f>
        <v>-6865.36460023114</v>
      </c>
      <c r="AC49" s="21" t="n">
        <f aca="false">-0.1*(AC14*Premissas!$B$18+AC15*Premissas!$C$18+AC16*Premissas!$D$18+AC17*Premissas!$E$18)</f>
        <v>-6902.44039652144</v>
      </c>
      <c r="AD49" s="21" t="n">
        <f aca="false">-0.1*(AD14*Premissas!$B$18+AD15*Premissas!$C$18+AD16*Premissas!$D$18+AD17*Premissas!$E$18)</f>
        <v>-6938.39925632597</v>
      </c>
      <c r="AE49" s="21" t="n">
        <f aca="false">-0.1*(AE14*Premissas!$B$18+AE15*Premissas!$C$18+AE16*Premissas!$D$18+AE17*Premissas!$E$18)</f>
        <v>-6973.27901339877</v>
      </c>
      <c r="AF49" s="21" t="n">
        <f aca="false">-0.1*(AF14*Premissas!$B$18+AF15*Premissas!$C$18+AF16*Premissas!$D$18+AF17*Premissas!$E$18)</f>
        <v>-7007.11604228401</v>
      </c>
      <c r="AG49" s="21" t="n">
        <f aca="false">-0.1*(AG14*Premissas!$B$18+AG15*Premissas!$C$18+AG16*Premissas!$D$18+AG17*Premissas!$E$18)</f>
        <v>-7039.94532153805</v>
      </c>
      <c r="AH49" s="21" t="n">
        <f aca="false">-0.1*(AH14*Premissas!$B$18+AH15*Premissas!$C$18+AH16*Premissas!$D$18+AH17*Premissas!$E$18)</f>
        <v>-7071.80049396797</v>
      </c>
      <c r="AI49" s="21" t="n">
        <f aca="false">-0.1*(AI14*Premissas!$B$18+AI15*Premissas!$C$18+AI16*Premissas!$D$18+AI17*Premissas!$E$18)</f>
        <v>-7102.71392403518</v>
      </c>
      <c r="AJ49" s="21" t="n">
        <f aca="false">-0.1*(AJ14*Premissas!$B$18+AJ15*Premissas!$C$18+AJ16*Premissas!$D$18+AJ17*Premissas!$E$18)</f>
        <v>-7132.71675256496</v>
      </c>
      <c r="AK49" s="21" t="n">
        <f aca="false">-0.1*(AK14*Premissas!$B$18+AK15*Premissas!$C$18+AK16*Premissas!$D$18+AK17*Premissas!$E$18)</f>
        <v>-7161.83894889583</v>
      </c>
      <c r="AL49" s="21" t="n">
        <f aca="false">-0.1*(AL14*Premissas!$B$18+AL15*Premissas!$C$18+AL16*Premissas!$D$18+AL17*Premissas!$E$18)</f>
        <v>-7190.10936059565</v>
      </c>
      <c r="AM49" s="21" t="n">
        <f aca="false">-0.1*(AM14*Premissas!$B$18+AM15*Premissas!$C$18+AM16*Premissas!$D$18+AM17*Premissas!$E$18)</f>
        <v>-12439.0008517919</v>
      </c>
      <c r="AN49" s="21" t="n">
        <f aca="false">-0.1*(AN14*Premissas!$B$18+AN15*Premissas!$C$18+AN16*Premissas!$D$18+AN17*Premissas!$E$18)</f>
        <v>-12502.8792664368</v>
      </c>
      <c r="AO49" s="21" t="n">
        <f aca="false">-0.1*(AO14*Premissas!$B$18+AO15*Premissas!$C$18+AO16*Premissas!$D$18+AO17*Premissas!$E$18)</f>
        <v>-12565.0606827692</v>
      </c>
      <c r="AP49" s="21" t="n">
        <f aca="false">-0.1*(AP14*Premissas!$B$18+AP15*Premissas!$C$18+AP16*Premissas!$D$18+AP17*Premissas!$E$18)</f>
        <v>-12625.5960458372</v>
      </c>
      <c r="AQ49" s="21" t="n">
        <f aca="false">-0.1*(AQ14*Premissas!$B$18+AQ15*Premissas!$C$18+AQ16*Premissas!$D$18+AQ17*Premissas!$E$18)</f>
        <v>-12684.5345416968</v>
      </c>
      <c r="AR49" s="21" t="n">
        <f aca="false">-0.1*(AR14*Premissas!$B$18+AR15*Premissas!$C$18+AR16*Premissas!$D$18+AR17*Premissas!$E$18)</f>
        <v>-12741.9236664133</v>
      </c>
      <c r="AS49" s="21" t="n">
        <f aca="false">-0.1*(AS14*Premissas!$B$18+AS15*Premissas!$C$18+AS16*Premissas!$D$18+AS17*Premissas!$E$18)</f>
        <v>-12797.8092920899</v>
      </c>
      <c r="AT49" s="21" t="n">
        <f aca="false">-0.1*(AT14*Premissas!$B$18+AT15*Premissas!$C$18+AT16*Premissas!$D$18+AT17*Premissas!$E$18)</f>
        <v>-12852.2357300589</v>
      </c>
      <c r="AU49" s="21" t="n">
        <f aca="false">-0.1*(AU14*Premissas!$B$18+AU15*Premissas!$C$18+AU16*Premissas!$D$18+AU17*Premissas!$E$18)</f>
        <v>-12905.2457913643</v>
      </c>
      <c r="AV49" s="21" t="n">
        <f aca="false">-0.1*(AV14*Premissas!$B$18+AV15*Premissas!$C$18+AV16*Premissas!$D$18+AV17*Premissas!$E$18)</f>
        <v>-12956.8808446602</v>
      </c>
      <c r="AW49" s="21" t="n">
        <f aca="false">-0.1*(AW14*Premissas!$B$18+AW15*Premissas!$C$18+AW16*Premissas!$D$18+AW17*Premissas!$E$18)</f>
        <v>-13007.1808716413</v>
      </c>
      <c r="AX49" s="21" t="n">
        <f aca="false">-0.1*(AX14*Premissas!$B$18+AX15*Premissas!$C$18+AX16*Premissas!$D$18+AX17*Premissas!$E$18)</f>
        <v>-13056.1845201192</v>
      </c>
      <c r="AY49" s="21" t="n">
        <f aca="false">-0.1*(AY14*Premissas!$B$18+AY15*Premissas!$C$18+AY16*Premissas!$D$18+AY17*Premissas!$E$18)</f>
        <v>-19256.544329162</v>
      </c>
      <c r="AZ49" s="21" t="n">
        <f aca="false">-0.1*(AZ14*Premissas!$B$18+AZ15*Premissas!$C$18+AZ16*Premissas!$D$18+AZ17*Premissas!$E$18)</f>
        <v>-19346.9927157287</v>
      </c>
      <c r="BA49" s="21" t="n">
        <f aca="false">-0.1*(BA14*Premissas!$B$18+BA15*Premissas!$C$18+BA16*Premissas!$D$18+BA17*Premissas!$E$18)</f>
        <v>-19435.381370432</v>
      </c>
      <c r="BB49" s="21" t="n">
        <f aca="false">-0.1*(BB14*Premissas!$B$18+BB15*Premissas!$C$18+BB16*Premissas!$D$18+BB17*Premissas!$E$18)</f>
        <v>-19521.7631867778</v>
      </c>
      <c r="BC49" s="21" t="n">
        <f aca="false">-0.1*(BC14*Premissas!$B$18+BC15*Premissas!$C$18+BC16*Premissas!$D$18+BC17*Premissas!$E$18)</f>
        <v>-19606.1894807905</v>
      </c>
      <c r="BD49" s="21" t="n">
        <f aca="false">-0.1*(BD14*Premissas!$B$18+BD15*Premissas!$C$18+BD16*Premissas!$D$18+BD17*Premissas!$E$18)</f>
        <v>-19688.7100455066</v>
      </c>
      <c r="BE49" s="21" t="n">
        <f aca="false">-0.1*(BE14*Premissas!$B$18+BE15*Premissas!$C$18+BE16*Premissas!$D$18+BE17*Premissas!$E$18)</f>
        <v>-19769.3732033595</v>
      </c>
      <c r="BF49" s="21" t="n">
        <f aca="false">-0.1*(BF14*Premissas!$B$18+BF15*Premissas!$C$18+BF16*Premissas!$D$18+BF17*Premissas!$E$18)</f>
        <v>-19848.2258565449</v>
      </c>
      <c r="BG49" s="21" t="n">
        <f aca="false">-0.1*(BG14*Premissas!$B$18+BG15*Premissas!$C$18+BG16*Premissas!$D$18+BG17*Premissas!$E$18)</f>
        <v>-19925.3135354486</v>
      </c>
      <c r="BH49" s="21" t="n">
        <f aca="false">-0.1*(BH14*Premissas!$B$18+BH15*Premissas!$C$18+BH16*Premissas!$D$18+BH17*Premissas!$E$18)</f>
        <v>-20000.6804452191</v>
      </c>
      <c r="BI49" s="21" t="n">
        <f aca="false">-0.1*(BI14*Premissas!$B$18+BI15*Premissas!$C$18+BI16*Premissas!$D$18+BI17*Premissas!$E$18)</f>
        <v>-20074.3695105595</v>
      </c>
      <c r="BJ49" s="21" t="n">
        <f aca="false">-0.1*(BJ14*Premissas!$B$18+BJ15*Premissas!$C$18+BJ16*Premissas!$D$18+BJ17*Premissas!$E$18)</f>
        <v>-20146.4224188145</v>
      </c>
    </row>
    <row r="50" customFormat="false" ht="15" hidden="false" customHeight="false" outlineLevel="0" collapsed="false">
      <c r="A50" s="5" t="s">
        <v>250</v>
      </c>
      <c r="C50" s="21" t="n">
        <f aca="false">-INDEX(Premissas!$B$72:$F$72,C$4)</f>
        <v>-5000</v>
      </c>
      <c r="D50" s="21" t="n">
        <f aca="false">-INDEX(Premissas!$B$72:$F$72,D$4)</f>
        <v>-5000</v>
      </c>
      <c r="E50" s="21" t="n">
        <f aca="false">-INDEX(Premissas!$B$72:$F$72,E$4)</f>
        <v>-5000</v>
      </c>
      <c r="F50" s="21" t="n">
        <f aca="false">-INDEX(Premissas!$B$72:$F$72,F$4)</f>
        <v>-5000</v>
      </c>
      <c r="G50" s="21" t="n">
        <f aca="false">-INDEX(Premissas!$B$72:$F$72,G$4)</f>
        <v>-5000</v>
      </c>
      <c r="H50" s="21" t="n">
        <f aca="false">-INDEX(Premissas!$B$72:$F$72,H$4)</f>
        <v>-5000</v>
      </c>
      <c r="I50" s="21" t="n">
        <f aca="false">-INDEX(Premissas!$B$72:$F$72,I$4)</f>
        <v>-5000</v>
      </c>
      <c r="J50" s="21" t="n">
        <f aca="false">-INDEX(Premissas!$B$72:$F$72,J$4)</f>
        <v>-5000</v>
      </c>
      <c r="K50" s="21" t="n">
        <f aca="false">-INDEX(Premissas!$B$72:$F$72,K$4)</f>
        <v>-5000</v>
      </c>
      <c r="L50" s="21" t="n">
        <f aca="false">-INDEX(Premissas!$B$72:$F$72,L$4)</f>
        <v>-5000</v>
      </c>
      <c r="M50" s="21" t="n">
        <f aca="false">-INDEX(Premissas!$B$72:$F$72,M$4)</f>
        <v>-5000</v>
      </c>
      <c r="N50" s="21" t="n">
        <f aca="false">-INDEX(Premissas!$B$72:$F$72,N$4)</f>
        <v>-5000</v>
      </c>
      <c r="O50" s="21" t="n">
        <f aca="false">-INDEX(Premissas!$B$72:$F$72,O$4)</f>
        <v>-8000</v>
      </c>
      <c r="P50" s="21" t="n">
        <f aca="false">-INDEX(Premissas!$B$72:$F$72,P$4)</f>
        <v>-8000</v>
      </c>
      <c r="Q50" s="21" t="n">
        <f aca="false">-INDEX(Premissas!$B$72:$F$72,Q$4)</f>
        <v>-8000</v>
      </c>
      <c r="R50" s="21" t="n">
        <f aca="false">-INDEX(Premissas!$B$72:$F$72,R$4)</f>
        <v>-8000</v>
      </c>
      <c r="S50" s="21" t="n">
        <f aca="false">-INDEX(Premissas!$B$72:$F$72,S$4)</f>
        <v>-8000</v>
      </c>
      <c r="T50" s="21" t="n">
        <f aca="false">-INDEX(Premissas!$B$72:$F$72,T$4)</f>
        <v>-8000</v>
      </c>
      <c r="U50" s="21" t="n">
        <f aca="false">-INDEX(Premissas!$B$72:$F$72,U$4)</f>
        <v>-8000</v>
      </c>
      <c r="V50" s="21" t="n">
        <f aca="false">-INDEX(Premissas!$B$72:$F$72,V$4)</f>
        <v>-8000</v>
      </c>
      <c r="W50" s="21" t="n">
        <f aca="false">-INDEX(Premissas!$B$72:$F$72,W$4)</f>
        <v>-8000</v>
      </c>
      <c r="X50" s="21" t="n">
        <f aca="false">-INDEX(Premissas!$B$72:$F$72,X$4)</f>
        <v>-8000</v>
      </c>
      <c r="Y50" s="21" t="n">
        <f aca="false">-INDEX(Premissas!$B$72:$F$72,Y$4)</f>
        <v>-8000</v>
      </c>
      <c r="Z50" s="21" t="n">
        <f aca="false">-INDEX(Premissas!$B$72:$F$72,Z$4)</f>
        <v>-8000</v>
      </c>
      <c r="AA50" s="21" t="n">
        <f aca="false">-INDEX(Premissas!$B$72:$F$72,AA$4)</f>
        <v>-12000</v>
      </c>
      <c r="AB50" s="21" t="n">
        <f aca="false">-INDEX(Premissas!$B$72:$F$72,AB$4)</f>
        <v>-12000</v>
      </c>
      <c r="AC50" s="21" t="n">
        <f aca="false">-INDEX(Premissas!$B$72:$F$72,AC$4)</f>
        <v>-12000</v>
      </c>
      <c r="AD50" s="21" t="n">
        <f aca="false">-INDEX(Premissas!$B$72:$F$72,AD$4)</f>
        <v>-12000</v>
      </c>
      <c r="AE50" s="21" t="n">
        <f aca="false">-INDEX(Premissas!$B$72:$F$72,AE$4)</f>
        <v>-12000</v>
      </c>
      <c r="AF50" s="21" t="n">
        <f aca="false">-INDEX(Premissas!$B$72:$F$72,AF$4)</f>
        <v>-12000</v>
      </c>
      <c r="AG50" s="21" t="n">
        <f aca="false">-INDEX(Premissas!$B$72:$F$72,AG$4)</f>
        <v>-12000</v>
      </c>
      <c r="AH50" s="21" t="n">
        <f aca="false">-INDEX(Premissas!$B$72:$F$72,AH$4)</f>
        <v>-12000</v>
      </c>
      <c r="AI50" s="21" t="n">
        <f aca="false">-INDEX(Premissas!$B$72:$F$72,AI$4)</f>
        <v>-12000</v>
      </c>
      <c r="AJ50" s="21" t="n">
        <f aca="false">-INDEX(Premissas!$B$72:$F$72,AJ$4)</f>
        <v>-12000</v>
      </c>
      <c r="AK50" s="21" t="n">
        <f aca="false">-INDEX(Premissas!$B$72:$F$72,AK$4)</f>
        <v>-12000</v>
      </c>
      <c r="AL50" s="21" t="n">
        <f aca="false">-INDEX(Premissas!$B$72:$F$72,AL$4)</f>
        <v>-12000</v>
      </c>
      <c r="AM50" s="21" t="n">
        <f aca="false">-INDEX(Premissas!$B$72:$F$72,AM$4)</f>
        <v>-18000</v>
      </c>
      <c r="AN50" s="21" t="n">
        <f aca="false">-INDEX(Premissas!$B$72:$F$72,AN$4)</f>
        <v>-18000</v>
      </c>
      <c r="AO50" s="21" t="n">
        <f aca="false">-INDEX(Premissas!$B$72:$F$72,AO$4)</f>
        <v>-18000</v>
      </c>
      <c r="AP50" s="21" t="n">
        <f aca="false">-INDEX(Premissas!$B$72:$F$72,AP$4)</f>
        <v>-18000</v>
      </c>
      <c r="AQ50" s="21" t="n">
        <f aca="false">-INDEX(Premissas!$B$72:$F$72,AQ$4)</f>
        <v>-18000</v>
      </c>
      <c r="AR50" s="21" t="n">
        <f aca="false">-INDEX(Premissas!$B$72:$F$72,AR$4)</f>
        <v>-18000</v>
      </c>
      <c r="AS50" s="21" t="n">
        <f aca="false">-INDEX(Premissas!$B$72:$F$72,AS$4)</f>
        <v>-18000</v>
      </c>
      <c r="AT50" s="21" t="n">
        <f aca="false">-INDEX(Premissas!$B$72:$F$72,AT$4)</f>
        <v>-18000</v>
      </c>
      <c r="AU50" s="21" t="n">
        <f aca="false">-INDEX(Premissas!$B$72:$F$72,AU$4)</f>
        <v>-18000</v>
      </c>
      <c r="AV50" s="21" t="n">
        <f aca="false">-INDEX(Premissas!$B$72:$F$72,AV$4)</f>
        <v>-18000</v>
      </c>
      <c r="AW50" s="21" t="n">
        <f aca="false">-INDEX(Premissas!$B$72:$F$72,AW$4)</f>
        <v>-18000</v>
      </c>
      <c r="AX50" s="21" t="n">
        <f aca="false">-INDEX(Premissas!$B$72:$F$72,AX$4)</f>
        <v>-18000</v>
      </c>
      <c r="AY50" s="21" t="n">
        <f aca="false">-INDEX(Premissas!$B$72:$F$72,AY$4)</f>
        <v>-25000</v>
      </c>
      <c r="AZ50" s="21" t="n">
        <f aca="false">-INDEX(Premissas!$B$72:$F$72,AZ$4)</f>
        <v>-25000</v>
      </c>
      <c r="BA50" s="21" t="n">
        <f aca="false">-INDEX(Premissas!$B$72:$F$72,BA$4)</f>
        <v>-25000</v>
      </c>
      <c r="BB50" s="21" t="n">
        <f aca="false">-INDEX(Premissas!$B$72:$F$72,BB$4)</f>
        <v>-25000</v>
      </c>
      <c r="BC50" s="21" t="n">
        <f aca="false">-INDEX(Premissas!$B$72:$F$72,BC$4)</f>
        <v>-25000</v>
      </c>
      <c r="BD50" s="21" t="n">
        <f aca="false">-INDEX(Premissas!$B$72:$F$72,BD$4)</f>
        <v>-25000</v>
      </c>
      <c r="BE50" s="21" t="n">
        <f aca="false">-INDEX(Premissas!$B$72:$F$72,BE$4)</f>
        <v>-25000</v>
      </c>
      <c r="BF50" s="21" t="n">
        <f aca="false">-INDEX(Premissas!$B$72:$F$72,BF$4)</f>
        <v>-25000</v>
      </c>
      <c r="BG50" s="21" t="n">
        <f aca="false">-INDEX(Premissas!$B$72:$F$72,BG$4)</f>
        <v>-25000</v>
      </c>
      <c r="BH50" s="21" t="n">
        <f aca="false">-INDEX(Premissas!$B$72:$F$72,BH$4)</f>
        <v>-25000</v>
      </c>
      <c r="BI50" s="21" t="n">
        <f aca="false">-INDEX(Premissas!$B$72:$F$72,BI$4)</f>
        <v>-25000</v>
      </c>
      <c r="BJ50" s="21" t="n">
        <f aca="false">-INDEX(Premissas!$B$72:$F$72,BJ$4)</f>
        <v>-25000</v>
      </c>
    </row>
    <row r="51" customFormat="false" ht="15" hidden="false" customHeight="false" outlineLevel="0" collapsed="false">
      <c r="A51" s="5" t="s">
        <v>251</v>
      </c>
      <c r="C51" s="21" t="n">
        <f aca="false">-INDEX(Premissas!$B$73:$F$73,C$4)</f>
        <v>-2000</v>
      </c>
      <c r="D51" s="21" t="n">
        <f aca="false">-INDEX(Premissas!$B$73:$F$73,D$4)</f>
        <v>-2000</v>
      </c>
      <c r="E51" s="21" t="n">
        <f aca="false">-INDEX(Premissas!$B$73:$F$73,E$4)</f>
        <v>-2000</v>
      </c>
      <c r="F51" s="21" t="n">
        <f aca="false">-INDEX(Premissas!$B$73:$F$73,F$4)</f>
        <v>-2000</v>
      </c>
      <c r="G51" s="21" t="n">
        <f aca="false">-INDEX(Premissas!$B$73:$F$73,G$4)</f>
        <v>-2000</v>
      </c>
      <c r="H51" s="21" t="n">
        <f aca="false">-INDEX(Premissas!$B$73:$F$73,H$4)</f>
        <v>-2000</v>
      </c>
      <c r="I51" s="21" t="n">
        <f aca="false">-INDEX(Premissas!$B$73:$F$73,I$4)</f>
        <v>-2000</v>
      </c>
      <c r="J51" s="21" t="n">
        <f aca="false">-INDEX(Premissas!$B$73:$F$73,J$4)</f>
        <v>-2000</v>
      </c>
      <c r="K51" s="21" t="n">
        <f aca="false">-INDEX(Premissas!$B$73:$F$73,K$4)</f>
        <v>-2000</v>
      </c>
      <c r="L51" s="21" t="n">
        <f aca="false">-INDEX(Premissas!$B$73:$F$73,L$4)</f>
        <v>-2000</v>
      </c>
      <c r="M51" s="21" t="n">
        <f aca="false">-INDEX(Premissas!$B$73:$F$73,M$4)</f>
        <v>-2000</v>
      </c>
      <c r="N51" s="21" t="n">
        <f aca="false">-INDEX(Premissas!$B$73:$F$73,N$4)</f>
        <v>-2000</v>
      </c>
      <c r="O51" s="21" t="n">
        <f aca="false">-INDEX(Premissas!$B$73:$F$73,O$4)</f>
        <v>-8000</v>
      </c>
      <c r="P51" s="21" t="n">
        <f aca="false">-INDEX(Premissas!$B$73:$F$73,P$4)</f>
        <v>-8000</v>
      </c>
      <c r="Q51" s="21" t="n">
        <f aca="false">-INDEX(Premissas!$B$73:$F$73,Q$4)</f>
        <v>-8000</v>
      </c>
      <c r="R51" s="21" t="n">
        <f aca="false">-INDEX(Premissas!$B$73:$F$73,R$4)</f>
        <v>-8000</v>
      </c>
      <c r="S51" s="21" t="n">
        <f aca="false">-INDEX(Premissas!$B$73:$F$73,S$4)</f>
        <v>-8000</v>
      </c>
      <c r="T51" s="21" t="n">
        <f aca="false">-INDEX(Premissas!$B$73:$F$73,T$4)</f>
        <v>-8000</v>
      </c>
      <c r="U51" s="21" t="n">
        <f aca="false">-INDEX(Premissas!$B$73:$F$73,U$4)</f>
        <v>-8000</v>
      </c>
      <c r="V51" s="21" t="n">
        <f aca="false">-INDEX(Premissas!$B$73:$F$73,V$4)</f>
        <v>-8000</v>
      </c>
      <c r="W51" s="21" t="n">
        <f aca="false">-INDEX(Premissas!$B$73:$F$73,W$4)</f>
        <v>-8000</v>
      </c>
      <c r="X51" s="21" t="n">
        <f aca="false">-INDEX(Premissas!$B$73:$F$73,X$4)</f>
        <v>-8000</v>
      </c>
      <c r="Y51" s="21" t="n">
        <f aca="false">-INDEX(Premissas!$B$73:$F$73,Y$4)</f>
        <v>-8000</v>
      </c>
      <c r="Z51" s="21" t="n">
        <f aca="false">-INDEX(Premissas!$B$73:$F$73,Z$4)</f>
        <v>-8000</v>
      </c>
      <c r="AA51" s="21" t="n">
        <f aca="false">-INDEX(Premissas!$B$73:$F$73,AA$4)</f>
        <v>-15000</v>
      </c>
      <c r="AB51" s="21" t="n">
        <f aca="false">-INDEX(Premissas!$B$73:$F$73,AB$4)</f>
        <v>-15000</v>
      </c>
      <c r="AC51" s="21" t="n">
        <f aca="false">-INDEX(Premissas!$B$73:$F$73,AC$4)</f>
        <v>-15000</v>
      </c>
      <c r="AD51" s="21" t="n">
        <f aca="false">-INDEX(Premissas!$B$73:$F$73,AD$4)</f>
        <v>-15000</v>
      </c>
      <c r="AE51" s="21" t="n">
        <f aca="false">-INDEX(Premissas!$B$73:$F$73,AE$4)</f>
        <v>-15000</v>
      </c>
      <c r="AF51" s="21" t="n">
        <f aca="false">-INDEX(Premissas!$B$73:$F$73,AF$4)</f>
        <v>-15000</v>
      </c>
      <c r="AG51" s="21" t="n">
        <f aca="false">-INDEX(Premissas!$B$73:$F$73,AG$4)</f>
        <v>-15000</v>
      </c>
      <c r="AH51" s="21" t="n">
        <f aca="false">-INDEX(Premissas!$B$73:$F$73,AH$4)</f>
        <v>-15000</v>
      </c>
      <c r="AI51" s="21" t="n">
        <f aca="false">-INDEX(Premissas!$B$73:$F$73,AI$4)</f>
        <v>-15000</v>
      </c>
      <c r="AJ51" s="21" t="n">
        <f aca="false">-INDEX(Premissas!$B$73:$F$73,AJ$4)</f>
        <v>-15000</v>
      </c>
      <c r="AK51" s="21" t="n">
        <f aca="false">-INDEX(Premissas!$B$73:$F$73,AK$4)</f>
        <v>-15000</v>
      </c>
      <c r="AL51" s="21" t="n">
        <f aca="false">-INDEX(Premissas!$B$73:$F$73,AL$4)</f>
        <v>-15000</v>
      </c>
      <c r="AM51" s="21" t="n">
        <f aca="false">-INDEX(Premissas!$B$73:$F$73,AM$4)</f>
        <v>-25000</v>
      </c>
      <c r="AN51" s="21" t="n">
        <f aca="false">-INDEX(Premissas!$B$73:$F$73,AN$4)</f>
        <v>-25000</v>
      </c>
      <c r="AO51" s="21" t="n">
        <f aca="false">-INDEX(Premissas!$B$73:$F$73,AO$4)</f>
        <v>-25000</v>
      </c>
      <c r="AP51" s="21" t="n">
        <f aca="false">-INDEX(Premissas!$B$73:$F$73,AP$4)</f>
        <v>-25000</v>
      </c>
      <c r="AQ51" s="21" t="n">
        <f aca="false">-INDEX(Premissas!$B$73:$F$73,AQ$4)</f>
        <v>-25000</v>
      </c>
      <c r="AR51" s="21" t="n">
        <f aca="false">-INDEX(Premissas!$B$73:$F$73,AR$4)</f>
        <v>-25000</v>
      </c>
      <c r="AS51" s="21" t="n">
        <f aca="false">-INDEX(Premissas!$B$73:$F$73,AS$4)</f>
        <v>-25000</v>
      </c>
      <c r="AT51" s="21" t="n">
        <f aca="false">-INDEX(Premissas!$B$73:$F$73,AT$4)</f>
        <v>-25000</v>
      </c>
      <c r="AU51" s="21" t="n">
        <f aca="false">-INDEX(Premissas!$B$73:$F$73,AU$4)</f>
        <v>-25000</v>
      </c>
      <c r="AV51" s="21" t="n">
        <f aca="false">-INDEX(Premissas!$B$73:$F$73,AV$4)</f>
        <v>-25000</v>
      </c>
      <c r="AW51" s="21" t="n">
        <f aca="false">-INDEX(Premissas!$B$73:$F$73,AW$4)</f>
        <v>-25000</v>
      </c>
      <c r="AX51" s="21" t="n">
        <f aca="false">-INDEX(Premissas!$B$73:$F$73,AX$4)</f>
        <v>-25000</v>
      </c>
      <c r="AY51" s="21" t="n">
        <f aca="false">-INDEX(Premissas!$B$73:$F$73,AY$4)</f>
        <v>-35000</v>
      </c>
      <c r="AZ51" s="21" t="n">
        <f aca="false">-INDEX(Premissas!$B$73:$F$73,AZ$4)</f>
        <v>-35000</v>
      </c>
      <c r="BA51" s="21" t="n">
        <f aca="false">-INDEX(Premissas!$B$73:$F$73,BA$4)</f>
        <v>-35000</v>
      </c>
      <c r="BB51" s="21" t="n">
        <f aca="false">-INDEX(Premissas!$B$73:$F$73,BB$4)</f>
        <v>-35000</v>
      </c>
      <c r="BC51" s="21" t="n">
        <f aca="false">-INDEX(Premissas!$B$73:$F$73,BC$4)</f>
        <v>-35000</v>
      </c>
      <c r="BD51" s="21" t="n">
        <f aca="false">-INDEX(Premissas!$B$73:$F$73,BD$4)</f>
        <v>-35000</v>
      </c>
      <c r="BE51" s="21" t="n">
        <f aca="false">-INDEX(Premissas!$B$73:$F$73,BE$4)</f>
        <v>-35000</v>
      </c>
      <c r="BF51" s="21" t="n">
        <f aca="false">-INDEX(Premissas!$B$73:$F$73,BF$4)</f>
        <v>-35000</v>
      </c>
      <c r="BG51" s="21" t="n">
        <f aca="false">-INDEX(Premissas!$B$73:$F$73,BG$4)</f>
        <v>-35000</v>
      </c>
      <c r="BH51" s="21" t="n">
        <f aca="false">-INDEX(Premissas!$B$73:$F$73,BH$4)</f>
        <v>-35000</v>
      </c>
      <c r="BI51" s="21" t="n">
        <f aca="false">-INDEX(Premissas!$B$73:$F$73,BI$4)</f>
        <v>-35000</v>
      </c>
      <c r="BJ51" s="21" t="n">
        <f aca="false">-INDEX(Premissas!$B$73:$F$73,BJ$4)</f>
        <v>-35000</v>
      </c>
    </row>
    <row r="52" customFormat="false" ht="15" hidden="false" customHeight="false" outlineLevel="0" collapsed="false">
      <c r="A52" s="5" t="s">
        <v>252</v>
      </c>
      <c r="C52" s="21" t="n">
        <f aca="false">-INDEX(Premissas!$B$74:$F$74,C$4)</f>
        <v>-3000</v>
      </c>
      <c r="D52" s="21" t="n">
        <f aca="false">-INDEX(Premissas!$B$74:$F$74,D$4)</f>
        <v>-3000</v>
      </c>
      <c r="E52" s="21" t="n">
        <f aca="false">-INDEX(Premissas!$B$74:$F$74,E$4)</f>
        <v>-3000</v>
      </c>
      <c r="F52" s="21" t="n">
        <f aca="false">-INDEX(Premissas!$B$74:$F$74,F$4)</f>
        <v>-3000</v>
      </c>
      <c r="G52" s="21" t="n">
        <f aca="false">-INDEX(Premissas!$B$74:$F$74,G$4)</f>
        <v>-3000</v>
      </c>
      <c r="H52" s="21" t="n">
        <f aca="false">-INDEX(Premissas!$B$74:$F$74,H$4)</f>
        <v>-3000</v>
      </c>
      <c r="I52" s="21" t="n">
        <f aca="false">-INDEX(Premissas!$B$74:$F$74,I$4)</f>
        <v>-3000</v>
      </c>
      <c r="J52" s="21" t="n">
        <f aca="false">-INDEX(Premissas!$B$74:$F$74,J$4)</f>
        <v>-3000</v>
      </c>
      <c r="K52" s="21" t="n">
        <f aca="false">-INDEX(Premissas!$B$74:$F$74,K$4)</f>
        <v>-3000</v>
      </c>
      <c r="L52" s="21" t="n">
        <f aca="false">-INDEX(Premissas!$B$74:$F$74,L$4)</f>
        <v>-3000</v>
      </c>
      <c r="M52" s="21" t="n">
        <f aca="false">-INDEX(Premissas!$B$74:$F$74,M$4)</f>
        <v>-3000</v>
      </c>
      <c r="N52" s="21" t="n">
        <f aca="false">-INDEX(Premissas!$B$74:$F$74,N$4)</f>
        <v>-3000</v>
      </c>
      <c r="O52" s="21" t="n">
        <f aca="false">-INDEX(Premissas!$B$74:$F$74,O$4)</f>
        <v>-8000</v>
      </c>
      <c r="P52" s="21" t="n">
        <f aca="false">-INDEX(Premissas!$B$74:$F$74,P$4)</f>
        <v>-8000</v>
      </c>
      <c r="Q52" s="21" t="n">
        <f aca="false">-INDEX(Premissas!$B$74:$F$74,Q$4)</f>
        <v>-8000</v>
      </c>
      <c r="R52" s="21" t="n">
        <f aca="false">-INDEX(Premissas!$B$74:$F$74,R$4)</f>
        <v>-8000</v>
      </c>
      <c r="S52" s="21" t="n">
        <f aca="false">-INDEX(Premissas!$B$74:$F$74,S$4)</f>
        <v>-8000</v>
      </c>
      <c r="T52" s="21" t="n">
        <f aca="false">-INDEX(Premissas!$B$74:$F$74,T$4)</f>
        <v>-8000</v>
      </c>
      <c r="U52" s="21" t="n">
        <f aca="false">-INDEX(Premissas!$B$74:$F$74,U$4)</f>
        <v>-8000</v>
      </c>
      <c r="V52" s="21" t="n">
        <f aca="false">-INDEX(Premissas!$B$74:$F$74,V$4)</f>
        <v>-8000</v>
      </c>
      <c r="W52" s="21" t="n">
        <f aca="false">-INDEX(Premissas!$B$74:$F$74,W$4)</f>
        <v>-8000</v>
      </c>
      <c r="X52" s="21" t="n">
        <f aca="false">-INDEX(Premissas!$B$74:$F$74,X$4)</f>
        <v>-8000</v>
      </c>
      <c r="Y52" s="21" t="n">
        <f aca="false">-INDEX(Premissas!$B$74:$F$74,Y$4)</f>
        <v>-8000</v>
      </c>
      <c r="Z52" s="21" t="n">
        <f aca="false">-INDEX(Premissas!$B$74:$F$74,Z$4)</f>
        <v>-8000</v>
      </c>
      <c r="AA52" s="21" t="n">
        <f aca="false">-INDEX(Premissas!$B$74:$F$74,AA$4)</f>
        <v>-15000</v>
      </c>
      <c r="AB52" s="21" t="n">
        <f aca="false">-INDEX(Premissas!$B$74:$F$74,AB$4)</f>
        <v>-15000</v>
      </c>
      <c r="AC52" s="21" t="n">
        <f aca="false">-INDEX(Premissas!$B$74:$F$74,AC$4)</f>
        <v>-15000</v>
      </c>
      <c r="AD52" s="21" t="n">
        <f aca="false">-INDEX(Premissas!$B$74:$F$74,AD$4)</f>
        <v>-15000</v>
      </c>
      <c r="AE52" s="21" t="n">
        <f aca="false">-INDEX(Premissas!$B$74:$F$74,AE$4)</f>
        <v>-15000</v>
      </c>
      <c r="AF52" s="21" t="n">
        <f aca="false">-INDEX(Premissas!$B$74:$F$74,AF$4)</f>
        <v>-15000</v>
      </c>
      <c r="AG52" s="21" t="n">
        <f aca="false">-INDEX(Premissas!$B$74:$F$74,AG$4)</f>
        <v>-15000</v>
      </c>
      <c r="AH52" s="21" t="n">
        <f aca="false">-INDEX(Premissas!$B$74:$F$74,AH$4)</f>
        <v>-15000</v>
      </c>
      <c r="AI52" s="21" t="n">
        <f aca="false">-INDEX(Premissas!$B$74:$F$74,AI$4)</f>
        <v>-15000</v>
      </c>
      <c r="AJ52" s="21" t="n">
        <f aca="false">-INDEX(Premissas!$B$74:$F$74,AJ$4)</f>
        <v>-15000</v>
      </c>
      <c r="AK52" s="21" t="n">
        <f aca="false">-INDEX(Premissas!$B$74:$F$74,AK$4)</f>
        <v>-15000</v>
      </c>
      <c r="AL52" s="21" t="n">
        <f aca="false">-INDEX(Premissas!$B$74:$F$74,AL$4)</f>
        <v>-15000</v>
      </c>
      <c r="AM52" s="21" t="n">
        <f aca="false">-INDEX(Premissas!$B$74:$F$74,AM$4)</f>
        <v>-25000</v>
      </c>
      <c r="AN52" s="21" t="n">
        <f aca="false">-INDEX(Premissas!$B$74:$F$74,AN$4)</f>
        <v>-25000</v>
      </c>
      <c r="AO52" s="21" t="n">
        <f aca="false">-INDEX(Premissas!$B$74:$F$74,AO$4)</f>
        <v>-25000</v>
      </c>
      <c r="AP52" s="21" t="n">
        <f aca="false">-INDEX(Premissas!$B$74:$F$74,AP$4)</f>
        <v>-25000</v>
      </c>
      <c r="AQ52" s="21" t="n">
        <f aca="false">-INDEX(Premissas!$B$74:$F$74,AQ$4)</f>
        <v>-25000</v>
      </c>
      <c r="AR52" s="21" t="n">
        <f aca="false">-INDEX(Premissas!$B$74:$F$74,AR$4)</f>
        <v>-25000</v>
      </c>
      <c r="AS52" s="21" t="n">
        <f aca="false">-INDEX(Premissas!$B$74:$F$74,AS$4)</f>
        <v>-25000</v>
      </c>
      <c r="AT52" s="21" t="n">
        <f aca="false">-INDEX(Premissas!$B$74:$F$74,AT$4)</f>
        <v>-25000</v>
      </c>
      <c r="AU52" s="21" t="n">
        <f aca="false">-INDEX(Premissas!$B$74:$F$74,AU$4)</f>
        <v>-25000</v>
      </c>
      <c r="AV52" s="21" t="n">
        <f aca="false">-INDEX(Premissas!$B$74:$F$74,AV$4)</f>
        <v>-25000</v>
      </c>
      <c r="AW52" s="21" t="n">
        <f aca="false">-INDEX(Premissas!$B$74:$F$74,AW$4)</f>
        <v>-25000</v>
      </c>
      <c r="AX52" s="21" t="n">
        <f aca="false">-INDEX(Premissas!$B$74:$F$74,AX$4)</f>
        <v>-25000</v>
      </c>
      <c r="AY52" s="21" t="n">
        <f aca="false">-INDEX(Premissas!$B$74:$F$74,AY$4)</f>
        <v>-35000</v>
      </c>
      <c r="AZ52" s="21" t="n">
        <f aca="false">-INDEX(Premissas!$B$74:$F$74,AZ$4)</f>
        <v>-35000</v>
      </c>
      <c r="BA52" s="21" t="n">
        <f aca="false">-INDEX(Premissas!$B$74:$F$74,BA$4)</f>
        <v>-35000</v>
      </c>
      <c r="BB52" s="21" t="n">
        <f aca="false">-INDEX(Premissas!$B$74:$F$74,BB$4)</f>
        <v>-35000</v>
      </c>
      <c r="BC52" s="21" t="n">
        <f aca="false">-INDEX(Premissas!$B$74:$F$74,BC$4)</f>
        <v>-35000</v>
      </c>
      <c r="BD52" s="21" t="n">
        <f aca="false">-INDEX(Premissas!$B$74:$F$74,BD$4)</f>
        <v>-35000</v>
      </c>
      <c r="BE52" s="21" t="n">
        <f aca="false">-INDEX(Premissas!$B$74:$F$74,BE$4)</f>
        <v>-35000</v>
      </c>
      <c r="BF52" s="21" t="n">
        <f aca="false">-INDEX(Premissas!$B$74:$F$74,BF$4)</f>
        <v>-35000</v>
      </c>
      <c r="BG52" s="21" t="n">
        <f aca="false">-INDEX(Premissas!$B$74:$F$74,BG$4)</f>
        <v>-35000</v>
      </c>
      <c r="BH52" s="21" t="n">
        <f aca="false">-INDEX(Premissas!$B$74:$F$74,BH$4)</f>
        <v>-35000</v>
      </c>
      <c r="BI52" s="21" t="n">
        <f aca="false">-INDEX(Premissas!$B$74:$F$74,BI$4)</f>
        <v>-35000</v>
      </c>
      <c r="BJ52" s="21" t="n">
        <f aca="false">-INDEX(Premissas!$B$74:$F$74,BJ$4)</f>
        <v>-35000</v>
      </c>
    </row>
    <row r="53" customFormat="false" ht="15" hidden="false" customHeight="false" outlineLevel="0" collapsed="false">
      <c r="A53" s="5" t="s">
        <v>253</v>
      </c>
      <c r="C53" s="21" t="n">
        <f aca="false">-INDEX(Premissas!$B$75:$F$75,C$4)</f>
        <v>-2000</v>
      </c>
      <c r="D53" s="21" t="n">
        <f aca="false">-INDEX(Premissas!$B$75:$F$75,D$4)</f>
        <v>-2000</v>
      </c>
      <c r="E53" s="21" t="n">
        <f aca="false">-INDEX(Premissas!$B$75:$F$75,E$4)</f>
        <v>-2000</v>
      </c>
      <c r="F53" s="21" t="n">
        <f aca="false">-INDEX(Premissas!$B$75:$F$75,F$4)</f>
        <v>-2000</v>
      </c>
      <c r="G53" s="21" t="n">
        <f aca="false">-INDEX(Premissas!$B$75:$F$75,G$4)</f>
        <v>-2000</v>
      </c>
      <c r="H53" s="21" t="n">
        <f aca="false">-INDEX(Premissas!$B$75:$F$75,H$4)</f>
        <v>-2000</v>
      </c>
      <c r="I53" s="21" t="n">
        <f aca="false">-INDEX(Premissas!$B$75:$F$75,I$4)</f>
        <v>-2000</v>
      </c>
      <c r="J53" s="21" t="n">
        <f aca="false">-INDEX(Premissas!$B$75:$F$75,J$4)</f>
        <v>-2000</v>
      </c>
      <c r="K53" s="21" t="n">
        <f aca="false">-INDEX(Premissas!$B$75:$F$75,K$4)</f>
        <v>-2000</v>
      </c>
      <c r="L53" s="21" t="n">
        <f aca="false">-INDEX(Premissas!$B$75:$F$75,L$4)</f>
        <v>-2000</v>
      </c>
      <c r="M53" s="21" t="n">
        <f aca="false">-INDEX(Premissas!$B$75:$F$75,M$4)</f>
        <v>-2000</v>
      </c>
      <c r="N53" s="21" t="n">
        <f aca="false">-INDEX(Premissas!$B$75:$F$75,N$4)</f>
        <v>-2000</v>
      </c>
      <c r="O53" s="21" t="n">
        <f aca="false">-INDEX(Premissas!$B$75:$F$75,O$4)</f>
        <v>-6000</v>
      </c>
      <c r="P53" s="21" t="n">
        <f aca="false">-INDEX(Premissas!$B$75:$F$75,P$4)</f>
        <v>-6000</v>
      </c>
      <c r="Q53" s="21" t="n">
        <f aca="false">-INDEX(Premissas!$B$75:$F$75,Q$4)</f>
        <v>-6000</v>
      </c>
      <c r="R53" s="21" t="n">
        <f aca="false">-INDEX(Premissas!$B$75:$F$75,R$4)</f>
        <v>-6000</v>
      </c>
      <c r="S53" s="21" t="n">
        <f aca="false">-INDEX(Premissas!$B$75:$F$75,S$4)</f>
        <v>-6000</v>
      </c>
      <c r="T53" s="21" t="n">
        <f aca="false">-INDEX(Premissas!$B$75:$F$75,T$4)</f>
        <v>-6000</v>
      </c>
      <c r="U53" s="21" t="n">
        <f aca="false">-INDEX(Premissas!$B$75:$F$75,U$4)</f>
        <v>-6000</v>
      </c>
      <c r="V53" s="21" t="n">
        <f aca="false">-INDEX(Premissas!$B$75:$F$75,V$4)</f>
        <v>-6000</v>
      </c>
      <c r="W53" s="21" t="n">
        <f aca="false">-INDEX(Premissas!$B$75:$F$75,W$4)</f>
        <v>-6000</v>
      </c>
      <c r="X53" s="21" t="n">
        <f aca="false">-INDEX(Premissas!$B$75:$F$75,X$4)</f>
        <v>-6000</v>
      </c>
      <c r="Y53" s="21" t="n">
        <f aca="false">-INDEX(Premissas!$B$75:$F$75,Y$4)</f>
        <v>-6000</v>
      </c>
      <c r="Z53" s="21" t="n">
        <f aca="false">-INDEX(Premissas!$B$75:$F$75,Z$4)</f>
        <v>-6000</v>
      </c>
      <c r="AA53" s="21" t="n">
        <f aca="false">-INDEX(Premissas!$B$75:$F$75,AA$4)</f>
        <v>-15000</v>
      </c>
      <c r="AB53" s="21" t="n">
        <f aca="false">-INDEX(Premissas!$B$75:$F$75,AB$4)</f>
        <v>-15000</v>
      </c>
      <c r="AC53" s="21" t="n">
        <f aca="false">-INDEX(Premissas!$B$75:$F$75,AC$4)</f>
        <v>-15000</v>
      </c>
      <c r="AD53" s="21" t="n">
        <f aca="false">-INDEX(Premissas!$B$75:$F$75,AD$4)</f>
        <v>-15000</v>
      </c>
      <c r="AE53" s="21" t="n">
        <f aca="false">-INDEX(Premissas!$B$75:$F$75,AE$4)</f>
        <v>-15000</v>
      </c>
      <c r="AF53" s="21" t="n">
        <f aca="false">-INDEX(Premissas!$B$75:$F$75,AF$4)</f>
        <v>-15000</v>
      </c>
      <c r="AG53" s="21" t="n">
        <f aca="false">-INDEX(Premissas!$B$75:$F$75,AG$4)</f>
        <v>-15000</v>
      </c>
      <c r="AH53" s="21" t="n">
        <f aca="false">-INDEX(Premissas!$B$75:$F$75,AH$4)</f>
        <v>-15000</v>
      </c>
      <c r="AI53" s="21" t="n">
        <f aca="false">-INDEX(Premissas!$B$75:$F$75,AI$4)</f>
        <v>-15000</v>
      </c>
      <c r="AJ53" s="21" t="n">
        <f aca="false">-INDEX(Premissas!$B$75:$F$75,AJ$4)</f>
        <v>-15000</v>
      </c>
      <c r="AK53" s="21" t="n">
        <f aca="false">-INDEX(Premissas!$B$75:$F$75,AK$4)</f>
        <v>-15000</v>
      </c>
      <c r="AL53" s="21" t="n">
        <f aca="false">-INDEX(Premissas!$B$75:$F$75,AL$4)</f>
        <v>-15000</v>
      </c>
      <c r="AM53" s="21" t="n">
        <f aca="false">-INDEX(Premissas!$B$75:$F$75,AM$4)</f>
        <v>-25000</v>
      </c>
      <c r="AN53" s="21" t="n">
        <f aca="false">-INDEX(Premissas!$B$75:$F$75,AN$4)</f>
        <v>-25000</v>
      </c>
      <c r="AO53" s="21" t="n">
        <f aca="false">-INDEX(Premissas!$B$75:$F$75,AO$4)</f>
        <v>-25000</v>
      </c>
      <c r="AP53" s="21" t="n">
        <f aca="false">-INDEX(Premissas!$B$75:$F$75,AP$4)</f>
        <v>-25000</v>
      </c>
      <c r="AQ53" s="21" t="n">
        <f aca="false">-INDEX(Premissas!$B$75:$F$75,AQ$4)</f>
        <v>-25000</v>
      </c>
      <c r="AR53" s="21" t="n">
        <f aca="false">-INDEX(Premissas!$B$75:$F$75,AR$4)</f>
        <v>-25000</v>
      </c>
      <c r="AS53" s="21" t="n">
        <f aca="false">-INDEX(Premissas!$B$75:$F$75,AS$4)</f>
        <v>-25000</v>
      </c>
      <c r="AT53" s="21" t="n">
        <f aca="false">-INDEX(Premissas!$B$75:$F$75,AT$4)</f>
        <v>-25000</v>
      </c>
      <c r="AU53" s="21" t="n">
        <f aca="false">-INDEX(Premissas!$B$75:$F$75,AU$4)</f>
        <v>-25000</v>
      </c>
      <c r="AV53" s="21" t="n">
        <f aca="false">-INDEX(Premissas!$B$75:$F$75,AV$4)</f>
        <v>-25000</v>
      </c>
      <c r="AW53" s="21" t="n">
        <f aca="false">-INDEX(Premissas!$B$75:$F$75,AW$4)</f>
        <v>-25000</v>
      </c>
      <c r="AX53" s="21" t="n">
        <f aca="false">-INDEX(Premissas!$B$75:$F$75,AX$4)</f>
        <v>-25000</v>
      </c>
      <c r="AY53" s="21" t="n">
        <f aca="false">-INDEX(Premissas!$B$75:$F$75,AY$4)</f>
        <v>-35000</v>
      </c>
      <c r="AZ53" s="21" t="n">
        <f aca="false">-INDEX(Premissas!$B$75:$F$75,AZ$4)</f>
        <v>-35000</v>
      </c>
      <c r="BA53" s="21" t="n">
        <f aca="false">-INDEX(Premissas!$B$75:$F$75,BA$4)</f>
        <v>-35000</v>
      </c>
      <c r="BB53" s="21" t="n">
        <f aca="false">-INDEX(Premissas!$B$75:$F$75,BB$4)</f>
        <v>-35000</v>
      </c>
      <c r="BC53" s="21" t="n">
        <f aca="false">-INDEX(Premissas!$B$75:$F$75,BC$4)</f>
        <v>-35000</v>
      </c>
      <c r="BD53" s="21" t="n">
        <f aca="false">-INDEX(Premissas!$B$75:$F$75,BD$4)</f>
        <v>-35000</v>
      </c>
      <c r="BE53" s="21" t="n">
        <f aca="false">-INDEX(Premissas!$B$75:$F$75,BE$4)</f>
        <v>-35000</v>
      </c>
      <c r="BF53" s="21" t="n">
        <f aca="false">-INDEX(Premissas!$B$75:$F$75,BF$4)</f>
        <v>-35000</v>
      </c>
      <c r="BG53" s="21" t="n">
        <f aca="false">-INDEX(Premissas!$B$75:$F$75,BG$4)</f>
        <v>-35000</v>
      </c>
      <c r="BH53" s="21" t="n">
        <f aca="false">-INDEX(Premissas!$B$75:$F$75,BH$4)</f>
        <v>-35000</v>
      </c>
      <c r="BI53" s="21" t="n">
        <f aca="false">-INDEX(Premissas!$B$75:$F$75,BI$4)</f>
        <v>-35000</v>
      </c>
      <c r="BJ53" s="21" t="n">
        <f aca="false">-INDEX(Premissas!$B$75:$F$75,BJ$4)</f>
        <v>-35000</v>
      </c>
    </row>
    <row r="54" customFormat="false" ht="15" hidden="false" customHeight="false" outlineLevel="0" collapsed="false">
      <c r="A54" s="5" t="s">
        <v>254</v>
      </c>
      <c r="C54" s="21" t="n">
        <f aca="false">-INDEX(Premissas!$B$76:$F$76,C$4)</f>
        <v>-3000</v>
      </c>
      <c r="D54" s="21" t="n">
        <f aca="false">-INDEX(Premissas!$B$76:$F$76,D$4)</f>
        <v>-3000</v>
      </c>
      <c r="E54" s="21" t="n">
        <f aca="false">-INDEX(Premissas!$B$76:$F$76,E$4)</f>
        <v>-3000</v>
      </c>
      <c r="F54" s="21" t="n">
        <f aca="false">-INDEX(Premissas!$B$76:$F$76,F$4)</f>
        <v>-3000</v>
      </c>
      <c r="G54" s="21" t="n">
        <f aca="false">-INDEX(Premissas!$B$76:$F$76,G$4)</f>
        <v>-3000</v>
      </c>
      <c r="H54" s="21" t="n">
        <f aca="false">-INDEX(Premissas!$B$76:$F$76,H$4)</f>
        <v>-3000</v>
      </c>
      <c r="I54" s="21" t="n">
        <f aca="false">-INDEX(Premissas!$B$76:$F$76,I$4)</f>
        <v>-3000</v>
      </c>
      <c r="J54" s="21" t="n">
        <f aca="false">-INDEX(Premissas!$B$76:$F$76,J$4)</f>
        <v>-3000</v>
      </c>
      <c r="K54" s="21" t="n">
        <f aca="false">-INDEX(Premissas!$B$76:$F$76,K$4)</f>
        <v>-3000</v>
      </c>
      <c r="L54" s="21" t="n">
        <f aca="false">-INDEX(Premissas!$B$76:$F$76,L$4)</f>
        <v>-3000</v>
      </c>
      <c r="M54" s="21" t="n">
        <f aca="false">-INDEX(Premissas!$B$76:$F$76,M$4)</f>
        <v>-3000</v>
      </c>
      <c r="N54" s="21" t="n">
        <f aca="false">-INDEX(Premissas!$B$76:$F$76,N$4)</f>
        <v>-3000</v>
      </c>
      <c r="O54" s="21" t="n">
        <f aca="false">-INDEX(Premissas!$B$76:$F$76,O$4)</f>
        <v>-5000</v>
      </c>
      <c r="P54" s="21" t="n">
        <f aca="false">-INDEX(Premissas!$B$76:$F$76,P$4)</f>
        <v>-5000</v>
      </c>
      <c r="Q54" s="21" t="n">
        <f aca="false">-INDEX(Premissas!$B$76:$F$76,Q$4)</f>
        <v>-5000</v>
      </c>
      <c r="R54" s="21" t="n">
        <f aca="false">-INDEX(Premissas!$B$76:$F$76,R$4)</f>
        <v>-5000</v>
      </c>
      <c r="S54" s="21" t="n">
        <f aca="false">-INDEX(Premissas!$B$76:$F$76,S$4)</f>
        <v>-5000</v>
      </c>
      <c r="T54" s="21" t="n">
        <f aca="false">-INDEX(Premissas!$B$76:$F$76,T$4)</f>
        <v>-5000</v>
      </c>
      <c r="U54" s="21" t="n">
        <f aca="false">-INDEX(Premissas!$B$76:$F$76,U$4)</f>
        <v>-5000</v>
      </c>
      <c r="V54" s="21" t="n">
        <f aca="false">-INDEX(Premissas!$B$76:$F$76,V$4)</f>
        <v>-5000</v>
      </c>
      <c r="W54" s="21" t="n">
        <f aca="false">-INDEX(Premissas!$B$76:$F$76,W$4)</f>
        <v>-5000</v>
      </c>
      <c r="X54" s="21" t="n">
        <f aca="false">-INDEX(Premissas!$B$76:$F$76,X$4)</f>
        <v>-5000</v>
      </c>
      <c r="Y54" s="21" t="n">
        <f aca="false">-INDEX(Premissas!$B$76:$F$76,Y$4)</f>
        <v>-5000</v>
      </c>
      <c r="Z54" s="21" t="n">
        <f aca="false">-INDEX(Premissas!$B$76:$F$76,Z$4)</f>
        <v>-5000</v>
      </c>
      <c r="AA54" s="21" t="n">
        <f aca="false">-INDEX(Premissas!$B$76:$F$76,AA$4)</f>
        <v>-9000</v>
      </c>
      <c r="AB54" s="21" t="n">
        <f aca="false">-INDEX(Premissas!$B$76:$F$76,AB$4)</f>
        <v>-9000</v>
      </c>
      <c r="AC54" s="21" t="n">
        <f aca="false">-INDEX(Premissas!$B$76:$F$76,AC$4)</f>
        <v>-9000</v>
      </c>
      <c r="AD54" s="21" t="n">
        <f aca="false">-INDEX(Premissas!$B$76:$F$76,AD$4)</f>
        <v>-9000</v>
      </c>
      <c r="AE54" s="21" t="n">
        <f aca="false">-INDEX(Premissas!$B$76:$F$76,AE$4)</f>
        <v>-9000</v>
      </c>
      <c r="AF54" s="21" t="n">
        <f aca="false">-INDEX(Premissas!$B$76:$F$76,AF$4)</f>
        <v>-9000</v>
      </c>
      <c r="AG54" s="21" t="n">
        <f aca="false">-INDEX(Premissas!$B$76:$F$76,AG$4)</f>
        <v>-9000</v>
      </c>
      <c r="AH54" s="21" t="n">
        <f aca="false">-INDEX(Premissas!$B$76:$F$76,AH$4)</f>
        <v>-9000</v>
      </c>
      <c r="AI54" s="21" t="n">
        <f aca="false">-INDEX(Premissas!$B$76:$F$76,AI$4)</f>
        <v>-9000</v>
      </c>
      <c r="AJ54" s="21" t="n">
        <f aca="false">-INDEX(Premissas!$B$76:$F$76,AJ$4)</f>
        <v>-9000</v>
      </c>
      <c r="AK54" s="21" t="n">
        <f aca="false">-INDEX(Premissas!$B$76:$F$76,AK$4)</f>
        <v>-9000</v>
      </c>
      <c r="AL54" s="21" t="n">
        <f aca="false">-INDEX(Premissas!$B$76:$F$76,AL$4)</f>
        <v>-9000</v>
      </c>
      <c r="AM54" s="21" t="n">
        <f aca="false">-INDEX(Premissas!$B$76:$F$76,AM$4)</f>
        <v>-14000</v>
      </c>
      <c r="AN54" s="21" t="n">
        <f aca="false">-INDEX(Premissas!$B$76:$F$76,AN$4)</f>
        <v>-14000</v>
      </c>
      <c r="AO54" s="21" t="n">
        <f aca="false">-INDEX(Premissas!$B$76:$F$76,AO$4)</f>
        <v>-14000</v>
      </c>
      <c r="AP54" s="21" t="n">
        <f aca="false">-INDEX(Premissas!$B$76:$F$76,AP$4)</f>
        <v>-14000</v>
      </c>
      <c r="AQ54" s="21" t="n">
        <f aca="false">-INDEX(Premissas!$B$76:$F$76,AQ$4)</f>
        <v>-14000</v>
      </c>
      <c r="AR54" s="21" t="n">
        <f aca="false">-INDEX(Premissas!$B$76:$F$76,AR$4)</f>
        <v>-14000</v>
      </c>
      <c r="AS54" s="21" t="n">
        <f aca="false">-INDEX(Premissas!$B$76:$F$76,AS$4)</f>
        <v>-14000</v>
      </c>
      <c r="AT54" s="21" t="n">
        <f aca="false">-INDEX(Premissas!$B$76:$F$76,AT$4)</f>
        <v>-14000</v>
      </c>
      <c r="AU54" s="21" t="n">
        <f aca="false">-INDEX(Premissas!$B$76:$F$76,AU$4)</f>
        <v>-14000</v>
      </c>
      <c r="AV54" s="21" t="n">
        <f aca="false">-INDEX(Premissas!$B$76:$F$76,AV$4)</f>
        <v>-14000</v>
      </c>
      <c r="AW54" s="21" t="n">
        <f aca="false">-INDEX(Premissas!$B$76:$F$76,AW$4)</f>
        <v>-14000</v>
      </c>
      <c r="AX54" s="21" t="n">
        <f aca="false">-INDEX(Premissas!$B$76:$F$76,AX$4)</f>
        <v>-14000</v>
      </c>
      <c r="AY54" s="21" t="n">
        <f aca="false">-INDEX(Premissas!$B$76:$F$76,AY$4)</f>
        <v>-20000</v>
      </c>
      <c r="AZ54" s="21" t="n">
        <f aca="false">-INDEX(Premissas!$B$76:$F$76,AZ$4)</f>
        <v>-20000</v>
      </c>
      <c r="BA54" s="21" t="n">
        <f aca="false">-INDEX(Premissas!$B$76:$F$76,BA$4)</f>
        <v>-20000</v>
      </c>
      <c r="BB54" s="21" t="n">
        <f aca="false">-INDEX(Premissas!$B$76:$F$76,BB$4)</f>
        <v>-20000</v>
      </c>
      <c r="BC54" s="21" t="n">
        <f aca="false">-INDEX(Premissas!$B$76:$F$76,BC$4)</f>
        <v>-20000</v>
      </c>
      <c r="BD54" s="21" t="n">
        <f aca="false">-INDEX(Premissas!$B$76:$F$76,BD$4)</f>
        <v>-20000</v>
      </c>
      <c r="BE54" s="21" t="n">
        <f aca="false">-INDEX(Premissas!$B$76:$F$76,BE$4)</f>
        <v>-20000</v>
      </c>
      <c r="BF54" s="21" t="n">
        <f aca="false">-INDEX(Premissas!$B$76:$F$76,BF$4)</f>
        <v>-20000</v>
      </c>
      <c r="BG54" s="21" t="n">
        <f aca="false">-INDEX(Premissas!$B$76:$F$76,BG$4)</f>
        <v>-20000</v>
      </c>
      <c r="BH54" s="21" t="n">
        <f aca="false">-INDEX(Premissas!$B$76:$F$76,BH$4)</f>
        <v>-20000</v>
      </c>
      <c r="BI54" s="21" t="n">
        <f aca="false">-INDEX(Premissas!$B$76:$F$76,BI$4)</f>
        <v>-20000</v>
      </c>
      <c r="BJ54" s="21" t="n">
        <f aca="false">-INDEX(Premissas!$B$76:$F$76,BJ$4)</f>
        <v>-20000</v>
      </c>
    </row>
    <row r="55" customFormat="false" ht="15" hidden="false" customHeight="false" outlineLevel="0" collapsed="false">
      <c r="A55" s="18" t="s">
        <v>255</v>
      </c>
      <c r="C55" s="30" t="n">
        <f aca="false">SUM(C47:C54)</f>
        <v>-196250.11042735</v>
      </c>
      <c r="D55" s="30" t="n">
        <f aca="false">SUM(D47:D54)</f>
        <v>-196255.011200342</v>
      </c>
      <c r="E55" s="30" t="n">
        <f aca="false">SUM(E47:E54)</f>
        <v>-196259.707366061</v>
      </c>
      <c r="F55" s="30" t="n">
        <f aca="false">SUM(F47:F54)</f>
        <v>-196264.208346856</v>
      </c>
      <c r="G55" s="30" t="n">
        <f aca="false">SUM(G47:G54)</f>
        <v>-196268.523088016</v>
      </c>
      <c r="H55" s="30" t="n">
        <f aca="false">SUM(H47:H54)</f>
        <v>-196272.660083858</v>
      </c>
      <c r="I55" s="30" t="n">
        <f aca="false">SUM(I47:I54)</f>
        <v>-196276.62740231</v>
      </c>
      <c r="J55" s="30" t="n">
        <f aca="false">SUM(J47:J54)</f>
        <v>-196280.432708078</v>
      </c>
      <c r="K55" s="30" t="n">
        <f aca="false">SUM(K47:K54)</f>
        <v>-196284.08328448</v>
      </c>
      <c r="L55" s="30" t="n">
        <f aca="false">SUM(L47:L54)</f>
        <v>-196287.58605403</v>
      </c>
      <c r="M55" s="30" t="n">
        <f aca="false">SUM(M47:M54)</f>
        <v>-196290.947597841</v>
      </c>
      <c r="N55" s="30" t="n">
        <f aca="false">SUM(N47:N54)</f>
        <v>-196294.174173921</v>
      </c>
      <c r="O55" s="30" t="n">
        <f aca="false">SUM(O47:O54)</f>
        <v>-465130.263180005</v>
      </c>
      <c r="P55" s="30" t="n">
        <f aca="false">SUM(P47:P54)</f>
        <v>-465145.53524937</v>
      </c>
      <c r="Q55" s="30" t="n">
        <f aca="false">SUM(Q47:Q54)</f>
        <v>-465160.264043698</v>
      </c>
      <c r="R55" s="30" t="n">
        <f aca="false">SUM(R47:R54)</f>
        <v>-465174.471110653</v>
      </c>
      <c r="S55" s="30" t="n">
        <f aca="false">SUM(S47:S54)</f>
        <v>-465188.177041688</v>
      </c>
      <c r="T55" s="30" t="n">
        <f aca="false">SUM(T47:T54)</f>
        <v>-465201.401518735</v>
      </c>
      <c r="U55" s="30" t="n">
        <f aca="false">SUM(U47:U54)</f>
        <v>-465214.163358437</v>
      </c>
      <c r="V55" s="30" t="n">
        <f aca="false">SUM(V47:V54)</f>
        <v>-465226.480554093</v>
      </c>
      <c r="W55" s="30" t="n">
        <f aca="false">SUM(W47:W54)</f>
        <v>-465238.370315405</v>
      </c>
      <c r="X55" s="30" t="n">
        <f aca="false">SUM(X47:X54)</f>
        <v>-465249.849106171</v>
      </c>
      <c r="Y55" s="30" t="n">
        <f aca="false">SUM(Y47:Y54)</f>
        <v>-465260.932680027</v>
      </c>
      <c r="Z55" s="30" t="n">
        <f aca="false">SUM(Z47:Z54)</f>
        <v>-465271.63611434</v>
      </c>
      <c r="AA55" s="30" t="n">
        <f aca="false">SUM(AA47:AA54)</f>
        <v>-814227.132508129</v>
      </c>
      <c r="AB55" s="30" t="n">
        <f aca="false">SUM(AB47:AB54)</f>
        <v>-814265.364600231</v>
      </c>
      <c r="AC55" s="30" t="n">
        <f aca="false">SUM(AC47:AC54)</f>
        <v>-814302.440396522</v>
      </c>
      <c r="AD55" s="30" t="n">
        <f aca="false">SUM(AD47:AD54)</f>
        <v>-814338.399256326</v>
      </c>
      <c r="AE55" s="30" t="n">
        <f aca="false">SUM(AE47:AE54)</f>
        <v>-814373.279013399</v>
      </c>
      <c r="AF55" s="30" t="n">
        <f aca="false">SUM(AF47:AF54)</f>
        <v>-814407.116042284</v>
      </c>
      <c r="AG55" s="30" t="n">
        <f aca="false">SUM(AG47:AG54)</f>
        <v>-814439.945321538</v>
      </c>
      <c r="AH55" s="30" t="n">
        <f aca="false">SUM(AH47:AH54)</f>
        <v>-814471.800493968</v>
      </c>
      <c r="AI55" s="30" t="n">
        <f aca="false">SUM(AI47:AI54)</f>
        <v>-814502.713924035</v>
      </c>
      <c r="AJ55" s="30" t="n">
        <f aca="false">SUM(AJ47:AJ54)</f>
        <v>-814532.716752565</v>
      </c>
      <c r="AK55" s="30" t="n">
        <f aca="false">SUM(AK47:AK54)</f>
        <v>-814561.838948896</v>
      </c>
      <c r="AL55" s="30" t="n">
        <f aca="false">SUM(AL47:AL54)</f>
        <v>-814590.109360596</v>
      </c>
      <c r="AM55" s="30" t="n">
        <f aca="false">SUM(AM47:AM54)</f>
        <v>-1210689.00085179</v>
      </c>
      <c r="AN55" s="30" t="n">
        <f aca="false">SUM(AN47:AN54)</f>
        <v>-1210752.87926644</v>
      </c>
      <c r="AO55" s="30" t="n">
        <f aca="false">SUM(AO47:AO54)</f>
        <v>-1210815.06068277</v>
      </c>
      <c r="AP55" s="30" t="n">
        <f aca="false">SUM(AP47:AP54)</f>
        <v>-1210875.59604584</v>
      </c>
      <c r="AQ55" s="30" t="n">
        <f aca="false">SUM(AQ47:AQ54)</f>
        <v>-1210934.5345417</v>
      </c>
      <c r="AR55" s="30" t="n">
        <f aca="false">SUM(AR47:AR54)</f>
        <v>-1210991.92366641</v>
      </c>
      <c r="AS55" s="30" t="n">
        <f aca="false">SUM(AS47:AS54)</f>
        <v>-1211047.80929209</v>
      </c>
      <c r="AT55" s="30" t="n">
        <f aca="false">SUM(AT47:AT54)</f>
        <v>-1211102.23573006</v>
      </c>
      <c r="AU55" s="30" t="n">
        <f aca="false">SUM(AU47:AU54)</f>
        <v>-1211155.24579136</v>
      </c>
      <c r="AV55" s="30" t="n">
        <f aca="false">SUM(AV47:AV54)</f>
        <v>-1211206.88084466</v>
      </c>
      <c r="AW55" s="30" t="n">
        <f aca="false">SUM(AW47:AW54)</f>
        <v>-1211257.18087164</v>
      </c>
      <c r="AX55" s="30" t="n">
        <f aca="false">SUM(AX47:AX54)</f>
        <v>-1211306.18452012</v>
      </c>
      <c r="AY55" s="30" t="n">
        <f aca="false">SUM(AY47:AY54)</f>
        <v>-1567356.54432916</v>
      </c>
      <c r="AZ55" s="30" t="n">
        <f aca="false">SUM(AZ47:AZ54)</f>
        <v>-1567446.99271573</v>
      </c>
      <c r="BA55" s="30" t="n">
        <f aca="false">SUM(BA47:BA54)</f>
        <v>-1567535.38137043</v>
      </c>
      <c r="BB55" s="30" t="n">
        <f aca="false">SUM(BB47:BB54)</f>
        <v>-1567621.76318678</v>
      </c>
      <c r="BC55" s="30" t="n">
        <f aca="false">SUM(BC47:BC54)</f>
        <v>-1567706.18948079</v>
      </c>
      <c r="BD55" s="30" t="n">
        <f aca="false">SUM(BD47:BD54)</f>
        <v>-1567788.71004551</v>
      </c>
      <c r="BE55" s="30" t="n">
        <f aca="false">SUM(BE47:BE54)</f>
        <v>-1567869.37320336</v>
      </c>
      <c r="BF55" s="30" t="n">
        <f aca="false">SUM(BF47:BF54)</f>
        <v>-1567948.22585655</v>
      </c>
      <c r="BG55" s="30" t="n">
        <f aca="false">SUM(BG47:BG54)</f>
        <v>-1568025.31353545</v>
      </c>
      <c r="BH55" s="30" t="n">
        <f aca="false">SUM(BH47:BH54)</f>
        <v>-1568100.68044522</v>
      </c>
      <c r="BI55" s="30" t="n">
        <f aca="false">SUM(BI47:BI54)</f>
        <v>-1568174.36951056</v>
      </c>
      <c r="BJ55" s="30" t="n">
        <f aca="false">SUM(BJ47:BJ54)</f>
        <v>-1568246.42241881</v>
      </c>
    </row>
    <row r="56" customFormat="false" ht="15" hidden="false" customHeight="false" outlineLevel="0" collapsed="false">
      <c r="A56" s="18" t="s">
        <v>135</v>
      </c>
      <c r="C56" s="30" t="n">
        <f aca="false">C44+C55</f>
        <v>-187942.525406145</v>
      </c>
      <c r="D56" s="30" t="n">
        <f aca="false">D44+D55</f>
        <v>-183132.747720057</v>
      </c>
      <c r="E56" s="30" t="n">
        <f aca="false">E44+E55</f>
        <v>-178495.747818463</v>
      </c>
      <c r="F56" s="30" t="n">
        <f aca="false">F44+F55</f>
        <v>-174024.900047191</v>
      </c>
      <c r="G56" s="30" t="n">
        <f aca="false">G44+G55</f>
        <v>-169713.856020859</v>
      </c>
      <c r="H56" s="30" t="n">
        <f aca="false">H44+H55</f>
        <v>-165556.53180003</v>
      </c>
      <c r="I56" s="30" t="n">
        <f aca="false">I44+I55</f>
        <v>-161547.095720802</v>
      </c>
      <c r="J56" s="30" t="n">
        <f aca="false">J44+J55</f>
        <v>-157679.956841008</v>
      </c>
      <c r="K56" s="30" t="n">
        <f aca="false">K44+K55</f>
        <v>-153949.753969241</v>
      </c>
      <c r="L56" s="30" t="n">
        <f aca="false">L44+L55</f>
        <v>-150351.345244915</v>
      </c>
      <c r="M56" s="30" t="n">
        <f aca="false">M44+M55</f>
        <v>-146879.798239378</v>
      </c>
      <c r="N56" s="30" t="n">
        <f aca="false">N44+N55</f>
        <v>-143530.380549829</v>
      </c>
      <c r="O56" s="30" t="n">
        <f aca="false">O44+O55</f>
        <v>-385891.700055955</v>
      </c>
      <c r="P56" s="30" t="n">
        <f aca="false">P44+P55</f>
        <v>-370354.530928742</v>
      </c>
      <c r="Q56" s="30" t="n">
        <f aca="false">Q44+Q55</f>
        <v>-355279.111344386</v>
      </c>
      <c r="R56" s="30" t="n">
        <f aca="false">R44+R55</f>
        <v>-340650.800040063</v>
      </c>
      <c r="S56" s="30" t="n">
        <f aca="false">S44+S55</f>
        <v>-326455.464959597</v>
      </c>
      <c r="T56" s="30" t="n">
        <f aca="false">T44+T55</f>
        <v>-312679.463375038</v>
      </c>
      <c r="U56" s="30" t="n">
        <f aca="false">U44+U55</f>
        <v>-299309.622882872</v>
      </c>
      <c r="V56" s="30" t="n">
        <f aca="false">V44+V55</f>
        <v>-286333.223232273</v>
      </c>
      <c r="W56" s="30" t="n">
        <f aca="false">W44+W55</f>
        <v>-273737.978945074</v>
      </c>
      <c r="X56" s="30" t="n">
        <f aca="false">X44+X55</f>
        <v>-261512.022689192</v>
      </c>
      <c r="Y56" s="30" t="n">
        <f aca="false">Y44+Y55</f>
        <v>-249643.889369268</v>
      </c>
      <c r="Z56" s="30" t="n">
        <f aca="false">Z44+Z55</f>
        <v>-238122.500900152</v>
      </c>
      <c r="AA56" s="30" t="n">
        <f aca="false">AA44+AA55</f>
        <v>-517731.180843772</v>
      </c>
      <c r="AB56" s="30" t="n">
        <f aca="false">AB44+AB55</f>
        <v>-477474.629936691</v>
      </c>
      <c r="AC56" s="30" t="n">
        <f aca="false">AC44+AC55</f>
        <v>-438208.537269395</v>
      </c>
      <c r="AD56" s="30" t="n">
        <f aca="false">AD44+AD55</f>
        <v>-399907.099391196</v>
      </c>
      <c r="AE56" s="30" t="n">
        <f aca="false">AE44+AE55</f>
        <v>-362545.247982009</v>
      </c>
      <c r="AF56" s="30" t="n">
        <f aca="false">AF44+AF55</f>
        <v>-326098.626110689</v>
      </c>
      <c r="AG56" s="30" t="n">
        <f aca="false">AG44+AG55</f>
        <v>-290543.565379726</v>
      </c>
      <c r="AH56" s="30" t="n">
        <f aca="false">AH44+AH55</f>
        <v>-255857.063918543</v>
      </c>
      <c r="AI56" s="30" t="n">
        <f aca="false">AI44+AI55</f>
        <v>-222016.765189406</v>
      </c>
      <c r="AJ56" s="30" t="n">
        <f aca="false">AJ44+AJ55</f>
        <v>-189000.937571625</v>
      </c>
      <c r="AK56" s="30" t="n">
        <f aca="false">AK44+AK55</f>
        <v>-156788.454691354</v>
      </c>
      <c r="AL56" s="30" t="n">
        <f aca="false">AL44+AL55</f>
        <v>-125358.776465777</v>
      </c>
      <c r="AM56" s="30" t="n">
        <f aca="false">AM44+AM55</f>
        <v>-472461.163973741</v>
      </c>
      <c r="AN56" s="30" t="n">
        <f aca="false">AN44+AN55</f>
        <v>-409199.541955193</v>
      </c>
      <c r="AO56" s="30" t="n">
        <f aca="false">AO44+AO55</f>
        <v>-347302.501916576</v>
      </c>
      <c r="AP56" s="30" t="n">
        <f aca="false">AP44+AP55</f>
        <v>-286739.095882016</v>
      </c>
      <c r="AQ56" s="30" t="n">
        <f aca="false">AQ44+AQ55</f>
        <v>-227479.138597471</v>
      </c>
      <c r="AR56" s="30" t="n">
        <f aca="false">AR44+AR55</f>
        <v>-169493.186224478</v>
      </c>
      <c r="AS56" s="30" t="n">
        <f aca="false">AS44+AS55</f>
        <v>-112752.515729407</v>
      </c>
      <c r="AT56" s="30" t="n">
        <f aca="false">AT44+AT55</f>
        <v>-57229.1049418477</v>
      </c>
      <c r="AU56" s="30" t="n">
        <f aca="false">AU44+AU55</f>
        <v>-2895.61325686681</v>
      </c>
      <c r="AV56" s="30" t="n">
        <f aca="false">AV44+AV55</f>
        <v>50274.6370430649</v>
      </c>
      <c r="AW56" s="30" t="n">
        <f aca="false">AW44+AW55</f>
        <v>102307.678869632</v>
      </c>
      <c r="AX56" s="30" t="n">
        <f aca="false">AX44+AX55</f>
        <v>153228.917835925</v>
      </c>
      <c r="AY56" s="30" t="n">
        <f aca="false">AY44+AY55</f>
        <v>-54676.9853803045</v>
      </c>
      <c r="AZ56" s="30" t="n">
        <f aca="false">AZ44+AZ55</f>
        <v>37635.7693055363</v>
      </c>
      <c r="BA56" s="30" t="n">
        <f aca="false">BA44+BA55</f>
        <v>128222.319106322</v>
      </c>
      <c r="BB56" s="30" t="n">
        <f aca="false">BB44+BB55</f>
        <v>217116.143826424</v>
      </c>
      <c r="BC56" s="30" t="n">
        <f aca="false">BC44+BC55</f>
        <v>304350.029875779</v>
      </c>
      <c r="BD56" s="30" t="n">
        <f aca="false">BD44+BD55</f>
        <v>389956.086322316</v>
      </c>
      <c r="BE56" s="30" t="n">
        <f aca="false">BE44+BE55</f>
        <v>473965.760508398</v>
      </c>
      <c r="BF56" s="30" t="n">
        <f aca="false">BF44+BF55</f>
        <v>556409.853245367</v>
      </c>
      <c r="BG56" s="30" t="n">
        <f aca="false">BG44+BG55</f>
        <v>637318.533599808</v>
      </c>
      <c r="BH56" s="30" t="n">
        <f aca="false">BH44+BH55</f>
        <v>716721.353284608</v>
      </c>
      <c r="BI56" s="30" t="n">
        <f aca="false">BI44+BI55</f>
        <v>794647.26066742</v>
      </c>
      <c r="BJ56" s="30" t="n">
        <f aca="false">BJ44+BJ55</f>
        <v>871124.614408662</v>
      </c>
    </row>
    <row r="57" customFormat="false" ht="15" hidden="false" customHeight="false" outlineLevel="0" collapsed="false">
      <c r="A57" s="5" t="s">
        <v>256</v>
      </c>
      <c r="C57" s="15" t="n">
        <f aca="false">IFERROR(C56/C37,0)</f>
        <v>-19.510564752947</v>
      </c>
      <c r="D57" s="15" t="n">
        <f aca="false">IFERROR(D56/D37,0)</f>
        <v>-11.7409091044484</v>
      </c>
      <c r="E57" s="15" t="n">
        <f aca="false">IFERROR(E56/E37,0)</f>
        <v>-8.35973587537804</v>
      </c>
      <c r="F57" s="15" t="n">
        <f aca="false">IFERROR(F56/F37,0)</f>
        <v>-6.46864506597348</v>
      </c>
      <c r="G57" s="15" t="n">
        <f aca="false">IFERROR(G56/G37,0)</f>
        <v>-5.26106667607456</v>
      </c>
      <c r="H57" s="15" t="n">
        <f aca="false">IFERROR(H56/H37,0)</f>
        <v>-4.42357035114845</v>
      </c>
      <c r="I57" s="15" t="n">
        <f aca="false">IFERROR(I56/I37,0)</f>
        <v>-3.80895045759897</v>
      </c>
      <c r="J57" s="15" t="n">
        <f aca="false">IFERROR(J56/J37,0)</f>
        <v>-3.33893129285041</v>
      </c>
      <c r="K57" s="15" t="n">
        <f aca="false">IFERROR(K56/K37,0)</f>
        <v>-2.96804908534106</v>
      </c>
      <c r="L57" s="15" t="n">
        <f aca="false">IFERROR(L56/L37,0)</f>
        <v>-2.6680899937611</v>
      </c>
      <c r="M57" s="15" t="n">
        <f aca="false">IFERROR(M56/M37,0)</f>
        <v>-2.42061763891689</v>
      </c>
      <c r="N57" s="15" t="n">
        <f aca="false">IFERROR(N56/N37,0)</f>
        <v>-2.21307531681541</v>
      </c>
      <c r="O57" s="15" t="n">
        <f aca="false">IFERROR(O56/O37,0)</f>
        <v>-4.01458486658673</v>
      </c>
      <c r="P57" s="15" t="n">
        <f aca="false">IFERROR(P56/P37,0)</f>
        <v>-3.19484777138288</v>
      </c>
      <c r="Q57" s="15" t="n">
        <f aca="false">IFERROR(Q56/Q37,0)</f>
        <v>-2.62884554181477</v>
      </c>
      <c r="R57" s="15" t="n">
        <f aca="false">IFERROR(R56/R37,0)</f>
        <v>-2.21471819002055</v>
      </c>
      <c r="S57" s="15" t="n">
        <f aca="false">IFERROR(S56/S37,0)</f>
        <v>-1.89869138362108</v>
      </c>
      <c r="T57" s="15" t="n">
        <f aca="false">IFERROR(T56/T37,0)</f>
        <v>-1.6496966362469</v>
      </c>
      <c r="U57" s="15" t="n">
        <f aca="false">IFERROR(U56/U37,0)</f>
        <v>-1.44853134281288</v>
      </c>
      <c r="V57" s="15" t="n">
        <f aca="false">IFERROR(V56/V37,0)</f>
        <v>-1.28268765418849</v>
      </c>
      <c r="W57" s="15" t="n">
        <f aca="false">IFERROR(W56/W37,0)</f>
        <v>-1.14366882306378</v>
      </c>
      <c r="X57" s="15" t="n">
        <f aca="false">IFERROR(X56/X37,0)</f>
        <v>-1.02550065657037</v>
      </c>
      <c r="Y57" s="15" t="n">
        <f aca="false">IFERROR(Y56/Y37,0)</f>
        <v>-0.923860059661046</v>
      </c>
      <c r="Z57" s="15" t="n">
        <f aca="false">IFERROR(Z56/Z37,0)</f>
        <v>-0.835541500599534</v>
      </c>
      <c r="AA57" s="15" t="n">
        <f aca="false">IFERROR(AA56/AA37,0)</f>
        <v>-1.40796296856743</v>
      </c>
      <c r="AB57" s="15" t="n">
        <f aca="false">IFERROR(AB56/AB37,0)</f>
        <v>-1.13692327961156</v>
      </c>
      <c r="AC57" s="15" t="n">
        <f aca="false">IFERROR(AC56/AC37,0)</f>
        <v>-0.930440406322621</v>
      </c>
      <c r="AD57" s="15" t="n">
        <f aca="false">IFERROR(AD56/AD37,0)</f>
        <v>-0.76795556872902</v>
      </c>
      <c r="AE57" s="15" t="n">
        <f aca="false">IFERROR(AE56/AE37,0)</f>
        <v>-0.636801370889313</v>
      </c>
      <c r="AF57" s="15" t="n">
        <f aca="false">IFERROR(AF56/AF37,0)</f>
        <v>-0.528746997692338</v>
      </c>
      <c r="AG57" s="15" t="n">
        <f aca="false">IFERROR(AG56/AG37,0)</f>
        <v>-0.438212279205656</v>
      </c>
      <c r="AH57" s="15" t="n">
        <f aca="false">IFERROR(AH56/AH37,0)</f>
        <v>-0.361280183034883</v>
      </c>
      <c r="AI57" s="15" t="n">
        <f aca="false">IFERROR(AI56/AI37,0)</f>
        <v>-0.295120172187267</v>
      </c>
      <c r="AJ57" s="15" t="n">
        <f aca="false">IFERROR(AJ56/AJ37,0)</f>
        <v>-0.237635924377329</v>
      </c>
      <c r="AK57" s="15" t="n">
        <f aca="false">IFERROR(AK56/AK37,0)</f>
        <v>-0.187241770568445</v>
      </c>
      <c r="AL57" s="15" t="n">
        <f aca="false">IFERROR(AL56/AL37,0)</f>
        <v>-0.142716131243549</v>
      </c>
      <c r="AM57" s="15" t="n">
        <f aca="false">IFERROR(AM56/AM37,0)</f>
        <v>-0.497267552471328</v>
      </c>
      <c r="AN57" s="15" t="n">
        <f aca="false">IFERROR(AN56/AN37,0)</f>
        <v>-0.395683148214448</v>
      </c>
      <c r="AO57" s="15" t="n">
        <f aca="false">IFERROR(AO56/AO37,0)</f>
        <v>-0.311081400504224</v>
      </c>
      <c r="AP57" s="15" t="n">
        <f aca="false">IFERROR(AP56/AP37,0)</f>
        <v>-0.239551588959291</v>
      </c>
      <c r="AQ57" s="15" t="n">
        <f aca="false">IFERROR(AQ56/AQ37,0)</f>
        <v>-0.178297946751173</v>
      </c>
      <c r="AR57" s="15" t="n">
        <f aca="false">IFERROR(AR56/AR37,0)</f>
        <v>-0.125268755660681</v>
      </c>
      <c r="AS57" s="15" t="n">
        <f aca="false">IFERROR(AS56/AS37,0)</f>
        <v>-0.0789242685363413</v>
      </c>
      <c r="AT57" s="15" t="n">
        <f aca="false">IFERROR(AT56/AT37,0)</f>
        <v>-0.0380863962715031</v>
      </c>
      <c r="AU57" s="15" t="n">
        <f aca="false">IFERROR(AU56/AU37,0)</f>
        <v>-0.00183841523122532</v>
      </c>
      <c r="AV57" s="15" t="n">
        <f aca="false">IFERROR(AV56/AV37,0)</f>
        <v>0.0305437042211665</v>
      </c>
      <c r="AW57" s="15" t="n">
        <f aca="false">IFERROR(AW56/AW37,0)</f>
        <v>0.0596393988011491</v>
      </c>
      <c r="AX57" s="15" t="n">
        <f aca="false">IFERROR(AX56/AX37,0)</f>
        <v>0.0859178899389084</v>
      </c>
      <c r="AY57" s="15" t="n">
        <f aca="false">IFERROR(AY56/AY37,0)</f>
        <v>-0.0278162099006408</v>
      </c>
      <c r="AZ57" s="15" t="n">
        <f aca="false">IFERROR(AZ56/AZ37,0)</f>
        <v>0.0180141653082834</v>
      </c>
      <c r="BA57" s="15" t="n">
        <f aca="false">IFERROR(BA56/BA37,0)</f>
        <v>0.0580046360688085</v>
      </c>
      <c r="BB57" s="15" t="n">
        <f aca="false">IFERROR(BB56/BB37,0)</f>
        <v>0.0931966047441098</v>
      </c>
      <c r="BC57" s="15" t="n">
        <f aca="false">IFERROR(BC56/BC37,0)</f>
        <v>0.124397834658603</v>
      </c>
      <c r="BD57" s="15" t="n">
        <f aca="false">IFERROR(BD56/BD37,0)</f>
        <v>0.15224449034263</v>
      </c>
      <c r="BE57" s="15" t="n">
        <f aca="false">IFERROR(BE56/BE37,0)</f>
        <v>0.177244405841729</v>
      </c>
      <c r="BF57" s="15" t="n">
        <f aca="false">IFERROR(BF56/BF37,0)</f>
        <v>0.199807889565703</v>
      </c>
      <c r="BG57" s="15" t="n">
        <f aca="false">IFERROR(BG56/BG37,0)</f>
        <v>0.220270062263991</v>
      </c>
      <c r="BH57" s="15" t="n">
        <f aca="false">IFERROR(BH56/BH37,0)</f>
        <v>0.238907324226178</v>
      </c>
      <c r="BI57" s="15" t="n">
        <f aca="false">IFERROR(BI56/BI37,0)</f>
        <v>0.255949676255282</v>
      </c>
      <c r="BJ57" s="15" t="n">
        <f aca="false">IFERROR(BJ56/BJ37,0)</f>
        <v>0.27159006332081</v>
      </c>
    </row>
    <row r="58" customFormat="false" ht="15" hidden="false" customHeight="false" outlineLevel="0" collapsed="false">
      <c r="A58" s="3" t="s">
        <v>257</v>
      </c>
      <c r="B58" s="4"/>
    </row>
    <row r="59" customFormat="false" ht="15" hidden="false" customHeight="false" outlineLevel="0" collapsed="false">
      <c r="A59" s="5" t="s">
        <v>258</v>
      </c>
      <c r="C59" s="21" t="n">
        <f aca="false">IF(C$3=1,Premissas!$B$14,0)+IF(C$3=INDEX(Premissas!$B$53:$D$53,$B$2),INDEX(Premissas!$B$52:$D$52,$B$2),0)</f>
        <v>3300000</v>
      </c>
      <c r="D59" s="21" t="n">
        <f aca="false">IF(D$3=1,Premissas!$B$14,0)+IF(D$3=INDEX(Premissas!$B$53:$D$53,$B$2),INDEX(Premissas!$B$52:$D$52,$B$2),0)</f>
        <v>0</v>
      </c>
      <c r="E59" s="21" t="n">
        <f aca="false">IF(E$3=1,Premissas!$B$14,0)+IF(E$3=INDEX(Premissas!$B$53:$D$53,$B$2),INDEX(Premissas!$B$52:$D$52,$B$2),0)</f>
        <v>0</v>
      </c>
      <c r="F59" s="21" t="n">
        <f aca="false">IF(F$3=1,Premissas!$B$14,0)+IF(F$3=INDEX(Premissas!$B$53:$D$53,$B$2),INDEX(Premissas!$B$52:$D$52,$B$2),0)</f>
        <v>0</v>
      </c>
      <c r="G59" s="21" t="n">
        <f aca="false">IF(G$3=1,Premissas!$B$14,0)+IF(G$3=INDEX(Premissas!$B$53:$D$53,$B$2),INDEX(Premissas!$B$52:$D$52,$B$2),0)</f>
        <v>0</v>
      </c>
      <c r="H59" s="21" t="n">
        <f aca="false">IF(H$3=1,Premissas!$B$14,0)+IF(H$3=INDEX(Premissas!$B$53:$D$53,$B$2),INDEX(Premissas!$B$52:$D$52,$B$2),0)</f>
        <v>0</v>
      </c>
      <c r="I59" s="21" t="n">
        <f aca="false">IF(I$3=1,Premissas!$B$14,0)+IF(I$3=INDEX(Premissas!$B$53:$D$53,$B$2),INDEX(Premissas!$B$52:$D$52,$B$2),0)</f>
        <v>0</v>
      </c>
      <c r="J59" s="21" t="n">
        <f aca="false">IF(J$3=1,Premissas!$B$14,0)+IF(J$3=INDEX(Premissas!$B$53:$D$53,$B$2),INDEX(Premissas!$B$52:$D$52,$B$2),0)</f>
        <v>0</v>
      </c>
      <c r="K59" s="21" t="n">
        <f aca="false">IF(K$3=1,Premissas!$B$14,0)+IF(K$3=INDEX(Premissas!$B$53:$D$53,$B$2),INDEX(Premissas!$B$52:$D$52,$B$2),0)</f>
        <v>0</v>
      </c>
      <c r="L59" s="21" t="n">
        <f aca="false">IF(L$3=1,Premissas!$B$14,0)+IF(L$3=INDEX(Premissas!$B$53:$D$53,$B$2),INDEX(Premissas!$B$52:$D$52,$B$2),0)</f>
        <v>0</v>
      </c>
      <c r="M59" s="21" t="n">
        <f aca="false">IF(M$3=1,Premissas!$B$14,0)+IF(M$3=INDEX(Premissas!$B$53:$D$53,$B$2),INDEX(Premissas!$B$52:$D$52,$B$2),0)</f>
        <v>0</v>
      </c>
      <c r="N59" s="21" t="n">
        <f aca="false">IF(N$3=1,Premissas!$B$14,0)+IF(N$3=INDEX(Premissas!$B$53:$D$53,$B$2),INDEX(Premissas!$B$52:$D$52,$B$2),0)</f>
        <v>0</v>
      </c>
      <c r="O59" s="21" t="n">
        <f aca="false">IF(O$3=1,Premissas!$B$14,0)+IF(O$3=INDEX(Premissas!$B$53:$D$53,$B$2),INDEX(Premissas!$B$52:$D$52,$B$2),0)</f>
        <v>0</v>
      </c>
      <c r="P59" s="21" t="n">
        <f aca="false">IF(P$3=1,Premissas!$B$14,0)+IF(P$3=INDEX(Premissas!$B$53:$D$53,$B$2),INDEX(Premissas!$B$52:$D$52,$B$2),0)</f>
        <v>0</v>
      </c>
      <c r="Q59" s="21" t="n">
        <f aca="false">IF(Q$3=1,Premissas!$B$14,0)+IF(Q$3=INDEX(Premissas!$B$53:$D$53,$B$2),INDEX(Premissas!$B$52:$D$52,$B$2),0)</f>
        <v>0</v>
      </c>
      <c r="R59" s="21" t="n">
        <f aca="false">IF(R$3=1,Premissas!$B$14,0)+IF(R$3=INDEX(Premissas!$B$53:$D$53,$B$2),INDEX(Premissas!$B$52:$D$52,$B$2),0)</f>
        <v>0</v>
      </c>
      <c r="S59" s="21" t="n">
        <f aca="false">IF(S$3=1,Premissas!$B$14,0)+IF(S$3=INDEX(Premissas!$B$53:$D$53,$B$2),INDEX(Premissas!$B$52:$D$52,$B$2),0)</f>
        <v>0</v>
      </c>
      <c r="T59" s="21" t="n">
        <f aca="false">IF(T$3=1,Premissas!$B$14,0)+IF(T$3=INDEX(Premissas!$B$53:$D$53,$B$2),INDEX(Premissas!$B$52:$D$52,$B$2),0)</f>
        <v>0</v>
      </c>
      <c r="U59" s="21" t="n">
        <f aca="false">IF(U$3=1,Premissas!$B$14,0)+IF(U$3=INDEX(Premissas!$B$53:$D$53,$B$2),INDEX(Premissas!$B$52:$D$52,$B$2),0)</f>
        <v>0</v>
      </c>
      <c r="V59" s="21" t="n">
        <f aca="false">IF(V$3=1,Premissas!$B$14,0)+IF(V$3=INDEX(Premissas!$B$53:$D$53,$B$2),INDEX(Premissas!$B$52:$D$52,$B$2),0)</f>
        <v>5000000</v>
      </c>
      <c r="W59" s="21" t="n">
        <f aca="false">IF(W$3=1,Premissas!$B$14,0)+IF(W$3=INDEX(Premissas!$B$53:$D$53,$B$2),INDEX(Premissas!$B$52:$D$52,$B$2),0)</f>
        <v>0</v>
      </c>
      <c r="X59" s="21" t="n">
        <f aca="false">IF(X$3=1,Premissas!$B$14,0)+IF(X$3=INDEX(Premissas!$B$53:$D$53,$B$2),INDEX(Premissas!$B$52:$D$52,$B$2),0)</f>
        <v>0</v>
      </c>
      <c r="Y59" s="21" t="n">
        <f aca="false">IF(Y$3=1,Premissas!$B$14,0)+IF(Y$3=INDEX(Premissas!$B$53:$D$53,$B$2),INDEX(Premissas!$B$52:$D$52,$B$2),0)</f>
        <v>0</v>
      </c>
      <c r="Z59" s="21" t="n">
        <f aca="false">IF(Z$3=1,Premissas!$B$14,0)+IF(Z$3=INDEX(Premissas!$B$53:$D$53,$B$2),INDEX(Premissas!$B$52:$D$52,$B$2),0)</f>
        <v>0</v>
      </c>
      <c r="AA59" s="21" t="n">
        <f aca="false">IF(AA$3=1,Premissas!$B$14,0)+IF(AA$3=INDEX(Premissas!$B$53:$D$53,$B$2),INDEX(Premissas!$B$52:$D$52,$B$2),0)</f>
        <v>0</v>
      </c>
      <c r="AB59" s="21" t="n">
        <f aca="false">IF(AB$3=1,Premissas!$B$14,0)+IF(AB$3=INDEX(Premissas!$B$53:$D$53,$B$2),INDEX(Premissas!$B$52:$D$52,$B$2),0)</f>
        <v>0</v>
      </c>
      <c r="AC59" s="21" t="n">
        <f aca="false">IF(AC$3=1,Premissas!$B$14,0)+IF(AC$3=INDEX(Premissas!$B$53:$D$53,$B$2),INDEX(Premissas!$B$52:$D$52,$B$2),0)</f>
        <v>0</v>
      </c>
      <c r="AD59" s="21" t="n">
        <f aca="false">IF(AD$3=1,Premissas!$B$14,0)+IF(AD$3=INDEX(Premissas!$B$53:$D$53,$B$2),INDEX(Premissas!$B$52:$D$52,$B$2),0)</f>
        <v>0</v>
      </c>
      <c r="AE59" s="21" t="n">
        <f aca="false">IF(AE$3=1,Premissas!$B$14,0)+IF(AE$3=INDEX(Premissas!$B$53:$D$53,$B$2),INDEX(Premissas!$B$52:$D$52,$B$2),0)</f>
        <v>0</v>
      </c>
      <c r="AF59" s="21" t="n">
        <f aca="false">IF(AF$3=1,Premissas!$B$14,0)+IF(AF$3=INDEX(Premissas!$B$53:$D$53,$B$2),INDEX(Premissas!$B$52:$D$52,$B$2),0)</f>
        <v>0</v>
      </c>
      <c r="AG59" s="21" t="n">
        <f aca="false">IF(AG$3=1,Premissas!$B$14,0)+IF(AG$3=INDEX(Premissas!$B$53:$D$53,$B$2),INDEX(Premissas!$B$52:$D$52,$B$2),0)</f>
        <v>0</v>
      </c>
      <c r="AH59" s="21" t="n">
        <f aca="false">IF(AH$3=1,Premissas!$B$14,0)+IF(AH$3=INDEX(Premissas!$B$53:$D$53,$B$2),INDEX(Premissas!$B$52:$D$52,$B$2),0)</f>
        <v>0</v>
      </c>
      <c r="AI59" s="21" t="n">
        <f aca="false">IF(AI$3=1,Premissas!$B$14,0)+IF(AI$3=INDEX(Premissas!$B$53:$D$53,$B$2),INDEX(Premissas!$B$52:$D$52,$B$2),0)</f>
        <v>0</v>
      </c>
      <c r="AJ59" s="21" t="n">
        <f aca="false">IF(AJ$3=1,Premissas!$B$14,0)+IF(AJ$3=INDEX(Premissas!$B$53:$D$53,$B$2),INDEX(Premissas!$B$52:$D$52,$B$2),0)</f>
        <v>0</v>
      </c>
      <c r="AK59" s="21" t="n">
        <f aca="false">IF(AK$3=1,Premissas!$B$14,0)+IF(AK$3=INDEX(Premissas!$B$53:$D$53,$B$2),INDEX(Premissas!$B$52:$D$52,$B$2),0)</f>
        <v>0</v>
      </c>
      <c r="AL59" s="21" t="n">
        <f aca="false">IF(AL$3=1,Premissas!$B$14,0)+IF(AL$3=INDEX(Premissas!$B$53:$D$53,$B$2),INDEX(Premissas!$B$52:$D$52,$B$2),0)</f>
        <v>0</v>
      </c>
      <c r="AM59" s="21" t="n">
        <f aca="false">IF(AM$3=1,Premissas!$B$14,0)+IF(AM$3=INDEX(Premissas!$B$53:$D$53,$B$2),INDEX(Premissas!$B$52:$D$52,$B$2),0)</f>
        <v>0</v>
      </c>
      <c r="AN59" s="21" t="n">
        <f aca="false">IF(AN$3=1,Premissas!$B$14,0)+IF(AN$3=INDEX(Premissas!$B$53:$D$53,$B$2),INDEX(Premissas!$B$52:$D$52,$B$2),0)</f>
        <v>0</v>
      </c>
      <c r="AO59" s="21" t="n">
        <f aca="false">IF(AO$3=1,Premissas!$B$14,0)+IF(AO$3=INDEX(Premissas!$B$53:$D$53,$B$2),INDEX(Premissas!$B$52:$D$52,$B$2),0)</f>
        <v>0</v>
      </c>
      <c r="AP59" s="21" t="n">
        <f aca="false">IF(AP$3=1,Premissas!$B$14,0)+IF(AP$3=INDEX(Premissas!$B$53:$D$53,$B$2),INDEX(Premissas!$B$52:$D$52,$B$2),0)</f>
        <v>0</v>
      </c>
      <c r="AQ59" s="21" t="n">
        <f aca="false">IF(AQ$3=1,Premissas!$B$14,0)+IF(AQ$3=INDEX(Premissas!$B$53:$D$53,$B$2),INDEX(Premissas!$B$52:$D$52,$B$2),0)</f>
        <v>0</v>
      </c>
      <c r="AR59" s="21" t="n">
        <f aca="false">IF(AR$3=1,Premissas!$B$14,0)+IF(AR$3=INDEX(Premissas!$B$53:$D$53,$B$2),INDEX(Premissas!$B$52:$D$52,$B$2),0)</f>
        <v>0</v>
      </c>
      <c r="AS59" s="21" t="n">
        <f aca="false">IF(AS$3=1,Premissas!$B$14,0)+IF(AS$3=INDEX(Premissas!$B$53:$D$53,$B$2),INDEX(Premissas!$B$52:$D$52,$B$2),0)</f>
        <v>0</v>
      </c>
      <c r="AT59" s="21" t="n">
        <f aca="false">IF(AT$3=1,Premissas!$B$14,0)+IF(AT$3=INDEX(Premissas!$B$53:$D$53,$B$2),INDEX(Premissas!$B$52:$D$52,$B$2),0)</f>
        <v>0</v>
      </c>
      <c r="AU59" s="21" t="n">
        <f aca="false">IF(AU$3=1,Premissas!$B$14,0)+IF(AU$3=INDEX(Premissas!$B$53:$D$53,$B$2),INDEX(Premissas!$B$52:$D$52,$B$2),0)</f>
        <v>0</v>
      </c>
      <c r="AV59" s="21" t="n">
        <f aca="false">IF(AV$3=1,Premissas!$B$14,0)+IF(AV$3=INDEX(Premissas!$B$53:$D$53,$B$2),INDEX(Premissas!$B$52:$D$52,$B$2),0)</f>
        <v>0</v>
      </c>
      <c r="AW59" s="21" t="n">
        <f aca="false">IF(AW$3=1,Premissas!$B$14,0)+IF(AW$3=INDEX(Premissas!$B$53:$D$53,$B$2),INDEX(Premissas!$B$52:$D$52,$B$2),0)</f>
        <v>0</v>
      </c>
      <c r="AX59" s="21" t="n">
        <f aca="false">IF(AX$3=1,Premissas!$B$14,0)+IF(AX$3=INDEX(Premissas!$B$53:$D$53,$B$2),INDEX(Premissas!$B$52:$D$52,$B$2),0)</f>
        <v>0</v>
      </c>
      <c r="AY59" s="21" t="n">
        <f aca="false">IF(AY$3=1,Premissas!$B$14,0)+IF(AY$3=INDEX(Premissas!$B$53:$D$53,$B$2),INDEX(Premissas!$B$52:$D$52,$B$2),0)</f>
        <v>0</v>
      </c>
      <c r="AZ59" s="21" t="n">
        <f aca="false">IF(AZ$3=1,Premissas!$B$14,0)+IF(AZ$3=INDEX(Premissas!$B$53:$D$53,$B$2),INDEX(Premissas!$B$52:$D$52,$B$2),0)</f>
        <v>0</v>
      </c>
      <c r="BA59" s="21" t="n">
        <f aca="false">IF(BA$3=1,Premissas!$B$14,0)+IF(BA$3=INDEX(Premissas!$B$53:$D$53,$B$2),INDEX(Premissas!$B$52:$D$52,$B$2),0)</f>
        <v>0</v>
      </c>
      <c r="BB59" s="21" t="n">
        <f aca="false">IF(BB$3=1,Premissas!$B$14,0)+IF(BB$3=INDEX(Premissas!$B$53:$D$53,$B$2),INDEX(Premissas!$B$52:$D$52,$B$2),0)</f>
        <v>0</v>
      </c>
      <c r="BC59" s="21" t="n">
        <f aca="false">IF(BC$3=1,Premissas!$B$14,0)+IF(BC$3=INDEX(Premissas!$B$53:$D$53,$B$2),INDEX(Premissas!$B$52:$D$52,$B$2),0)</f>
        <v>0</v>
      </c>
      <c r="BD59" s="21" t="n">
        <f aca="false">IF(BD$3=1,Premissas!$B$14,0)+IF(BD$3=INDEX(Premissas!$B$53:$D$53,$B$2),INDEX(Premissas!$B$52:$D$52,$B$2),0)</f>
        <v>0</v>
      </c>
      <c r="BE59" s="21" t="n">
        <f aca="false">IF(BE$3=1,Premissas!$B$14,0)+IF(BE$3=INDEX(Premissas!$B$53:$D$53,$B$2),INDEX(Premissas!$B$52:$D$52,$B$2),0)</f>
        <v>0</v>
      </c>
      <c r="BF59" s="21" t="n">
        <f aca="false">IF(BF$3=1,Premissas!$B$14,0)+IF(BF$3=INDEX(Premissas!$B$53:$D$53,$B$2),INDEX(Premissas!$B$52:$D$52,$B$2),0)</f>
        <v>0</v>
      </c>
      <c r="BG59" s="21" t="n">
        <f aca="false">IF(BG$3=1,Premissas!$B$14,0)+IF(BG$3=INDEX(Premissas!$B$53:$D$53,$B$2),INDEX(Premissas!$B$52:$D$52,$B$2),0)</f>
        <v>0</v>
      </c>
      <c r="BH59" s="21" t="n">
        <f aca="false">IF(BH$3=1,Premissas!$B$14,0)+IF(BH$3=INDEX(Premissas!$B$53:$D$53,$B$2),INDEX(Premissas!$B$52:$D$52,$B$2),0)</f>
        <v>0</v>
      </c>
      <c r="BI59" s="21" t="n">
        <f aca="false">IF(BI$3=1,Premissas!$B$14,0)+IF(BI$3=INDEX(Premissas!$B$53:$D$53,$B$2),INDEX(Premissas!$B$52:$D$52,$B$2),0)</f>
        <v>0</v>
      </c>
      <c r="BJ59" s="21" t="n">
        <f aca="false">IF(BJ$3=1,Premissas!$B$14,0)+IF(BJ$3=INDEX(Premissas!$B$53:$D$53,$B$2),INDEX(Premissas!$B$52:$D$52,$B$2),0)</f>
        <v>0</v>
      </c>
    </row>
    <row r="60" customFormat="false" ht="15" hidden="false" customHeight="false" outlineLevel="0" collapsed="false">
      <c r="A60" s="18" t="s">
        <v>259</v>
      </c>
      <c r="C60" s="30" t="n">
        <f aca="false">C59+C56</f>
        <v>3112057.47459386</v>
      </c>
      <c r="D60" s="30" t="n">
        <f aca="false">C60+D59+D56</f>
        <v>2928924.7268738</v>
      </c>
      <c r="E60" s="30" t="n">
        <f aca="false">D60+E59+E56</f>
        <v>2750428.97905534</v>
      </c>
      <c r="F60" s="30" t="n">
        <f aca="false">E60+F59+F56</f>
        <v>2576404.07900814</v>
      </c>
      <c r="G60" s="30" t="n">
        <f aca="false">F60+G59+G56</f>
        <v>2406690.22298728</v>
      </c>
      <c r="H60" s="30" t="n">
        <f aca="false">G60+H59+H56</f>
        <v>2241133.69118725</v>
      </c>
      <c r="I60" s="30" t="n">
        <f aca="false">H60+I59+I56</f>
        <v>2079586.59546645</v>
      </c>
      <c r="J60" s="30" t="n">
        <f aca="false">I60+J59+J56</f>
        <v>1921906.63862544</v>
      </c>
      <c r="K60" s="30" t="n">
        <f aca="false">J60+K59+K56</f>
        <v>1767956.8846562</v>
      </c>
      <c r="L60" s="30" t="n">
        <f aca="false">K60+L59+L56</f>
        <v>1617605.53941129</v>
      </c>
      <c r="M60" s="30" t="n">
        <f aca="false">L60+M59+M56</f>
        <v>1470725.74117191</v>
      </c>
      <c r="N60" s="30" t="n">
        <f aca="false">M60+N59+N56</f>
        <v>1327195.36062208</v>
      </c>
      <c r="O60" s="30" t="n">
        <f aca="false">N60+O59+O56</f>
        <v>941303.660566126</v>
      </c>
      <c r="P60" s="30" t="n">
        <f aca="false">O60+P59+P56</f>
        <v>570949.129637384</v>
      </c>
      <c r="Q60" s="30" t="n">
        <f aca="false">P60+Q59+Q56</f>
        <v>215670.018292998</v>
      </c>
      <c r="R60" s="30" t="n">
        <f aca="false">Q60+R59+R56</f>
        <v>-124980.781747065</v>
      </c>
      <c r="S60" s="30" t="n">
        <f aca="false">R60+S59+S56</f>
        <v>-451436.246706662</v>
      </c>
      <c r="T60" s="30" t="n">
        <f aca="false">S60+T59+T56</f>
        <v>-764115.7100817</v>
      </c>
      <c r="U60" s="30" t="n">
        <f aca="false">T60+U59+U56</f>
        <v>-1063425.33296457</v>
      </c>
      <c r="V60" s="30" t="n">
        <f aca="false">U60+V59+V56</f>
        <v>3650241.44380316</v>
      </c>
      <c r="W60" s="30" t="n">
        <f aca="false">V60+W59+W56</f>
        <v>3376503.46485808</v>
      </c>
      <c r="X60" s="30" t="n">
        <f aca="false">W60+X59+X56</f>
        <v>3114991.44216889</v>
      </c>
      <c r="Y60" s="30" t="n">
        <f aca="false">X60+Y59+Y56</f>
        <v>2865347.55279962</v>
      </c>
      <c r="Z60" s="30" t="n">
        <f aca="false">Y60+Z59+Z56</f>
        <v>2627225.05189947</v>
      </c>
      <c r="AA60" s="30" t="n">
        <f aca="false">Z60+AA59+AA56</f>
        <v>2109493.8710557</v>
      </c>
      <c r="AB60" s="30" t="n">
        <f aca="false">AA60+AB59+AB56</f>
        <v>1632019.24111901</v>
      </c>
      <c r="AC60" s="30" t="n">
        <f aca="false">AB60+AC59+AC56</f>
        <v>1193810.70384961</v>
      </c>
      <c r="AD60" s="30" t="n">
        <f aca="false">AC60+AD59+AD56</f>
        <v>793903.604458416</v>
      </c>
      <c r="AE60" s="30" t="n">
        <f aca="false">AD60+AE59+AE56</f>
        <v>431358.356476407</v>
      </c>
      <c r="AF60" s="30" t="n">
        <f aca="false">AE60+AF59+AF56</f>
        <v>105259.730365718</v>
      </c>
      <c r="AG60" s="30" t="n">
        <f aca="false">AF60+AG59+AG56</f>
        <v>-185283.835014007</v>
      </c>
      <c r="AH60" s="30" t="n">
        <f aca="false">AG60+AH59+AH56</f>
        <v>-441140.898932551</v>
      </c>
      <c r="AI60" s="30" t="n">
        <f aca="false">AH60+AI59+AI56</f>
        <v>-663157.664121957</v>
      </c>
      <c r="AJ60" s="30" t="n">
        <f aca="false">AI60+AJ59+AJ56</f>
        <v>-852158.601693582</v>
      </c>
      <c r="AK60" s="30" t="n">
        <f aca="false">AJ60+AK59+AK56</f>
        <v>-1008947.05638494</v>
      </c>
      <c r="AL60" s="30" t="n">
        <f aca="false">AK60+AL59+AL56</f>
        <v>-1134305.83285071</v>
      </c>
      <c r="AM60" s="30" t="n">
        <f aca="false">AL60+AM59+AM56</f>
        <v>-1606766.99682445</v>
      </c>
      <c r="AN60" s="30" t="n">
        <f aca="false">AM60+AN59+AN56</f>
        <v>-2015966.53877965</v>
      </c>
      <c r="AO60" s="30" t="n">
        <f aca="false">AN60+AO59+AO56</f>
        <v>-2363269.04069622</v>
      </c>
      <c r="AP60" s="30" t="n">
        <f aca="false">AO60+AP59+AP56</f>
        <v>-2650008.13657824</v>
      </c>
      <c r="AQ60" s="30" t="n">
        <f aca="false">AP60+AQ59+AQ56</f>
        <v>-2877487.27517571</v>
      </c>
      <c r="AR60" s="30" t="n">
        <f aca="false">AQ60+AR59+AR56</f>
        <v>-3046980.46140019</v>
      </c>
      <c r="AS60" s="30" t="n">
        <f aca="false">AR60+AS59+AS56</f>
        <v>-3159732.97712959</v>
      </c>
      <c r="AT60" s="30" t="n">
        <f aca="false">AS60+AT59+AT56</f>
        <v>-3216962.08207144</v>
      </c>
      <c r="AU60" s="30" t="n">
        <f aca="false">AT60+AU59+AU56</f>
        <v>-3219857.69532831</v>
      </c>
      <c r="AV60" s="30" t="n">
        <f aca="false">AU60+AV59+AV56</f>
        <v>-3169583.05828524</v>
      </c>
      <c r="AW60" s="30" t="n">
        <f aca="false">AV60+AW59+AW56</f>
        <v>-3067275.37941561</v>
      </c>
      <c r="AX60" s="30" t="n">
        <f aca="false">AW60+AX59+AX56</f>
        <v>-2914046.46157969</v>
      </c>
      <c r="AY60" s="30" t="n">
        <f aca="false">AX60+AY59+AY56</f>
        <v>-2968723.44695999</v>
      </c>
      <c r="AZ60" s="30" t="n">
        <f aca="false">AY60+AZ59+AZ56</f>
        <v>-2931087.67765446</v>
      </c>
      <c r="BA60" s="30" t="n">
        <f aca="false">AZ60+BA59+BA56</f>
        <v>-2802865.35854813</v>
      </c>
      <c r="BB60" s="30" t="n">
        <f aca="false">BA60+BB59+BB56</f>
        <v>-2585749.21472171</v>
      </c>
      <c r="BC60" s="30" t="n">
        <f aca="false">BB60+BC59+BC56</f>
        <v>-2281399.18484593</v>
      </c>
      <c r="BD60" s="30" t="n">
        <f aca="false">BC60+BD59+BD56</f>
        <v>-1891443.09852362</v>
      </c>
      <c r="BE60" s="30" t="n">
        <f aca="false">BD60+BE59+BE56</f>
        <v>-1417477.33801522</v>
      </c>
      <c r="BF60" s="30" t="n">
        <f aca="false">BE60+BF59+BF56</f>
        <v>-861067.484769852</v>
      </c>
      <c r="BG60" s="30" t="n">
        <f aca="false">BF60+BG59+BG56</f>
        <v>-223748.951170043</v>
      </c>
      <c r="BH60" s="30" t="n">
        <f aca="false">BG60+BH59+BH56</f>
        <v>492972.402114565</v>
      </c>
      <c r="BI60" s="30" t="n">
        <f aca="false">BH60+BI59+BI56</f>
        <v>1287619.66278198</v>
      </c>
      <c r="BJ60" s="30" t="n">
        <f aca="false">BI60+BJ59+BJ56</f>
        <v>2158744.27719065</v>
      </c>
    </row>
    <row r="61" customFormat="false" ht="15" hidden="false" customHeight="false" outlineLevel="0" collapsed="false">
      <c r="A61" s="3" t="s">
        <v>260</v>
      </c>
      <c r="B61" s="4"/>
    </row>
    <row r="62" customFormat="false" ht="15" hidden="false" customHeight="false" outlineLevel="0" collapsed="false">
      <c r="A62" s="5" t="s">
        <v>261</v>
      </c>
      <c r="C62" s="16" t="n">
        <f aca="false">C32*12</f>
        <v>80232.654974359</v>
      </c>
      <c r="D62" s="16" t="n">
        <f aca="false">D32*12</f>
        <v>157622.739803538</v>
      </c>
      <c r="E62" s="16" t="n">
        <f aca="false">E32*12</f>
        <v>232277.736287995</v>
      </c>
      <c r="F62" s="16" t="n">
        <f aca="false">F32*12</f>
        <v>304300.685259594</v>
      </c>
      <c r="G62" s="16" t="n">
        <f aca="false">G32*12</f>
        <v>373790.389995458</v>
      </c>
      <c r="H62" s="16" t="n">
        <f aca="false">H32*12</f>
        <v>440841.609341908</v>
      </c>
      <c r="I62" s="16" t="n">
        <f aca="false">I32*12</f>
        <v>505545.241112189</v>
      </c>
      <c r="J62" s="16" t="n">
        <f aca="false">J32*12</f>
        <v>567988.496289058</v>
      </c>
      <c r="K62" s="16" t="n">
        <f aca="false">K32*12</f>
        <v>628255.064532632</v>
      </c>
      <c r="L62" s="16" t="n">
        <f aca="false">L32*12</f>
        <v>686425.271465071</v>
      </c>
      <c r="M62" s="16" t="n">
        <f aca="false">M32*12</f>
        <v>742576.228176529</v>
      </c>
      <c r="N62" s="16" t="n">
        <f aca="false">N32*12</f>
        <v>796781.973371326</v>
      </c>
      <c r="O62" s="16" t="n">
        <f aca="false">O32*12</f>
        <v>1056108.88465888</v>
      </c>
      <c r="P62" s="16" t="n">
        <f aca="false">P32*12</f>
        <v>1307884.48569873</v>
      </c>
      <c r="Q62" s="16" t="n">
        <f aca="false">Q32*12</f>
        <v>1552342.54455847</v>
      </c>
      <c r="R62" s="16" t="n">
        <f aca="false">R32*12</f>
        <v>1789708.90534779</v>
      </c>
      <c r="S62" s="16" t="n">
        <f aca="false">S32*12</f>
        <v>2020201.79038643</v>
      </c>
      <c r="T62" s="16" t="n">
        <f aca="false">T32*12</f>
        <v>2244032.089304</v>
      </c>
      <c r="U62" s="16" t="n">
        <f aca="false">U32*12</f>
        <v>2461403.63570158</v>
      </c>
      <c r="V62" s="16" t="n">
        <f aca="false">V32*12</f>
        <v>2672513.47197205</v>
      </c>
      <c r="W62" s="16" t="n">
        <f aca="false">W32*12</f>
        <v>2877552.10284504</v>
      </c>
      <c r="X62" s="16" t="n">
        <f aca="false">X32*12</f>
        <v>3076703.73819338</v>
      </c>
      <c r="Y62" s="16" t="n">
        <f aca="false">Y32*12</f>
        <v>3270146.52561004</v>
      </c>
      <c r="Z62" s="16" t="n">
        <f aca="false">Z32*12</f>
        <v>3458052.77323822</v>
      </c>
      <c r="AA62" s="16" t="n">
        <f aca="false">AA32*12</f>
        <v>4125609.77139082</v>
      </c>
      <c r="AB62" s="16" t="n">
        <f aca="false">AB32*12</f>
        <v>4777114.87201134</v>
      </c>
      <c r="AC62" s="16" t="n">
        <f aca="false">AC32*12</f>
        <v>5412973.48559737</v>
      </c>
      <c r="AD62" s="16" t="n">
        <f aca="false">AD32*12</f>
        <v>6033579.9174916</v>
      </c>
      <c r="AE62" s="16" t="n">
        <f aca="false">AE32*12</f>
        <v>6639317.71146148</v>
      </c>
      <c r="AF62" s="16" t="n">
        <f aca="false">AF32*12</f>
        <v>7230559.98092091</v>
      </c>
      <c r="AG62" s="16" t="n">
        <f aca="false">AG32*12</f>
        <v>7807669.72830764</v>
      </c>
      <c r="AH62" s="16" t="n">
        <f aca="false">AH32*12</f>
        <v>8371000.1531064</v>
      </c>
      <c r="AI62" s="16" t="n">
        <f aca="false">AI32*12</f>
        <v>8920894.94898502</v>
      </c>
      <c r="AJ62" s="16" t="n">
        <f aca="false">AJ32*12</f>
        <v>9457688.59048933</v>
      </c>
      <c r="AK62" s="16" t="n">
        <f aca="false">AK32*12</f>
        <v>9981706.6097223</v>
      </c>
      <c r="AL62" s="16" t="n">
        <f aca="false">AL32*12</f>
        <v>10493265.8634133</v>
      </c>
      <c r="AM62" s="16" t="n">
        <f aca="false">AM32*12</f>
        <v>11617270.2352126</v>
      </c>
      <c r="AN62" s="16" t="n">
        <f aca="false">AN32*12</f>
        <v>12717626.9088027</v>
      </c>
      <c r="AO62" s="16" t="n">
        <f aca="false">AO32*12</f>
        <v>13794853.1791994</v>
      </c>
      <c r="AP62" s="16" t="n">
        <f aca="false">AP32*12</f>
        <v>14849454.2128708</v>
      </c>
      <c r="AQ62" s="16" t="n">
        <f aca="false">AQ32*12</f>
        <v>15881923.3666526</v>
      </c>
      <c r="AR62" s="16" t="n">
        <f aca="false">AR32*12</f>
        <v>16892742.4968418</v>
      </c>
      <c r="AS62" s="16" t="n">
        <f aca="false">AS32*12</f>
        <v>17882382.2588278</v>
      </c>
      <c r="AT62" s="16" t="n">
        <f aca="false">AT32*12</f>
        <v>18851302.3976001</v>
      </c>
      <c r="AU62" s="16" t="n">
        <f aca="false">AU32*12</f>
        <v>19799952.0294644</v>
      </c>
      <c r="AV62" s="16" t="n">
        <f aca="false">AV32*12</f>
        <v>20728769.9152793</v>
      </c>
      <c r="AW62" s="16" t="n">
        <f aca="false">AW32*12</f>
        <v>21638184.7255169</v>
      </c>
      <c r="AX62" s="16" t="n">
        <f aca="false">AX32*12</f>
        <v>22528615.297436</v>
      </c>
      <c r="AY62" s="16" t="n">
        <f aca="false">AY32*12</f>
        <v>24155948.9591379</v>
      </c>
      <c r="AZ62" s="16" t="n">
        <f aca="false">AZ32*12</f>
        <v>25753551.2538755</v>
      </c>
      <c r="BA62" s="16" t="n">
        <f aca="false">BA32*12</f>
        <v>27321978.232541</v>
      </c>
      <c r="BB62" s="16" t="n">
        <f aca="false">BB32*12</f>
        <v>28861775.0599323</v>
      </c>
      <c r="BC62" s="16" t="n">
        <f aca="false">BC32*12</f>
        <v>30373476.247378</v>
      </c>
      <c r="BD62" s="16" t="n">
        <f aca="false">BD32*12</f>
        <v>31857605.8796062</v>
      </c>
      <c r="BE62" s="16" t="n">
        <f aca="false">BE32*12</f>
        <v>33314677.8360324</v>
      </c>
      <c r="BF62" s="16" t="n">
        <f aca="false">BF32*12</f>
        <v>34745196.00663</v>
      </c>
      <c r="BG62" s="16" t="n">
        <f aca="false">BG32*12</f>
        <v>36149654.5025442</v>
      </c>
      <c r="BH62" s="16" t="n">
        <f aca="false">BH32*12</f>
        <v>37528537.8616044</v>
      </c>
      <c r="BI62" s="16" t="n">
        <f aca="false">BI32*12</f>
        <v>38882321.2488826</v>
      </c>
      <c r="BJ62" s="16" t="n">
        <f aca="false">BJ32*12</f>
        <v>40211470.6524432</v>
      </c>
    </row>
    <row r="63" customFormat="false" ht="15" hidden="false" customHeight="false" outlineLevel="0" collapsed="false">
      <c r="A63" s="5" t="s">
        <v>262</v>
      </c>
      <c r="C63" s="16" t="n">
        <f aca="false">IFERROR(C32/C26,0)</f>
        <v>589.235</v>
      </c>
      <c r="D63" s="16" t="n">
        <f aca="false">IFERROR(D32/D26,0)</f>
        <v>591.136953274607</v>
      </c>
      <c r="E63" s="16" t="n">
        <f aca="false">IFERROR(E32/E26,0)</f>
        <v>592.999758233482</v>
      </c>
      <c r="F63" s="16" t="n">
        <f aca="false">IFERROR(F32/F26,0)</f>
        <v>594.823802438228</v>
      </c>
      <c r="G63" s="16" t="n">
        <f aca="false">IFERROR(G32/G26,0)</f>
        <v>596.609492269432</v>
      </c>
      <c r="H63" s="16" t="n">
        <f aca="false">IFERROR(H32/H26,0)</f>
        <v>598.357251550747</v>
      </c>
      <c r="I63" s="16" t="n">
        <f aca="false">IFERROR(I32/I26,0)</f>
        <v>600.067520205618</v>
      </c>
      <c r="J63" s="16" t="n">
        <f aca="false">IFERROR(J32/J26,0)</f>
        <v>601.740752948728</v>
      </c>
      <c r="K63" s="16" t="n">
        <f aca="false">IFERROR(K32/K26,0)</f>
        <v>603.377418013919</v>
      </c>
      <c r="L63" s="16" t="n">
        <f aca="false">IFERROR(L32/L26,0)</f>
        <v>604.97799592012</v>
      </c>
      <c r="M63" s="16" t="n">
        <f aca="false">IFERROR(M32/M26,0)</f>
        <v>606.542978276555</v>
      </c>
      <c r="N63" s="16" t="n">
        <f aca="false">IFERROR(N32/N26,0)</f>
        <v>608.072866628241</v>
      </c>
      <c r="O63" s="16" t="n">
        <f aca="false">IFERROR(O32/O26,0)</f>
        <v>631.862230527332</v>
      </c>
      <c r="P63" s="16" t="n">
        <f aca="false">IFERROR(P32/P26,0)</f>
        <v>647.576259654299</v>
      </c>
      <c r="Q63" s="16" t="n">
        <f aca="false">IFERROR(Q32/Q26,0)</f>
        <v>659.011037481425</v>
      </c>
      <c r="R63" s="16" t="n">
        <f aca="false">IFERROR(R32/R26,0)</f>
        <v>667.897002943872</v>
      </c>
      <c r="S63" s="16" t="n">
        <f aca="false">IFERROR(S32/S26,0)</f>
        <v>675.135869505099</v>
      </c>
      <c r="T63" s="16" t="n">
        <f aca="false">IFERROR(T32/T26,0)</f>
        <v>681.243798408751</v>
      </c>
      <c r="U63" s="16" t="n">
        <f aca="false">IFERROR(U32/U26,0)</f>
        <v>686.537659277623</v>
      </c>
      <c r="V63" s="16" t="n">
        <f aca="false">IFERROR(V32/V26,0)</f>
        <v>691.222826472489</v>
      </c>
      <c r="W63" s="16" t="n">
        <f aca="false">IFERROR(W32/W26,0)</f>
        <v>695.43832094038</v>
      </c>
      <c r="X63" s="16" t="n">
        <f aca="false">IFERROR(X32/X26,0)</f>
        <v>699.281663238472</v>
      </c>
      <c r="Y63" s="16" t="n">
        <f aca="false">IFERROR(Y32/Y26,0)</f>
        <v>702.823334740674</v>
      </c>
      <c r="Z63" s="16" t="n">
        <f aca="false">IFERROR(Z32/Z26,0)</f>
        <v>706.11558598309</v>
      </c>
      <c r="AA63" s="16" t="n">
        <f aca="false">IFERROR(AA32/AA26,0)</f>
        <v>728.658442931157</v>
      </c>
      <c r="AB63" s="16" t="n">
        <f aca="false">IFERROR(AB32/AB26,0)</f>
        <v>746.023772652462</v>
      </c>
      <c r="AC63" s="16" t="n">
        <f aca="false">IFERROR(AC32/AC26,0)</f>
        <v>759.970886136053</v>
      </c>
      <c r="AD63" s="16" t="n">
        <f aca="false">IFERROR(AD32/AD26,0)</f>
        <v>771.538224767688</v>
      </c>
      <c r="AE63" s="16" t="n">
        <f aca="false">IFERROR(AE32/AE26,0)</f>
        <v>781.378356988554</v>
      </c>
      <c r="AF63" s="16" t="n">
        <f aca="false">IFERROR(AF32/AF26,0)</f>
        <v>789.922049249499</v>
      </c>
      <c r="AG63" s="16" t="n">
        <f aca="false">IFERROR(AG32/AG26,0)</f>
        <v>797.465183719065</v>
      </c>
      <c r="AH63" s="16" t="n">
        <f aca="false">IFERROR(AH32/AH26,0)</f>
        <v>804.217773947115</v>
      </c>
      <c r="AI63" s="16" t="n">
        <f aca="false">IFERROR(AI32/AI26,0)</f>
        <v>810.333054453708</v>
      </c>
      <c r="AJ63" s="16" t="n">
        <f aca="false">IFERROR(AJ32/AJ26,0)</f>
        <v>815.925495006362</v>
      </c>
      <c r="AK63" s="16" t="n">
        <f aca="false">IFERROR(AK32/AK26,0)</f>
        <v>821.082365488842</v>
      </c>
      <c r="AL63" s="16" t="n">
        <f aca="false">IFERROR(AL32/AL26,0)</f>
        <v>825.871393453519</v>
      </c>
      <c r="AM63" s="16" t="n">
        <f aca="false">IFERROR(AM32/AM26,0)</f>
        <v>834.846369856851</v>
      </c>
      <c r="AN63" s="16" t="n">
        <f aca="false">IFERROR(AN32/AN26,0)</f>
        <v>842.612608570503</v>
      </c>
      <c r="AO63" s="16" t="n">
        <f aca="false">IFERROR(AO32/AO26,0)</f>
        <v>849.460580878058</v>
      </c>
      <c r="AP63" s="16" t="n">
        <f aca="false">IFERROR(AP32/AP26,0)</f>
        <v>855.592355076757</v>
      </c>
      <c r="AQ63" s="16" t="n">
        <f aca="false">IFERROR(AQ32/AQ26,0)</f>
        <v>861.152893237385</v>
      </c>
      <c r="AR63" s="16" t="n">
        <f aca="false">IFERROR(AR32/AR26,0)</f>
        <v>866.248931202861</v>
      </c>
      <c r="AS63" s="16" t="n">
        <f aca="false">IFERROR(AS32/AS26,0)</f>
        <v>870.960832622225</v>
      </c>
      <c r="AT63" s="16" t="n">
        <f aca="false">IFERROR(AT32/AT26,0)</f>
        <v>875.350289238434</v>
      </c>
      <c r="AU63" s="16" t="n">
        <f aca="false">IFERROR(AU32/AU26,0)</f>
        <v>879.465471791641</v>
      </c>
      <c r="AV63" s="16" t="n">
        <f aca="false">IFERROR(AV32/AV26,0)</f>
        <v>883.344564734323</v>
      </c>
      <c r="AW63" s="16" t="n">
        <f aca="false">IFERROR(AW32/AW26,0)</f>
        <v>887.018246963088</v>
      </c>
      <c r="AX63" s="16" t="n">
        <f aca="false">IFERROR(AX32/AX26,0)</f>
        <v>890.511467848731</v>
      </c>
      <c r="AY63" s="16" t="n">
        <f aca="false">IFERROR(AY32/AY26,0)</f>
        <v>897.825661486023</v>
      </c>
      <c r="AZ63" s="16" t="n">
        <f aca="false">IFERROR(AZ32/AZ26,0)</f>
        <v>904.43331127368</v>
      </c>
      <c r="BA63" s="16" t="n">
        <f aca="false">IFERROR(BA32/BA26,0)</f>
        <v>910.459497337662</v>
      </c>
      <c r="BB63" s="16" t="n">
        <f aca="false">IFERROR(BB32/BB26,0)</f>
        <v>916.000416924803</v>
      </c>
      <c r="BC63" s="16" t="n">
        <f aca="false">IFERROR(BC32/BC26,0)</f>
        <v>921.131287641306</v>
      </c>
      <c r="BD63" s="16" t="n">
        <f aca="false">IFERROR(BD32/BD26,0)</f>
        <v>925.911790005314</v>
      </c>
      <c r="BE63" s="16" t="n">
        <f aca="false">IFERROR(BE32/BE26,0)</f>
        <v>930.389899039146</v>
      </c>
      <c r="BF63" s="16" t="n">
        <f aca="false">IFERROR(BF32/BF26,0)</f>
        <v>934.604635047014</v>
      </c>
      <c r="BG63" s="16" t="n">
        <f aca="false">IFERROR(BG32/BG26,0)</f>
        <v>938.588073290184</v>
      </c>
      <c r="BH63" s="16" t="n">
        <f aca="false">IFERROR(BH32/BH26,0)</f>
        <v>942.366835487204</v>
      </c>
      <c r="BI63" s="16" t="n">
        <f aca="false">IFERROR(BI32/BI26,0)</f>
        <v>945.96321258745</v>
      </c>
      <c r="BJ63" s="16" t="n">
        <f aca="false">IFERROR(BJ32/BJ26,0)</f>
        <v>949.396020955766</v>
      </c>
    </row>
    <row r="64" customFormat="false" ht="15" hidden="false" customHeight="false" outlineLevel="0" collapsed="false">
      <c r="A64" s="5" t="s">
        <v>263</v>
      </c>
      <c r="C64" s="15" t="n">
        <f aca="false">0</f>
        <v>0</v>
      </c>
      <c r="D64" s="15" t="n">
        <f aca="false">IFERROR(SUM(D18:D21)/C26,0)</f>
        <v>0.04875</v>
      </c>
      <c r="E64" s="15" t="n">
        <f aca="false">IFERROR(SUM(E18:E21)/D26,0)</f>
        <v>0.0486583046087068</v>
      </c>
      <c r="F64" s="15" t="n">
        <f aca="false">IFERROR(SUM(F18:F21)/E26,0)</f>
        <v>0.0485686748070612</v>
      </c>
      <c r="G64" s="15" t="n">
        <f aca="false">IFERROR(SUM(G18:G21)/F26,0)</f>
        <v>0.0484810854065855</v>
      </c>
      <c r="H64" s="15" t="n">
        <f aca="false">IFERROR(SUM(H18:H21)/G26,0)</f>
        <v>0.048395510362245</v>
      </c>
      <c r="I64" s="15" t="n">
        <f aca="false">IFERROR(SUM(I18:I21)/H26,0)</f>
        <v>0.0483119228468514</v>
      </c>
      <c r="J64" s="15" t="n">
        <f aca="false">IFERROR(SUM(J18:J21)/I26,0)</f>
        <v>0.0482302953233755</v>
      </c>
      <c r="K64" s="15" t="n">
        <f aca="false">IFERROR(SUM(K18:K21)/J26,0)</f>
        <v>0.0481505996150797</v>
      </c>
      <c r="L64" s="15" t="n">
        <f aca="false">IFERROR(SUM(L18:L21)/K26,0)</f>
        <v>0.0480728069733907</v>
      </c>
      <c r="M64" s="15" t="n">
        <f aca="false">IFERROR(SUM(M18:M21)/L26,0)</f>
        <v>0.0479968881434483</v>
      </c>
      <c r="N64" s="15" t="n">
        <f aca="false">IFERROR(SUM(N18:N21)/M26,0)</f>
        <v>0.0479228134272822</v>
      </c>
      <c r="O64" s="15" t="n">
        <f aca="false">IFERROR(SUM(O18:O21)/N26,0)</f>
        <v>0.0440225085250093</v>
      </c>
      <c r="P64" s="15" t="n">
        <f aca="false">IFERROR(SUM(P18:P21)/O26,0)</f>
        <v>0.0437093905567583</v>
      </c>
      <c r="Q64" s="15" t="n">
        <f aca="false">IFERROR(SUM(Q18:Q21)/P26,0)</f>
        <v>0.0434874604611233</v>
      </c>
      <c r="R64" s="15" t="n">
        <f aca="false">IFERROR(SUM(R18:R21)/Q26,0)</f>
        <v>0.0433143795158975</v>
      </c>
      <c r="S64" s="15" t="n">
        <f aca="false">IFERROR(SUM(S18:S21)/R26,0)</f>
        <v>0.0431708368593325</v>
      </c>
      <c r="T64" s="15" t="n">
        <f aca="false">IFERROR(SUM(T18:T21)/S26,0)</f>
        <v>0.0430467602477101</v>
      </c>
      <c r="U64" s="15" t="n">
        <f aca="false">IFERROR(SUM(U18:U21)/T26,0)</f>
        <v>0.0429363755522665</v>
      </c>
      <c r="V64" s="15" t="n">
        <f aca="false">IFERROR(SUM(V18:V21)/U26,0)</f>
        <v>0.0428361303372429</v>
      </c>
      <c r="W64" s="15" t="n">
        <f aca="false">IFERROR(SUM(W18:W21)/V26,0)</f>
        <v>0.0427437151237241</v>
      </c>
      <c r="X64" s="15" t="n">
        <f aca="false">IFERROR(SUM(X18:X21)/W26,0)</f>
        <v>0.042657560168035</v>
      </c>
      <c r="Y64" s="15" t="n">
        <f aca="false">IFERROR(SUM(Y18:Y21)/X26,0)</f>
        <v>0.0425765584202912</v>
      </c>
      <c r="Z64" s="15" t="n">
        <f aca="false">IFERROR(SUM(Z18:Z21)/Y26,0)</f>
        <v>0.0424999043305129</v>
      </c>
      <c r="AA64" s="15" t="n">
        <f aca="false">IFERROR(SUM(AA18:AA21)/Z26,0)</f>
        <v>0.0390328360183086</v>
      </c>
      <c r="AB64" s="15" t="n">
        <f aca="false">IFERROR(SUM(AB18:AB21)/AA26,0)</f>
        <v>0.0387912717102924</v>
      </c>
      <c r="AC64" s="15" t="n">
        <f aca="false">IFERROR(SUM(AC18:AC21)/AB26,0)</f>
        <v>0.0385984073753431</v>
      </c>
      <c r="AD64" s="15" t="n">
        <f aca="false">IFERROR(SUM(AD18:AD21)/AC26,0)</f>
        <v>0.0384379619151154</v>
      </c>
      <c r="AE64" s="15" t="n">
        <f aca="false">IFERROR(SUM(AE18:AE21)/AD26,0)</f>
        <v>0.0383003187144214</v>
      </c>
      <c r="AF64" s="15" t="n">
        <f aca="false">IFERROR(SUM(AF18:AF21)/AE26,0)</f>
        <v>0.0381794286392465</v>
      </c>
      <c r="AG64" s="15" t="n">
        <f aca="false">IFERROR(SUM(AG18:AG21)/AF26,0)</f>
        <v>0.0380712932264617</v>
      </c>
      <c r="AH64" s="15" t="n">
        <f aca="false">IFERROR(SUM(AH18:AH21)/AG26,0)</f>
        <v>0.0379731611474831</v>
      </c>
      <c r="AI64" s="15" t="n">
        <f aca="false">IFERROR(SUM(AI18:AI21)/AH26,0)</f>
        <v>0.0378830750721445</v>
      </c>
      <c r="AJ64" s="15" t="n">
        <f aca="false">IFERROR(SUM(AJ18:AJ21)/AI26,0)</f>
        <v>0.0377996027466142</v>
      </c>
      <c r="AK64" s="15" t="n">
        <f aca="false">IFERROR(SUM(AK18:AK21)/AJ26,0)</f>
        <v>0.0377216704608898</v>
      </c>
      <c r="AL64" s="15" t="n">
        <f aca="false">IFERROR(SUM(AL18:AL21)/AK26,0)</f>
        <v>0.0376484561398429</v>
      </c>
      <c r="AM64" s="15" t="n">
        <f aca="false">IFERROR(SUM(AM18:AM21)/AL26,0)</f>
        <v>0.034572973071917</v>
      </c>
      <c r="AN64" s="15" t="n">
        <f aca="false">IFERROR(SUM(AN18:AN21)/AM26,0)</f>
        <v>0.0344854357312528</v>
      </c>
      <c r="AO64" s="15" t="n">
        <f aca="false">IFERROR(SUM(AO18:AO21)/AN26,0)</f>
        <v>0.0344063464121639</v>
      </c>
      <c r="AP64" s="15" t="n">
        <f aca="false">IFERROR(SUM(AP18:AP21)/AO26,0)</f>
        <v>0.0343338249616767</v>
      </c>
      <c r="AQ64" s="15" t="n">
        <f aca="false">IFERROR(SUM(AQ18:AQ21)/AP26,0)</f>
        <v>0.0342665596517613</v>
      </c>
      <c r="AR64" s="15" t="n">
        <f aca="false">IFERROR(SUM(AR18:AR21)/AQ26,0)</f>
        <v>0.0342036059914695</v>
      </c>
      <c r="AS64" s="15" t="n">
        <f aca="false">IFERROR(SUM(AS18:AS21)/AR26,0)</f>
        <v>0.0341442653606156</v>
      </c>
      <c r="AT64" s="15" t="n">
        <f aca="false">IFERROR(SUM(AT18:AT21)/AS26,0)</f>
        <v>0.0340880088099267</v>
      </c>
      <c r="AU64" s="15" t="n">
        <f aca="false">IFERROR(SUM(AU18:AU21)/AT26,0)</f>
        <v>0.0340344275634362</v>
      </c>
      <c r="AV64" s="15" t="n">
        <f aca="false">IFERROR(SUM(AV18:AV21)/AU26,0)</f>
        <v>0.0339831999093892</v>
      </c>
      <c r="AW64" s="15" t="n">
        <f aca="false">IFERROR(SUM(AW18:AW21)/AV26,0)</f>
        <v>0.0339340684805625</v>
      </c>
      <c r="AX64" s="15" t="n">
        <f aca="false">IFERROR(SUM(AX18:AX21)/AW26,0)</f>
        <v>0.0338868243098432</v>
      </c>
      <c r="AY64" s="15" t="n">
        <f aca="false">IFERROR(SUM(AY18:AY21)/AX26,0)</f>
        <v>0.0311339917824442</v>
      </c>
      <c r="AZ64" s="15" t="n">
        <f aca="false">IFERROR(SUM(AZ18:AZ21)/AY26,0)</f>
        <v>0.0310526976259969</v>
      </c>
      <c r="BA64" s="15" t="n">
        <f aca="false">IFERROR(SUM(BA18:BA21)/AZ26,0)</f>
        <v>0.0309783812094908</v>
      </c>
      <c r="BB64" s="15" t="n">
        <f aca="false">IFERROR(SUM(BB18:BB21)/BA26,0)</f>
        <v>0.0309098607716718</v>
      </c>
      <c r="BC64" s="15" t="n">
        <f aca="false">IFERROR(SUM(BC18:BC21)/BB26,0)</f>
        <v>0.0308462258074749</v>
      </c>
      <c r="BD64" s="15" t="n">
        <f aca="false">IFERROR(SUM(BD18:BD21)/BC26,0)</f>
        <v>0.0307867628759181</v>
      </c>
      <c r="BE64" s="15" t="n">
        <f aca="false">IFERROR(SUM(BE18:BE21)/BD26,0)</f>
        <v>0.0307309045078185</v>
      </c>
      <c r="BF64" s="15" t="n">
        <f aca="false">IFERROR(SUM(BF18:BF21)/BE26,0)</f>
        <v>0.0306781932364476</v>
      </c>
      <c r="BG64" s="15" t="n">
        <f aca="false">IFERROR(SUM(BG18:BG21)/BF26,0)</f>
        <v>0.0306282557743299</v>
      </c>
      <c r="BH64" s="15" t="n">
        <f aca="false">IFERROR(SUM(BH18:BH21)/BG26,0)</f>
        <v>0.0305807841471119</v>
      </c>
      <c r="BI64" s="15" t="n">
        <f aca="false">IFERROR(SUM(BI18:BI21)/BH26,0)</f>
        <v>0.0305355216917477</v>
      </c>
      <c r="BJ64" s="15" t="n">
        <f aca="false">IFERROR(SUM(BJ18:BJ21)/BI26,0)</f>
        <v>0.0304922525160468</v>
      </c>
    </row>
    <row r="65" customFormat="false" ht="15" hidden="false" customHeight="false" outlineLevel="0" collapsed="false">
      <c r="A65" s="5" t="s">
        <v>264</v>
      </c>
      <c r="C65" s="19" t="n">
        <f aca="false">IF(MIN(C56:$BJ56)&gt;0,C$3,999)</f>
        <v>999</v>
      </c>
      <c r="D65" s="19" t="n">
        <f aca="false">IF(MIN(D56:$BJ56)&gt;0,D$3,999)</f>
        <v>999</v>
      </c>
      <c r="E65" s="19" t="n">
        <f aca="false">IF(MIN(E56:$BJ56)&gt;0,E$3,999)</f>
        <v>999</v>
      </c>
      <c r="F65" s="19" t="n">
        <f aca="false">IF(MIN(F56:$BJ56)&gt;0,F$3,999)</f>
        <v>999</v>
      </c>
      <c r="G65" s="19" t="n">
        <f aca="false">IF(MIN(G56:$BJ56)&gt;0,G$3,999)</f>
        <v>999</v>
      </c>
      <c r="H65" s="19" t="n">
        <f aca="false">IF(MIN(H56:$BJ56)&gt;0,H$3,999)</f>
        <v>999</v>
      </c>
      <c r="I65" s="19" t="n">
        <f aca="false">IF(MIN(I56:$BJ56)&gt;0,I$3,999)</f>
        <v>999</v>
      </c>
      <c r="J65" s="19" t="n">
        <f aca="false">IF(MIN(J56:$BJ56)&gt;0,J$3,999)</f>
        <v>999</v>
      </c>
      <c r="K65" s="19" t="n">
        <f aca="false">IF(MIN(K56:$BJ56)&gt;0,K$3,999)</f>
        <v>999</v>
      </c>
      <c r="L65" s="19" t="n">
        <f aca="false">IF(MIN(L56:$BJ56)&gt;0,L$3,999)</f>
        <v>999</v>
      </c>
      <c r="M65" s="19" t="n">
        <f aca="false">IF(MIN(M56:$BJ56)&gt;0,M$3,999)</f>
        <v>999</v>
      </c>
      <c r="N65" s="19" t="n">
        <f aca="false">IF(MIN(N56:$BJ56)&gt;0,N$3,999)</f>
        <v>999</v>
      </c>
      <c r="O65" s="19" t="n">
        <f aca="false">IF(MIN(O56:$BJ56)&gt;0,O$3,999)</f>
        <v>999</v>
      </c>
      <c r="P65" s="19" t="n">
        <f aca="false">IF(MIN(P56:$BJ56)&gt;0,P$3,999)</f>
        <v>999</v>
      </c>
      <c r="Q65" s="19" t="n">
        <f aca="false">IF(MIN(Q56:$BJ56)&gt;0,Q$3,999)</f>
        <v>999</v>
      </c>
      <c r="R65" s="19" t="n">
        <f aca="false">IF(MIN(R56:$BJ56)&gt;0,R$3,999)</f>
        <v>999</v>
      </c>
      <c r="S65" s="19" t="n">
        <f aca="false">IF(MIN(S56:$BJ56)&gt;0,S$3,999)</f>
        <v>999</v>
      </c>
      <c r="T65" s="19" t="n">
        <f aca="false">IF(MIN(T56:$BJ56)&gt;0,T$3,999)</f>
        <v>999</v>
      </c>
      <c r="U65" s="19" t="n">
        <f aca="false">IF(MIN(U56:$BJ56)&gt;0,U$3,999)</f>
        <v>999</v>
      </c>
      <c r="V65" s="19" t="n">
        <f aca="false">IF(MIN(V56:$BJ56)&gt;0,V$3,999)</f>
        <v>999</v>
      </c>
      <c r="W65" s="19" t="n">
        <f aca="false">IF(MIN(W56:$BJ56)&gt;0,W$3,999)</f>
        <v>999</v>
      </c>
      <c r="X65" s="19" t="n">
        <f aca="false">IF(MIN(X56:$BJ56)&gt;0,X$3,999)</f>
        <v>999</v>
      </c>
      <c r="Y65" s="19" t="n">
        <f aca="false">IF(MIN(Y56:$BJ56)&gt;0,Y$3,999)</f>
        <v>999</v>
      </c>
      <c r="Z65" s="19" t="n">
        <f aca="false">IF(MIN(Z56:$BJ56)&gt;0,Z$3,999)</f>
        <v>999</v>
      </c>
      <c r="AA65" s="19" t="n">
        <f aca="false">IF(MIN(AA56:$BJ56)&gt;0,AA$3,999)</f>
        <v>999</v>
      </c>
      <c r="AB65" s="19" t="n">
        <f aca="false">IF(MIN(AB56:$BJ56)&gt;0,AB$3,999)</f>
        <v>999</v>
      </c>
      <c r="AC65" s="19" t="n">
        <f aca="false">IF(MIN(AC56:$BJ56)&gt;0,AC$3,999)</f>
        <v>999</v>
      </c>
      <c r="AD65" s="19" t="n">
        <f aca="false">IF(MIN(AD56:$BJ56)&gt;0,AD$3,999)</f>
        <v>999</v>
      </c>
      <c r="AE65" s="19" t="n">
        <f aca="false">IF(MIN(AE56:$BJ56)&gt;0,AE$3,999)</f>
        <v>999</v>
      </c>
      <c r="AF65" s="19" t="n">
        <f aca="false">IF(MIN(AF56:$BJ56)&gt;0,AF$3,999)</f>
        <v>999</v>
      </c>
      <c r="AG65" s="19" t="n">
        <f aca="false">IF(MIN(AG56:$BJ56)&gt;0,AG$3,999)</f>
        <v>999</v>
      </c>
      <c r="AH65" s="19" t="n">
        <f aca="false">IF(MIN(AH56:$BJ56)&gt;0,AH$3,999)</f>
        <v>999</v>
      </c>
      <c r="AI65" s="19" t="n">
        <f aca="false">IF(MIN(AI56:$BJ56)&gt;0,AI$3,999)</f>
        <v>999</v>
      </c>
      <c r="AJ65" s="19" t="n">
        <f aca="false">IF(MIN(AJ56:$BJ56)&gt;0,AJ$3,999)</f>
        <v>999</v>
      </c>
      <c r="AK65" s="19" t="n">
        <f aca="false">IF(MIN(AK56:$BJ56)&gt;0,AK$3,999)</f>
        <v>999</v>
      </c>
      <c r="AL65" s="19" t="n">
        <f aca="false">IF(MIN(AL56:$BJ56)&gt;0,AL$3,999)</f>
        <v>999</v>
      </c>
      <c r="AM65" s="19" t="n">
        <f aca="false">IF(MIN(AM56:$BJ56)&gt;0,AM$3,999)</f>
        <v>999</v>
      </c>
      <c r="AN65" s="19" t="n">
        <f aca="false">IF(MIN(AN56:$BJ56)&gt;0,AN$3,999)</f>
        <v>999</v>
      </c>
      <c r="AO65" s="19" t="n">
        <f aca="false">IF(MIN(AO56:$BJ56)&gt;0,AO$3,999)</f>
        <v>999</v>
      </c>
      <c r="AP65" s="19" t="n">
        <f aca="false">IF(MIN(AP56:$BJ56)&gt;0,AP$3,999)</f>
        <v>999</v>
      </c>
      <c r="AQ65" s="19" t="n">
        <f aca="false">IF(MIN(AQ56:$BJ56)&gt;0,AQ$3,999)</f>
        <v>999</v>
      </c>
      <c r="AR65" s="19" t="n">
        <f aca="false">IF(MIN(AR56:$BJ56)&gt;0,AR$3,999)</f>
        <v>999</v>
      </c>
      <c r="AS65" s="19" t="n">
        <f aca="false">IF(MIN(AS56:$BJ56)&gt;0,AS$3,999)</f>
        <v>999</v>
      </c>
      <c r="AT65" s="19" t="n">
        <f aca="false">IF(MIN(AT56:$BJ56)&gt;0,AT$3,999)</f>
        <v>999</v>
      </c>
      <c r="AU65" s="19" t="n">
        <f aca="false">IF(MIN(AU56:$BJ56)&gt;0,AU$3,999)</f>
        <v>999</v>
      </c>
      <c r="AV65" s="19" t="n">
        <f aca="false">IF(MIN(AV56:$BJ56)&gt;0,AV$3,999)</f>
        <v>999</v>
      </c>
      <c r="AW65" s="19" t="n">
        <f aca="false">IF(MIN(AW56:$BJ56)&gt;0,AW$3,999)</f>
        <v>999</v>
      </c>
      <c r="AX65" s="19" t="n">
        <f aca="false">IF(MIN(AX56:$BJ56)&gt;0,AX$3,999)</f>
        <v>999</v>
      </c>
      <c r="AY65" s="19" t="n">
        <f aca="false">IF(MIN(AY56:$BJ56)&gt;0,AY$3,999)</f>
        <v>999</v>
      </c>
      <c r="AZ65" s="19" t="n">
        <f aca="false">IF(MIN(AZ56:$BJ56)&gt;0,AZ$3,999)</f>
        <v>50</v>
      </c>
      <c r="BA65" s="19" t="n">
        <f aca="false">IF(MIN(BA56:$BJ56)&gt;0,BA$3,999)</f>
        <v>51</v>
      </c>
      <c r="BB65" s="19" t="n">
        <f aca="false">IF(MIN(BB56:$BJ56)&gt;0,BB$3,999)</f>
        <v>52</v>
      </c>
      <c r="BC65" s="19" t="n">
        <f aca="false">IF(MIN(BC56:$BJ56)&gt;0,BC$3,999)</f>
        <v>53</v>
      </c>
      <c r="BD65" s="19" t="n">
        <f aca="false">IF(MIN(BD56:$BJ56)&gt;0,BD$3,999)</f>
        <v>54</v>
      </c>
      <c r="BE65" s="19" t="n">
        <f aca="false">IF(MIN(BE56:$BJ56)&gt;0,BE$3,999)</f>
        <v>55</v>
      </c>
      <c r="BF65" s="19" t="n">
        <f aca="false">IF(MIN(BF56:$BJ56)&gt;0,BF$3,999)</f>
        <v>56</v>
      </c>
      <c r="BG65" s="19" t="n">
        <f aca="false">IF(MIN(BG56:$BJ56)&gt;0,BG$3,999)</f>
        <v>57</v>
      </c>
      <c r="BH65" s="19" t="n">
        <f aca="false">IF(MIN(BH56:$BJ56)&gt;0,BH$3,999)</f>
        <v>58</v>
      </c>
      <c r="BI65" s="19" t="n">
        <f aca="false">IF(MIN(BI56:$BJ56)&gt;0,BI$3,999)</f>
        <v>59</v>
      </c>
      <c r="BJ65" s="19" t="n">
        <f aca="false">IF(MIN(BJ56:$BJ56)&gt;0,BJ$3,999)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2" min="2" style="0" width="12"/>
  </cols>
  <sheetData>
    <row r="1" customFormat="false" ht="17.35" hidden="false" customHeight="false" outlineLevel="0" collapsed="false">
      <c r="A1" s="1" t="s">
        <v>265</v>
      </c>
    </row>
    <row r="2" customFormat="false" ht="15" hidden="false" customHeight="false" outlineLevel="0" collapsed="false">
      <c r="A2" s="5" t="s">
        <v>209</v>
      </c>
      <c r="B2" s="26" t="n">
        <v>2</v>
      </c>
    </row>
    <row r="3" customFormat="false" ht="15" hidden="false" customHeight="false" outlineLevel="0" collapsed="false">
      <c r="A3" s="5" t="s">
        <v>210</v>
      </c>
      <c r="C3" s="18" t="n">
        <v>1</v>
      </c>
      <c r="D3" s="18" t="n">
        <f aca="false">C3+1</f>
        <v>2</v>
      </c>
      <c r="E3" s="18" t="n">
        <f aca="false">D3+1</f>
        <v>3</v>
      </c>
      <c r="F3" s="18" t="n">
        <f aca="false">E3+1</f>
        <v>4</v>
      </c>
      <c r="G3" s="18" t="n">
        <f aca="false">F3+1</f>
        <v>5</v>
      </c>
      <c r="H3" s="18" t="n">
        <f aca="false">G3+1</f>
        <v>6</v>
      </c>
      <c r="I3" s="18" t="n">
        <f aca="false">H3+1</f>
        <v>7</v>
      </c>
      <c r="J3" s="18" t="n">
        <f aca="false">I3+1</f>
        <v>8</v>
      </c>
      <c r="K3" s="18" t="n">
        <f aca="false">J3+1</f>
        <v>9</v>
      </c>
      <c r="L3" s="18" t="n">
        <f aca="false">K3+1</f>
        <v>10</v>
      </c>
      <c r="M3" s="18" t="n">
        <f aca="false">L3+1</f>
        <v>11</v>
      </c>
      <c r="N3" s="18" t="n">
        <f aca="false">M3+1</f>
        <v>12</v>
      </c>
      <c r="O3" s="18" t="n">
        <f aca="false">N3+1</f>
        <v>13</v>
      </c>
      <c r="P3" s="18" t="n">
        <f aca="false">O3+1</f>
        <v>14</v>
      </c>
      <c r="Q3" s="18" t="n">
        <f aca="false">P3+1</f>
        <v>15</v>
      </c>
      <c r="R3" s="18" t="n">
        <f aca="false">Q3+1</f>
        <v>16</v>
      </c>
      <c r="S3" s="18" t="n">
        <f aca="false">R3+1</f>
        <v>17</v>
      </c>
      <c r="T3" s="18" t="n">
        <f aca="false">S3+1</f>
        <v>18</v>
      </c>
      <c r="U3" s="18" t="n">
        <f aca="false">T3+1</f>
        <v>19</v>
      </c>
      <c r="V3" s="18" t="n">
        <f aca="false">U3+1</f>
        <v>20</v>
      </c>
      <c r="W3" s="18" t="n">
        <f aca="false">V3+1</f>
        <v>21</v>
      </c>
      <c r="X3" s="18" t="n">
        <f aca="false">W3+1</f>
        <v>22</v>
      </c>
      <c r="Y3" s="18" t="n">
        <f aca="false">X3+1</f>
        <v>23</v>
      </c>
      <c r="Z3" s="18" t="n">
        <f aca="false">Y3+1</f>
        <v>24</v>
      </c>
      <c r="AA3" s="18" t="n">
        <f aca="false">Z3+1</f>
        <v>25</v>
      </c>
      <c r="AB3" s="18" t="n">
        <f aca="false">AA3+1</f>
        <v>26</v>
      </c>
      <c r="AC3" s="18" t="n">
        <f aca="false">AB3+1</f>
        <v>27</v>
      </c>
      <c r="AD3" s="18" t="n">
        <f aca="false">AC3+1</f>
        <v>28</v>
      </c>
      <c r="AE3" s="18" t="n">
        <f aca="false">AD3+1</f>
        <v>29</v>
      </c>
      <c r="AF3" s="18" t="n">
        <f aca="false">AE3+1</f>
        <v>30</v>
      </c>
      <c r="AG3" s="18" t="n">
        <f aca="false">AF3+1</f>
        <v>31</v>
      </c>
      <c r="AH3" s="18" t="n">
        <f aca="false">AG3+1</f>
        <v>32</v>
      </c>
      <c r="AI3" s="18" t="n">
        <f aca="false">AH3+1</f>
        <v>33</v>
      </c>
      <c r="AJ3" s="18" t="n">
        <f aca="false">AI3+1</f>
        <v>34</v>
      </c>
      <c r="AK3" s="18" t="n">
        <f aca="false">AJ3+1</f>
        <v>35</v>
      </c>
      <c r="AL3" s="18" t="n">
        <f aca="false">AK3+1</f>
        <v>36</v>
      </c>
      <c r="AM3" s="18" t="n">
        <f aca="false">AL3+1</f>
        <v>37</v>
      </c>
      <c r="AN3" s="18" t="n">
        <f aca="false">AM3+1</f>
        <v>38</v>
      </c>
      <c r="AO3" s="18" t="n">
        <f aca="false">AN3+1</f>
        <v>39</v>
      </c>
      <c r="AP3" s="18" t="n">
        <f aca="false">AO3+1</f>
        <v>40</v>
      </c>
      <c r="AQ3" s="18" t="n">
        <f aca="false">AP3+1</f>
        <v>41</v>
      </c>
      <c r="AR3" s="18" t="n">
        <f aca="false">AQ3+1</f>
        <v>42</v>
      </c>
      <c r="AS3" s="18" t="n">
        <f aca="false">AR3+1</f>
        <v>43</v>
      </c>
      <c r="AT3" s="18" t="n">
        <f aca="false">AS3+1</f>
        <v>44</v>
      </c>
      <c r="AU3" s="18" t="n">
        <f aca="false">AT3+1</f>
        <v>45</v>
      </c>
      <c r="AV3" s="18" t="n">
        <f aca="false">AU3+1</f>
        <v>46</v>
      </c>
      <c r="AW3" s="18" t="n">
        <f aca="false">AV3+1</f>
        <v>47</v>
      </c>
      <c r="AX3" s="18" t="n">
        <f aca="false">AW3+1</f>
        <v>48</v>
      </c>
      <c r="AY3" s="18" t="n">
        <f aca="false">AX3+1</f>
        <v>49</v>
      </c>
      <c r="AZ3" s="18" t="n">
        <f aca="false">AY3+1</f>
        <v>50</v>
      </c>
      <c r="BA3" s="18" t="n">
        <f aca="false">AZ3+1</f>
        <v>51</v>
      </c>
      <c r="BB3" s="18" t="n">
        <f aca="false">BA3+1</f>
        <v>52</v>
      </c>
      <c r="BC3" s="18" t="n">
        <f aca="false">BB3+1</f>
        <v>53</v>
      </c>
      <c r="BD3" s="18" t="n">
        <f aca="false">BC3+1</f>
        <v>54</v>
      </c>
      <c r="BE3" s="18" t="n">
        <f aca="false">BD3+1</f>
        <v>55</v>
      </c>
      <c r="BF3" s="18" t="n">
        <f aca="false">BE3+1</f>
        <v>56</v>
      </c>
      <c r="BG3" s="18" t="n">
        <f aca="false">BF3+1</f>
        <v>57</v>
      </c>
      <c r="BH3" s="18" t="n">
        <f aca="false">BG3+1</f>
        <v>58</v>
      </c>
      <c r="BI3" s="18" t="n">
        <f aca="false">BH3+1</f>
        <v>59</v>
      </c>
      <c r="BJ3" s="18" t="n">
        <f aca="false">BI3+1</f>
        <v>60</v>
      </c>
    </row>
    <row r="4" customFormat="false" ht="15" hidden="false" customHeight="false" outlineLevel="0" collapsed="false">
      <c r="A4" s="5" t="s">
        <v>46</v>
      </c>
      <c r="C4" s="5" t="n">
        <f aca="false">ROUNDUP(C3/12,0)</f>
        <v>1</v>
      </c>
      <c r="D4" s="5" t="n">
        <f aca="false">ROUNDUP(D3/12,0)</f>
        <v>1</v>
      </c>
      <c r="E4" s="5" t="n">
        <f aca="false">ROUNDUP(E3/12,0)</f>
        <v>1</v>
      </c>
      <c r="F4" s="5" t="n">
        <f aca="false">ROUNDUP(F3/12,0)</f>
        <v>1</v>
      </c>
      <c r="G4" s="5" t="n">
        <f aca="false">ROUNDUP(G3/12,0)</f>
        <v>1</v>
      </c>
      <c r="H4" s="5" t="n">
        <f aca="false">ROUNDUP(H3/12,0)</f>
        <v>1</v>
      </c>
      <c r="I4" s="5" t="n">
        <f aca="false">ROUNDUP(I3/12,0)</f>
        <v>1</v>
      </c>
      <c r="J4" s="5" t="n">
        <f aca="false">ROUNDUP(J3/12,0)</f>
        <v>1</v>
      </c>
      <c r="K4" s="5" t="n">
        <f aca="false">ROUNDUP(K3/12,0)</f>
        <v>1</v>
      </c>
      <c r="L4" s="5" t="n">
        <f aca="false">ROUNDUP(L3/12,0)</f>
        <v>1</v>
      </c>
      <c r="M4" s="5" t="n">
        <f aca="false">ROUNDUP(M3/12,0)</f>
        <v>1</v>
      </c>
      <c r="N4" s="5" t="n">
        <f aca="false">ROUNDUP(N3/12,0)</f>
        <v>1</v>
      </c>
      <c r="O4" s="5" t="n">
        <f aca="false">ROUNDUP(O3/12,0)</f>
        <v>2</v>
      </c>
      <c r="P4" s="5" t="n">
        <f aca="false">ROUNDUP(P3/12,0)</f>
        <v>2</v>
      </c>
      <c r="Q4" s="5" t="n">
        <f aca="false">ROUNDUP(Q3/12,0)</f>
        <v>2</v>
      </c>
      <c r="R4" s="5" t="n">
        <f aca="false">ROUNDUP(R3/12,0)</f>
        <v>2</v>
      </c>
      <c r="S4" s="5" t="n">
        <f aca="false">ROUNDUP(S3/12,0)</f>
        <v>2</v>
      </c>
      <c r="T4" s="5" t="n">
        <f aca="false">ROUNDUP(T3/12,0)</f>
        <v>2</v>
      </c>
      <c r="U4" s="5" t="n">
        <f aca="false">ROUNDUP(U3/12,0)</f>
        <v>2</v>
      </c>
      <c r="V4" s="5" t="n">
        <f aca="false">ROUNDUP(V3/12,0)</f>
        <v>2</v>
      </c>
      <c r="W4" s="5" t="n">
        <f aca="false">ROUNDUP(W3/12,0)</f>
        <v>2</v>
      </c>
      <c r="X4" s="5" t="n">
        <f aca="false">ROUNDUP(X3/12,0)</f>
        <v>2</v>
      </c>
      <c r="Y4" s="5" t="n">
        <f aca="false">ROUNDUP(Y3/12,0)</f>
        <v>2</v>
      </c>
      <c r="Z4" s="5" t="n">
        <f aca="false">ROUNDUP(Z3/12,0)</f>
        <v>2</v>
      </c>
      <c r="AA4" s="5" t="n">
        <f aca="false">ROUNDUP(AA3/12,0)</f>
        <v>3</v>
      </c>
      <c r="AB4" s="5" t="n">
        <f aca="false">ROUNDUP(AB3/12,0)</f>
        <v>3</v>
      </c>
      <c r="AC4" s="5" t="n">
        <f aca="false">ROUNDUP(AC3/12,0)</f>
        <v>3</v>
      </c>
      <c r="AD4" s="5" t="n">
        <f aca="false">ROUNDUP(AD3/12,0)</f>
        <v>3</v>
      </c>
      <c r="AE4" s="5" t="n">
        <f aca="false">ROUNDUP(AE3/12,0)</f>
        <v>3</v>
      </c>
      <c r="AF4" s="5" t="n">
        <f aca="false">ROUNDUP(AF3/12,0)</f>
        <v>3</v>
      </c>
      <c r="AG4" s="5" t="n">
        <f aca="false">ROUNDUP(AG3/12,0)</f>
        <v>3</v>
      </c>
      <c r="AH4" s="5" t="n">
        <f aca="false">ROUNDUP(AH3/12,0)</f>
        <v>3</v>
      </c>
      <c r="AI4" s="5" t="n">
        <f aca="false">ROUNDUP(AI3/12,0)</f>
        <v>3</v>
      </c>
      <c r="AJ4" s="5" t="n">
        <f aca="false">ROUNDUP(AJ3/12,0)</f>
        <v>3</v>
      </c>
      <c r="AK4" s="5" t="n">
        <f aca="false">ROUNDUP(AK3/12,0)</f>
        <v>3</v>
      </c>
      <c r="AL4" s="5" t="n">
        <f aca="false">ROUNDUP(AL3/12,0)</f>
        <v>3</v>
      </c>
      <c r="AM4" s="5" t="n">
        <f aca="false">ROUNDUP(AM3/12,0)</f>
        <v>4</v>
      </c>
      <c r="AN4" s="5" t="n">
        <f aca="false">ROUNDUP(AN3/12,0)</f>
        <v>4</v>
      </c>
      <c r="AO4" s="5" t="n">
        <f aca="false">ROUNDUP(AO3/12,0)</f>
        <v>4</v>
      </c>
      <c r="AP4" s="5" t="n">
        <f aca="false">ROUNDUP(AP3/12,0)</f>
        <v>4</v>
      </c>
      <c r="AQ4" s="5" t="n">
        <f aca="false">ROUNDUP(AQ3/12,0)</f>
        <v>4</v>
      </c>
      <c r="AR4" s="5" t="n">
        <f aca="false">ROUNDUP(AR3/12,0)</f>
        <v>4</v>
      </c>
      <c r="AS4" s="5" t="n">
        <f aca="false">ROUNDUP(AS3/12,0)</f>
        <v>4</v>
      </c>
      <c r="AT4" s="5" t="n">
        <f aca="false">ROUNDUP(AT3/12,0)</f>
        <v>4</v>
      </c>
      <c r="AU4" s="5" t="n">
        <f aca="false">ROUNDUP(AU3/12,0)</f>
        <v>4</v>
      </c>
      <c r="AV4" s="5" t="n">
        <f aca="false">ROUNDUP(AV3/12,0)</f>
        <v>4</v>
      </c>
      <c r="AW4" s="5" t="n">
        <f aca="false">ROUNDUP(AW3/12,0)</f>
        <v>4</v>
      </c>
      <c r="AX4" s="5" t="n">
        <f aca="false">ROUNDUP(AX3/12,0)</f>
        <v>4</v>
      </c>
      <c r="AY4" s="5" t="n">
        <f aca="false">ROUNDUP(AY3/12,0)</f>
        <v>5</v>
      </c>
      <c r="AZ4" s="5" t="n">
        <f aca="false">ROUNDUP(AZ3/12,0)</f>
        <v>5</v>
      </c>
      <c r="BA4" s="5" t="n">
        <f aca="false">ROUNDUP(BA3/12,0)</f>
        <v>5</v>
      </c>
      <c r="BB4" s="5" t="n">
        <f aca="false">ROUNDUP(BB3/12,0)</f>
        <v>5</v>
      </c>
      <c r="BC4" s="5" t="n">
        <f aca="false">ROUNDUP(BC3/12,0)</f>
        <v>5</v>
      </c>
      <c r="BD4" s="5" t="n">
        <f aca="false">ROUNDUP(BD3/12,0)</f>
        <v>5</v>
      </c>
      <c r="BE4" s="5" t="n">
        <f aca="false">ROUNDUP(BE3/12,0)</f>
        <v>5</v>
      </c>
      <c r="BF4" s="5" t="n">
        <f aca="false">ROUNDUP(BF3/12,0)</f>
        <v>5</v>
      </c>
      <c r="BG4" s="5" t="n">
        <f aca="false">ROUNDUP(BG3/12,0)</f>
        <v>5</v>
      </c>
      <c r="BH4" s="5" t="n">
        <f aca="false">ROUNDUP(BH3/12,0)</f>
        <v>5</v>
      </c>
      <c r="BI4" s="5" t="n">
        <f aca="false">ROUNDUP(BI3/12,0)</f>
        <v>5</v>
      </c>
      <c r="BJ4" s="5" t="n">
        <f aca="false">ROUNDUP(BJ3/12,0)</f>
        <v>5</v>
      </c>
    </row>
    <row r="6" customFormat="false" ht="15" hidden="false" customHeight="false" outlineLevel="0" collapsed="false">
      <c r="A6" s="3" t="s">
        <v>211</v>
      </c>
      <c r="B6" s="4"/>
    </row>
    <row r="7" customFormat="false" ht="15" hidden="false" customHeight="false" outlineLevel="0" collapsed="false">
      <c r="A7" s="5" t="s">
        <v>212</v>
      </c>
      <c r="C7" s="21" t="n">
        <f aca="false">INDEX(Premissas!$B$37:$F$37,C$4)*INDEX(Premissas!$B$51:$D$51,$B$2)</f>
        <v>25000</v>
      </c>
      <c r="D7" s="21" t="n">
        <f aca="false">INDEX(Premissas!$B$37:$F$37,D$4)*INDEX(Premissas!$B$51:$D$51,$B$2)</f>
        <v>25000</v>
      </c>
      <c r="E7" s="21" t="n">
        <f aca="false">INDEX(Premissas!$B$37:$F$37,E$4)*INDEX(Premissas!$B$51:$D$51,$B$2)</f>
        <v>25000</v>
      </c>
      <c r="F7" s="21" t="n">
        <f aca="false">INDEX(Premissas!$B$37:$F$37,F$4)*INDEX(Premissas!$B$51:$D$51,$B$2)</f>
        <v>25000</v>
      </c>
      <c r="G7" s="21" t="n">
        <f aca="false">INDEX(Premissas!$B$37:$F$37,G$4)*INDEX(Premissas!$B$51:$D$51,$B$2)</f>
        <v>25000</v>
      </c>
      <c r="H7" s="21" t="n">
        <f aca="false">INDEX(Premissas!$B$37:$F$37,H$4)*INDEX(Premissas!$B$51:$D$51,$B$2)</f>
        <v>25000</v>
      </c>
      <c r="I7" s="21" t="n">
        <f aca="false">INDEX(Premissas!$B$37:$F$37,I$4)*INDEX(Premissas!$B$51:$D$51,$B$2)</f>
        <v>25000</v>
      </c>
      <c r="J7" s="21" t="n">
        <f aca="false">INDEX(Premissas!$B$37:$F$37,J$4)*INDEX(Premissas!$B$51:$D$51,$B$2)</f>
        <v>25000</v>
      </c>
      <c r="K7" s="21" t="n">
        <f aca="false">INDEX(Premissas!$B$37:$F$37,K$4)*INDEX(Premissas!$B$51:$D$51,$B$2)</f>
        <v>25000</v>
      </c>
      <c r="L7" s="21" t="n">
        <f aca="false">INDEX(Premissas!$B$37:$F$37,L$4)*INDEX(Premissas!$B$51:$D$51,$B$2)</f>
        <v>25000</v>
      </c>
      <c r="M7" s="21" t="n">
        <f aca="false">INDEX(Premissas!$B$37:$F$37,M$4)*INDEX(Premissas!$B$51:$D$51,$B$2)</f>
        <v>25000</v>
      </c>
      <c r="N7" s="21" t="n">
        <f aca="false">INDEX(Premissas!$B$37:$F$37,N$4)*INDEX(Premissas!$B$51:$D$51,$B$2)</f>
        <v>25000</v>
      </c>
      <c r="O7" s="21" t="n">
        <f aca="false">INDEX(Premissas!$B$37:$F$37,O$4)*INDEX(Premissas!$B$51:$D$51,$B$2)</f>
        <v>70000</v>
      </c>
      <c r="P7" s="21" t="n">
        <f aca="false">INDEX(Premissas!$B$37:$F$37,P$4)*INDEX(Premissas!$B$51:$D$51,$B$2)</f>
        <v>70000</v>
      </c>
      <c r="Q7" s="21" t="n">
        <f aca="false">INDEX(Premissas!$B$37:$F$37,Q$4)*INDEX(Premissas!$B$51:$D$51,$B$2)</f>
        <v>70000</v>
      </c>
      <c r="R7" s="21" t="n">
        <f aca="false">INDEX(Premissas!$B$37:$F$37,R$4)*INDEX(Premissas!$B$51:$D$51,$B$2)</f>
        <v>70000</v>
      </c>
      <c r="S7" s="21" t="n">
        <f aca="false">INDEX(Premissas!$B$37:$F$37,S$4)*INDEX(Premissas!$B$51:$D$51,$B$2)</f>
        <v>70000</v>
      </c>
      <c r="T7" s="21" t="n">
        <f aca="false">INDEX(Premissas!$B$37:$F$37,T$4)*INDEX(Premissas!$B$51:$D$51,$B$2)</f>
        <v>70000</v>
      </c>
      <c r="U7" s="21" t="n">
        <f aca="false">INDEX(Premissas!$B$37:$F$37,U$4)*INDEX(Premissas!$B$51:$D$51,$B$2)</f>
        <v>70000</v>
      </c>
      <c r="V7" s="21" t="n">
        <f aca="false">INDEX(Premissas!$B$37:$F$37,V$4)*INDEX(Premissas!$B$51:$D$51,$B$2)</f>
        <v>70000</v>
      </c>
      <c r="W7" s="21" t="n">
        <f aca="false">INDEX(Premissas!$B$37:$F$37,W$4)*INDEX(Premissas!$B$51:$D$51,$B$2)</f>
        <v>70000</v>
      </c>
      <c r="X7" s="21" t="n">
        <f aca="false">INDEX(Premissas!$B$37:$F$37,X$4)*INDEX(Premissas!$B$51:$D$51,$B$2)</f>
        <v>70000</v>
      </c>
      <c r="Y7" s="21" t="n">
        <f aca="false">INDEX(Premissas!$B$37:$F$37,Y$4)*INDEX(Premissas!$B$51:$D$51,$B$2)</f>
        <v>70000</v>
      </c>
      <c r="Z7" s="21" t="n">
        <f aca="false">INDEX(Premissas!$B$37:$F$37,Z$4)*INDEX(Premissas!$B$51:$D$51,$B$2)</f>
        <v>70000</v>
      </c>
      <c r="AA7" s="21" t="n">
        <f aca="false">INDEX(Premissas!$B$37:$F$37,AA$4)*INDEX(Premissas!$B$51:$D$51,$B$2)</f>
        <v>150000</v>
      </c>
      <c r="AB7" s="21" t="n">
        <f aca="false">INDEX(Premissas!$B$37:$F$37,AB$4)*INDEX(Premissas!$B$51:$D$51,$B$2)</f>
        <v>150000</v>
      </c>
      <c r="AC7" s="21" t="n">
        <f aca="false">INDEX(Premissas!$B$37:$F$37,AC$4)*INDEX(Premissas!$B$51:$D$51,$B$2)</f>
        <v>150000</v>
      </c>
      <c r="AD7" s="21" t="n">
        <f aca="false">INDEX(Premissas!$B$37:$F$37,AD$4)*INDEX(Premissas!$B$51:$D$51,$B$2)</f>
        <v>150000</v>
      </c>
      <c r="AE7" s="21" t="n">
        <f aca="false">INDEX(Premissas!$B$37:$F$37,AE$4)*INDEX(Premissas!$B$51:$D$51,$B$2)</f>
        <v>150000</v>
      </c>
      <c r="AF7" s="21" t="n">
        <f aca="false">INDEX(Premissas!$B$37:$F$37,AF$4)*INDEX(Premissas!$B$51:$D$51,$B$2)</f>
        <v>150000</v>
      </c>
      <c r="AG7" s="21" t="n">
        <f aca="false">INDEX(Premissas!$B$37:$F$37,AG$4)*INDEX(Premissas!$B$51:$D$51,$B$2)</f>
        <v>150000</v>
      </c>
      <c r="AH7" s="21" t="n">
        <f aca="false">INDEX(Premissas!$B$37:$F$37,AH$4)*INDEX(Premissas!$B$51:$D$51,$B$2)</f>
        <v>150000</v>
      </c>
      <c r="AI7" s="21" t="n">
        <f aca="false">INDEX(Premissas!$B$37:$F$37,AI$4)*INDEX(Premissas!$B$51:$D$51,$B$2)</f>
        <v>150000</v>
      </c>
      <c r="AJ7" s="21" t="n">
        <f aca="false">INDEX(Premissas!$B$37:$F$37,AJ$4)*INDEX(Premissas!$B$51:$D$51,$B$2)</f>
        <v>150000</v>
      </c>
      <c r="AK7" s="21" t="n">
        <f aca="false">INDEX(Premissas!$B$37:$F$37,AK$4)*INDEX(Premissas!$B$51:$D$51,$B$2)</f>
        <v>150000</v>
      </c>
      <c r="AL7" s="21" t="n">
        <f aca="false">INDEX(Premissas!$B$37:$F$37,AL$4)*INDEX(Premissas!$B$51:$D$51,$B$2)</f>
        <v>150000</v>
      </c>
      <c r="AM7" s="21" t="n">
        <f aca="false">INDEX(Premissas!$B$37:$F$37,AM$4)*INDEX(Premissas!$B$51:$D$51,$B$2)</f>
        <v>240000</v>
      </c>
      <c r="AN7" s="21" t="n">
        <f aca="false">INDEX(Premissas!$B$37:$F$37,AN$4)*INDEX(Premissas!$B$51:$D$51,$B$2)</f>
        <v>240000</v>
      </c>
      <c r="AO7" s="21" t="n">
        <f aca="false">INDEX(Premissas!$B$37:$F$37,AO$4)*INDEX(Premissas!$B$51:$D$51,$B$2)</f>
        <v>240000</v>
      </c>
      <c r="AP7" s="21" t="n">
        <f aca="false">INDEX(Premissas!$B$37:$F$37,AP$4)*INDEX(Premissas!$B$51:$D$51,$B$2)</f>
        <v>240000</v>
      </c>
      <c r="AQ7" s="21" t="n">
        <f aca="false">INDEX(Premissas!$B$37:$F$37,AQ$4)*INDEX(Premissas!$B$51:$D$51,$B$2)</f>
        <v>240000</v>
      </c>
      <c r="AR7" s="21" t="n">
        <f aca="false">INDEX(Premissas!$B$37:$F$37,AR$4)*INDEX(Premissas!$B$51:$D$51,$B$2)</f>
        <v>240000</v>
      </c>
      <c r="AS7" s="21" t="n">
        <f aca="false">INDEX(Premissas!$B$37:$F$37,AS$4)*INDEX(Premissas!$B$51:$D$51,$B$2)</f>
        <v>240000</v>
      </c>
      <c r="AT7" s="21" t="n">
        <f aca="false">INDEX(Premissas!$B$37:$F$37,AT$4)*INDEX(Premissas!$B$51:$D$51,$B$2)</f>
        <v>240000</v>
      </c>
      <c r="AU7" s="21" t="n">
        <f aca="false">INDEX(Premissas!$B$37:$F$37,AU$4)*INDEX(Premissas!$B$51:$D$51,$B$2)</f>
        <v>240000</v>
      </c>
      <c r="AV7" s="21" t="n">
        <f aca="false">INDEX(Premissas!$B$37:$F$37,AV$4)*INDEX(Premissas!$B$51:$D$51,$B$2)</f>
        <v>240000</v>
      </c>
      <c r="AW7" s="21" t="n">
        <f aca="false">INDEX(Premissas!$B$37:$F$37,AW$4)*INDEX(Premissas!$B$51:$D$51,$B$2)</f>
        <v>240000</v>
      </c>
      <c r="AX7" s="21" t="n">
        <f aca="false">INDEX(Premissas!$B$37:$F$37,AX$4)*INDEX(Premissas!$B$51:$D$51,$B$2)</f>
        <v>240000</v>
      </c>
      <c r="AY7" s="21" t="n">
        <f aca="false">INDEX(Premissas!$B$37:$F$37,AY$4)*INDEX(Premissas!$B$51:$D$51,$B$2)</f>
        <v>320000</v>
      </c>
      <c r="AZ7" s="21" t="n">
        <f aca="false">INDEX(Premissas!$B$37:$F$37,AZ$4)*INDEX(Premissas!$B$51:$D$51,$B$2)</f>
        <v>320000</v>
      </c>
      <c r="BA7" s="21" t="n">
        <f aca="false">INDEX(Premissas!$B$37:$F$37,BA$4)*INDEX(Premissas!$B$51:$D$51,$B$2)</f>
        <v>320000</v>
      </c>
      <c r="BB7" s="21" t="n">
        <f aca="false">INDEX(Premissas!$B$37:$F$37,BB$4)*INDEX(Premissas!$B$51:$D$51,$B$2)</f>
        <v>320000</v>
      </c>
      <c r="BC7" s="21" t="n">
        <f aca="false">INDEX(Premissas!$B$37:$F$37,BC$4)*INDEX(Premissas!$B$51:$D$51,$B$2)</f>
        <v>320000</v>
      </c>
      <c r="BD7" s="21" t="n">
        <f aca="false">INDEX(Premissas!$B$37:$F$37,BD$4)*INDEX(Premissas!$B$51:$D$51,$B$2)</f>
        <v>320000</v>
      </c>
      <c r="BE7" s="21" t="n">
        <f aca="false">INDEX(Premissas!$B$37:$F$37,BE$4)*INDEX(Premissas!$B$51:$D$51,$B$2)</f>
        <v>320000</v>
      </c>
      <c r="BF7" s="21" t="n">
        <f aca="false">INDEX(Premissas!$B$37:$F$37,BF$4)*INDEX(Premissas!$B$51:$D$51,$B$2)</f>
        <v>320000</v>
      </c>
      <c r="BG7" s="21" t="n">
        <f aca="false">INDEX(Premissas!$B$37:$F$37,BG$4)*INDEX(Premissas!$B$51:$D$51,$B$2)</f>
        <v>320000</v>
      </c>
      <c r="BH7" s="21" t="n">
        <f aca="false">INDEX(Premissas!$B$37:$F$37,BH$4)*INDEX(Premissas!$B$51:$D$51,$B$2)</f>
        <v>320000</v>
      </c>
      <c r="BI7" s="21" t="n">
        <f aca="false">INDEX(Premissas!$B$37:$F$37,BI$4)*INDEX(Premissas!$B$51:$D$51,$B$2)</f>
        <v>320000</v>
      </c>
      <c r="BJ7" s="21" t="n">
        <f aca="false">INDEX(Premissas!$B$37:$F$37,BJ$4)*INDEX(Premissas!$B$51:$D$51,$B$2)</f>
        <v>320000</v>
      </c>
    </row>
    <row r="8" customFormat="false" ht="15" hidden="false" customHeight="false" outlineLevel="0" collapsed="false">
      <c r="A8" s="5" t="s">
        <v>213</v>
      </c>
      <c r="C8" s="21" t="n">
        <f aca="false">INDEX(Premissas!$B$42:$F$42,C$4)*INDEX(Premissas!$B$47:$D$47,$B$2)</f>
        <v>1800</v>
      </c>
      <c r="D8" s="21" t="n">
        <f aca="false">INDEX(Premissas!$B$42:$F$42,D$4)*INDEX(Premissas!$B$47:$D$47,$B$2)</f>
        <v>1800</v>
      </c>
      <c r="E8" s="21" t="n">
        <f aca="false">INDEX(Premissas!$B$42:$F$42,E$4)*INDEX(Premissas!$B$47:$D$47,$B$2)</f>
        <v>1800</v>
      </c>
      <c r="F8" s="21" t="n">
        <f aca="false">INDEX(Premissas!$B$42:$F$42,F$4)*INDEX(Premissas!$B$47:$D$47,$B$2)</f>
        <v>1800</v>
      </c>
      <c r="G8" s="21" t="n">
        <f aca="false">INDEX(Premissas!$B$42:$F$42,G$4)*INDEX(Premissas!$B$47:$D$47,$B$2)</f>
        <v>1800</v>
      </c>
      <c r="H8" s="21" t="n">
        <f aca="false">INDEX(Premissas!$B$42:$F$42,H$4)*INDEX(Premissas!$B$47:$D$47,$B$2)</f>
        <v>1800</v>
      </c>
      <c r="I8" s="21" t="n">
        <f aca="false">INDEX(Premissas!$B$42:$F$42,I$4)*INDEX(Premissas!$B$47:$D$47,$B$2)</f>
        <v>1800</v>
      </c>
      <c r="J8" s="21" t="n">
        <f aca="false">INDEX(Premissas!$B$42:$F$42,J$4)*INDEX(Premissas!$B$47:$D$47,$B$2)</f>
        <v>1800</v>
      </c>
      <c r="K8" s="21" t="n">
        <f aca="false">INDEX(Premissas!$B$42:$F$42,K$4)*INDEX(Premissas!$B$47:$D$47,$B$2)</f>
        <v>1800</v>
      </c>
      <c r="L8" s="21" t="n">
        <f aca="false">INDEX(Premissas!$B$42:$F$42,L$4)*INDEX(Premissas!$B$47:$D$47,$B$2)</f>
        <v>1800</v>
      </c>
      <c r="M8" s="21" t="n">
        <f aca="false">INDEX(Premissas!$B$42:$F$42,M$4)*INDEX(Premissas!$B$47:$D$47,$B$2)</f>
        <v>1800</v>
      </c>
      <c r="N8" s="21" t="n">
        <f aca="false">INDEX(Premissas!$B$42:$F$42,N$4)*INDEX(Premissas!$B$47:$D$47,$B$2)</f>
        <v>1800</v>
      </c>
      <c r="O8" s="21" t="n">
        <f aca="false">INDEX(Premissas!$B$42:$F$42,O$4)*INDEX(Premissas!$B$47:$D$47,$B$2)</f>
        <v>1674</v>
      </c>
      <c r="P8" s="21" t="n">
        <f aca="false">INDEX(Premissas!$B$42:$F$42,P$4)*INDEX(Premissas!$B$47:$D$47,$B$2)</f>
        <v>1674</v>
      </c>
      <c r="Q8" s="21" t="n">
        <f aca="false">INDEX(Premissas!$B$42:$F$42,Q$4)*INDEX(Premissas!$B$47:$D$47,$B$2)</f>
        <v>1674</v>
      </c>
      <c r="R8" s="21" t="n">
        <f aca="false">INDEX(Premissas!$B$42:$F$42,R$4)*INDEX(Premissas!$B$47:$D$47,$B$2)</f>
        <v>1674</v>
      </c>
      <c r="S8" s="21" t="n">
        <f aca="false">INDEX(Premissas!$B$42:$F$42,S$4)*INDEX(Premissas!$B$47:$D$47,$B$2)</f>
        <v>1674</v>
      </c>
      <c r="T8" s="21" t="n">
        <f aca="false">INDEX(Premissas!$B$42:$F$42,T$4)*INDEX(Premissas!$B$47:$D$47,$B$2)</f>
        <v>1674</v>
      </c>
      <c r="U8" s="21" t="n">
        <f aca="false">INDEX(Premissas!$B$42:$F$42,U$4)*INDEX(Premissas!$B$47:$D$47,$B$2)</f>
        <v>1674</v>
      </c>
      <c r="V8" s="21" t="n">
        <f aca="false">INDEX(Premissas!$B$42:$F$42,V$4)*INDEX(Premissas!$B$47:$D$47,$B$2)</f>
        <v>1674</v>
      </c>
      <c r="W8" s="21" t="n">
        <f aca="false">INDEX(Premissas!$B$42:$F$42,W$4)*INDEX(Premissas!$B$47:$D$47,$B$2)</f>
        <v>1674</v>
      </c>
      <c r="X8" s="21" t="n">
        <f aca="false">INDEX(Premissas!$B$42:$F$42,X$4)*INDEX(Premissas!$B$47:$D$47,$B$2)</f>
        <v>1674</v>
      </c>
      <c r="Y8" s="21" t="n">
        <f aca="false">INDEX(Premissas!$B$42:$F$42,Y$4)*INDEX(Premissas!$B$47:$D$47,$B$2)</f>
        <v>1674</v>
      </c>
      <c r="Z8" s="21" t="n">
        <f aca="false">INDEX(Premissas!$B$42:$F$42,Z$4)*INDEX(Premissas!$B$47:$D$47,$B$2)</f>
        <v>1674</v>
      </c>
      <c r="AA8" s="21" t="n">
        <f aca="false">INDEX(Premissas!$B$42:$F$42,AA$4)*INDEX(Premissas!$B$47:$D$47,$B$2)</f>
        <v>1556.82</v>
      </c>
      <c r="AB8" s="21" t="n">
        <f aca="false">INDEX(Premissas!$B$42:$F$42,AB$4)*INDEX(Premissas!$B$47:$D$47,$B$2)</f>
        <v>1556.82</v>
      </c>
      <c r="AC8" s="21" t="n">
        <f aca="false">INDEX(Premissas!$B$42:$F$42,AC$4)*INDEX(Premissas!$B$47:$D$47,$B$2)</f>
        <v>1556.82</v>
      </c>
      <c r="AD8" s="21" t="n">
        <f aca="false">INDEX(Premissas!$B$42:$F$42,AD$4)*INDEX(Premissas!$B$47:$D$47,$B$2)</f>
        <v>1556.82</v>
      </c>
      <c r="AE8" s="21" t="n">
        <f aca="false">INDEX(Premissas!$B$42:$F$42,AE$4)*INDEX(Premissas!$B$47:$D$47,$B$2)</f>
        <v>1556.82</v>
      </c>
      <c r="AF8" s="21" t="n">
        <f aca="false">INDEX(Premissas!$B$42:$F$42,AF$4)*INDEX(Premissas!$B$47:$D$47,$B$2)</f>
        <v>1556.82</v>
      </c>
      <c r="AG8" s="21" t="n">
        <f aca="false">INDEX(Premissas!$B$42:$F$42,AG$4)*INDEX(Premissas!$B$47:$D$47,$B$2)</f>
        <v>1556.82</v>
      </c>
      <c r="AH8" s="21" t="n">
        <f aca="false">INDEX(Premissas!$B$42:$F$42,AH$4)*INDEX(Premissas!$B$47:$D$47,$B$2)</f>
        <v>1556.82</v>
      </c>
      <c r="AI8" s="21" t="n">
        <f aca="false">INDEX(Premissas!$B$42:$F$42,AI$4)*INDEX(Premissas!$B$47:$D$47,$B$2)</f>
        <v>1556.82</v>
      </c>
      <c r="AJ8" s="21" t="n">
        <f aca="false">INDEX(Premissas!$B$42:$F$42,AJ$4)*INDEX(Premissas!$B$47:$D$47,$B$2)</f>
        <v>1556.82</v>
      </c>
      <c r="AK8" s="21" t="n">
        <f aca="false">INDEX(Premissas!$B$42:$F$42,AK$4)*INDEX(Premissas!$B$47:$D$47,$B$2)</f>
        <v>1556.82</v>
      </c>
      <c r="AL8" s="21" t="n">
        <f aca="false">INDEX(Premissas!$B$42:$F$42,AL$4)*INDEX(Premissas!$B$47:$D$47,$B$2)</f>
        <v>1556.82</v>
      </c>
      <c r="AM8" s="21" t="n">
        <f aca="false">INDEX(Premissas!$B$42:$F$42,AM$4)*INDEX(Premissas!$B$47:$D$47,$B$2)</f>
        <v>1447.8426</v>
      </c>
      <c r="AN8" s="21" t="n">
        <f aca="false">INDEX(Premissas!$B$42:$F$42,AN$4)*INDEX(Premissas!$B$47:$D$47,$B$2)</f>
        <v>1447.8426</v>
      </c>
      <c r="AO8" s="21" t="n">
        <f aca="false">INDEX(Premissas!$B$42:$F$42,AO$4)*INDEX(Premissas!$B$47:$D$47,$B$2)</f>
        <v>1447.8426</v>
      </c>
      <c r="AP8" s="21" t="n">
        <f aca="false">INDEX(Premissas!$B$42:$F$42,AP$4)*INDEX(Premissas!$B$47:$D$47,$B$2)</f>
        <v>1447.8426</v>
      </c>
      <c r="AQ8" s="21" t="n">
        <f aca="false">INDEX(Premissas!$B$42:$F$42,AQ$4)*INDEX(Premissas!$B$47:$D$47,$B$2)</f>
        <v>1447.8426</v>
      </c>
      <c r="AR8" s="21" t="n">
        <f aca="false">INDEX(Premissas!$B$42:$F$42,AR$4)*INDEX(Premissas!$B$47:$D$47,$B$2)</f>
        <v>1447.8426</v>
      </c>
      <c r="AS8" s="21" t="n">
        <f aca="false">INDEX(Premissas!$B$42:$F$42,AS$4)*INDEX(Premissas!$B$47:$D$47,$B$2)</f>
        <v>1447.8426</v>
      </c>
      <c r="AT8" s="21" t="n">
        <f aca="false">INDEX(Premissas!$B$42:$F$42,AT$4)*INDEX(Premissas!$B$47:$D$47,$B$2)</f>
        <v>1447.8426</v>
      </c>
      <c r="AU8" s="21" t="n">
        <f aca="false">INDEX(Premissas!$B$42:$F$42,AU$4)*INDEX(Premissas!$B$47:$D$47,$B$2)</f>
        <v>1447.8426</v>
      </c>
      <c r="AV8" s="21" t="n">
        <f aca="false">INDEX(Premissas!$B$42:$F$42,AV$4)*INDEX(Premissas!$B$47:$D$47,$B$2)</f>
        <v>1447.8426</v>
      </c>
      <c r="AW8" s="21" t="n">
        <f aca="false">INDEX(Premissas!$B$42:$F$42,AW$4)*INDEX(Premissas!$B$47:$D$47,$B$2)</f>
        <v>1447.8426</v>
      </c>
      <c r="AX8" s="21" t="n">
        <f aca="false">INDEX(Premissas!$B$42:$F$42,AX$4)*INDEX(Premissas!$B$47:$D$47,$B$2)</f>
        <v>1447.8426</v>
      </c>
      <c r="AY8" s="21" t="n">
        <f aca="false">INDEX(Premissas!$B$42:$F$42,AY$4)*INDEX(Premissas!$B$47:$D$47,$B$2)</f>
        <v>1346.493618</v>
      </c>
      <c r="AZ8" s="21" t="n">
        <f aca="false">INDEX(Premissas!$B$42:$F$42,AZ$4)*INDEX(Premissas!$B$47:$D$47,$B$2)</f>
        <v>1346.493618</v>
      </c>
      <c r="BA8" s="21" t="n">
        <f aca="false">INDEX(Premissas!$B$42:$F$42,BA$4)*INDEX(Premissas!$B$47:$D$47,$B$2)</f>
        <v>1346.493618</v>
      </c>
      <c r="BB8" s="21" t="n">
        <f aca="false">INDEX(Premissas!$B$42:$F$42,BB$4)*INDEX(Premissas!$B$47:$D$47,$B$2)</f>
        <v>1346.493618</v>
      </c>
      <c r="BC8" s="21" t="n">
        <f aca="false">INDEX(Premissas!$B$42:$F$42,BC$4)*INDEX(Premissas!$B$47:$D$47,$B$2)</f>
        <v>1346.493618</v>
      </c>
      <c r="BD8" s="21" t="n">
        <f aca="false">INDEX(Premissas!$B$42:$F$42,BD$4)*INDEX(Premissas!$B$47:$D$47,$B$2)</f>
        <v>1346.493618</v>
      </c>
      <c r="BE8" s="21" t="n">
        <f aca="false">INDEX(Premissas!$B$42:$F$42,BE$4)*INDEX(Premissas!$B$47:$D$47,$B$2)</f>
        <v>1346.493618</v>
      </c>
      <c r="BF8" s="21" t="n">
        <f aca="false">INDEX(Premissas!$B$42:$F$42,BF$4)*INDEX(Premissas!$B$47:$D$47,$B$2)</f>
        <v>1346.493618</v>
      </c>
      <c r="BG8" s="21" t="n">
        <f aca="false">INDEX(Premissas!$B$42:$F$42,BG$4)*INDEX(Premissas!$B$47:$D$47,$B$2)</f>
        <v>1346.493618</v>
      </c>
      <c r="BH8" s="21" t="n">
        <f aca="false">INDEX(Premissas!$B$42:$F$42,BH$4)*INDEX(Premissas!$B$47:$D$47,$B$2)</f>
        <v>1346.493618</v>
      </c>
      <c r="BI8" s="21" t="n">
        <f aca="false">INDEX(Premissas!$B$42:$F$42,BI$4)*INDEX(Premissas!$B$47:$D$47,$B$2)</f>
        <v>1346.493618</v>
      </c>
      <c r="BJ8" s="21" t="n">
        <f aca="false">INDEX(Premissas!$B$42:$F$42,BJ$4)*INDEX(Premissas!$B$47:$D$47,$B$2)</f>
        <v>1346.493618</v>
      </c>
    </row>
    <row r="9" customFormat="false" ht="15" hidden="false" customHeight="false" outlineLevel="0" collapsed="false">
      <c r="A9" s="5" t="s">
        <v>214</v>
      </c>
      <c r="C9" s="23" t="n">
        <f aca="false">IFERROR(C7/C8,0)</f>
        <v>13.8888888888889</v>
      </c>
      <c r="D9" s="23" t="n">
        <f aca="false">IFERROR(D7/D8,0)</f>
        <v>13.8888888888889</v>
      </c>
      <c r="E9" s="23" t="n">
        <f aca="false">IFERROR(E7/E8,0)</f>
        <v>13.8888888888889</v>
      </c>
      <c r="F9" s="23" t="n">
        <f aca="false">IFERROR(F7/F8,0)</f>
        <v>13.8888888888889</v>
      </c>
      <c r="G9" s="23" t="n">
        <f aca="false">IFERROR(G7/G8,0)</f>
        <v>13.8888888888889</v>
      </c>
      <c r="H9" s="23" t="n">
        <f aca="false">IFERROR(H7/H8,0)</f>
        <v>13.8888888888889</v>
      </c>
      <c r="I9" s="23" t="n">
        <f aca="false">IFERROR(I7/I8,0)</f>
        <v>13.8888888888889</v>
      </c>
      <c r="J9" s="23" t="n">
        <f aca="false">IFERROR(J7/J8,0)</f>
        <v>13.8888888888889</v>
      </c>
      <c r="K9" s="23" t="n">
        <f aca="false">IFERROR(K7/K8,0)</f>
        <v>13.8888888888889</v>
      </c>
      <c r="L9" s="23" t="n">
        <f aca="false">IFERROR(L7/L8,0)</f>
        <v>13.8888888888889</v>
      </c>
      <c r="M9" s="23" t="n">
        <f aca="false">IFERROR(M7/M8,0)</f>
        <v>13.8888888888889</v>
      </c>
      <c r="N9" s="23" t="n">
        <f aca="false">IFERROR(N7/N8,0)</f>
        <v>13.8888888888889</v>
      </c>
      <c r="O9" s="23" t="n">
        <f aca="false">IFERROR(O7/O8,0)</f>
        <v>41.816009557945</v>
      </c>
      <c r="P9" s="23" t="n">
        <f aca="false">IFERROR(P7/P8,0)</f>
        <v>41.816009557945</v>
      </c>
      <c r="Q9" s="23" t="n">
        <f aca="false">IFERROR(Q7/Q8,0)</f>
        <v>41.816009557945</v>
      </c>
      <c r="R9" s="23" t="n">
        <f aca="false">IFERROR(R7/R8,0)</f>
        <v>41.816009557945</v>
      </c>
      <c r="S9" s="23" t="n">
        <f aca="false">IFERROR(S7/S8,0)</f>
        <v>41.816009557945</v>
      </c>
      <c r="T9" s="23" t="n">
        <f aca="false">IFERROR(T7/T8,0)</f>
        <v>41.816009557945</v>
      </c>
      <c r="U9" s="23" t="n">
        <f aca="false">IFERROR(U7/U8,0)</f>
        <v>41.816009557945</v>
      </c>
      <c r="V9" s="23" t="n">
        <f aca="false">IFERROR(V7/V8,0)</f>
        <v>41.816009557945</v>
      </c>
      <c r="W9" s="23" t="n">
        <f aca="false">IFERROR(W7/W8,0)</f>
        <v>41.816009557945</v>
      </c>
      <c r="X9" s="23" t="n">
        <f aca="false">IFERROR(X7/X8,0)</f>
        <v>41.816009557945</v>
      </c>
      <c r="Y9" s="23" t="n">
        <f aca="false">IFERROR(Y7/Y8,0)</f>
        <v>41.816009557945</v>
      </c>
      <c r="Z9" s="23" t="n">
        <f aca="false">IFERROR(Z7/Z8,0)</f>
        <v>41.816009557945</v>
      </c>
      <c r="AA9" s="23" t="n">
        <f aca="false">IFERROR(AA7/AA8,0)</f>
        <v>96.3502524376614</v>
      </c>
      <c r="AB9" s="23" t="n">
        <f aca="false">IFERROR(AB7/AB8,0)</f>
        <v>96.3502524376614</v>
      </c>
      <c r="AC9" s="23" t="n">
        <f aca="false">IFERROR(AC7/AC8,0)</f>
        <v>96.3502524376614</v>
      </c>
      <c r="AD9" s="23" t="n">
        <f aca="false">IFERROR(AD7/AD8,0)</f>
        <v>96.3502524376614</v>
      </c>
      <c r="AE9" s="23" t="n">
        <f aca="false">IFERROR(AE7/AE8,0)</f>
        <v>96.3502524376614</v>
      </c>
      <c r="AF9" s="23" t="n">
        <f aca="false">IFERROR(AF7/AF8,0)</f>
        <v>96.3502524376614</v>
      </c>
      <c r="AG9" s="23" t="n">
        <f aca="false">IFERROR(AG7/AG8,0)</f>
        <v>96.3502524376614</v>
      </c>
      <c r="AH9" s="23" t="n">
        <f aca="false">IFERROR(AH7/AH8,0)</f>
        <v>96.3502524376614</v>
      </c>
      <c r="AI9" s="23" t="n">
        <f aca="false">IFERROR(AI7/AI8,0)</f>
        <v>96.3502524376614</v>
      </c>
      <c r="AJ9" s="23" t="n">
        <f aca="false">IFERROR(AJ7/AJ8,0)</f>
        <v>96.3502524376614</v>
      </c>
      <c r="AK9" s="23" t="n">
        <f aca="false">IFERROR(AK7/AK8,0)</f>
        <v>96.3502524376614</v>
      </c>
      <c r="AL9" s="23" t="n">
        <f aca="false">IFERROR(AL7/AL8,0)</f>
        <v>96.3502524376614</v>
      </c>
      <c r="AM9" s="23" t="n">
        <f aca="false">IFERROR(AM7/AM8,0)</f>
        <v>165.763875161568</v>
      </c>
      <c r="AN9" s="23" t="n">
        <f aca="false">IFERROR(AN7/AN8,0)</f>
        <v>165.763875161568</v>
      </c>
      <c r="AO9" s="23" t="n">
        <f aca="false">IFERROR(AO7/AO8,0)</f>
        <v>165.763875161568</v>
      </c>
      <c r="AP9" s="23" t="n">
        <f aca="false">IFERROR(AP7/AP8,0)</f>
        <v>165.763875161568</v>
      </c>
      <c r="AQ9" s="23" t="n">
        <f aca="false">IFERROR(AQ7/AQ8,0)</f>
        <v>165.763875161568</v>
      </c>
      <c r="AR9" s="23" t="n">
        <f aca="false">IFERROR(AR7/AR8,0)</f>
        <v>165.763875161568</v>
      </c>
      <c r="AS9" s="23" t="n">
        <f aca="false">IFERROR(AS7/AS8,0)</f>
        <v>165.763875161568</v>
      </c>
      <c r="AT9" s="23" t="n">
        <f aca="false">IFERROR(AT7/AT8,0)</f>
        <v>165.763875161568</v>
      </c>
      <c r="AU9" s="23" t="n">
        <f aca="false">IFERROR(AU7/AU8,0)</f>
        <v>165.763875161568</v>
      </c>
      <c r="AV9" s="23" t="n">
        <f aca="false">IFERROR(AV7/AV8,0)</f>
        <v>165.763875161568</v>
      </c>
      <c r="AW9" s="23" t="n">
        <f aca="false">IFERROR(AW7/AW8,0)</f>
        <v>165.763875161568</v>
      </c>
      <c r="AX9" s="23" t="n">
        <f aca="false">IFERROR(AX7/AX8,0)</f>
        <v>165.763875161568</v>
      </c>
      <c r="AY9" s="23" t="n">
        <f aca="false">IFERROR(AY7/AY8,0)</f>
        <v>237.654301306908</v>
      </c>
      <c r="AZ9" s="23" t="n">
        <f aca="false">IFERROR(AZ7/AZ8,0)</f>
        <v>237.654301306908</v>
      </c>
      <c r="BA9" s="23" t="n">
        <f aca="false">IFERROR(BA7/BA8,0)</f>
        <v>237.654301306908</v>
      </c>
      <c r="BB9" s="23" t="n">
        <f aca="false">IFERROR(BB7/BB8,0)</f>
        <v>237.654301306908</v>
      </c>
      <c r="BC9" s="23" t="n">
        <f aca="false">IFERROR(BC7/BC8,0)</f>
        <v>237.654301306908</v>
      </c>
      <c r="BD9" s="23" t="n">
        <f aca="false">IFERROR(BD7/BD8,0)</f>
        <v>237.654301306908</v>
      </c>
      <c r="BE9" s="23" t="n">
        <f aca="false">IFERROR(BE7/BE8,0)</f>
        <v>237.654301306908</v>
      </c>
      <c r="BF9" s="23" t="n">
        <f aca="false">IFERROR(BF7/BF8,0)</f>
        <v>237.654301306908</v>
      </c>
      <c r="BG9" s="23" t="n">
        <f aca="false">IFERROR(BG7/BG8,0)</f>
        <v>237.654301306908</v>
      </c>
      <c r="BH9" s="23" t="n">
        <f aca="false">IFERROR(BH7/BH8,0)</f>
        <v>237.654301306908</v>
      </c>
      <c r="BI9" s="23" t="n">
        <f aca="false">IFERROR(BI7/BI8,0)</f>
        <v>237.654301306908</v>
      </c>
      <c r="BJ9" s="23" t="n">
        <f aca="false">IFERROR(BJ7/BJ8,0)</f>
        <v>237.654301306908</v>
      </c>
    </row>
    <row r="10" customFormat="false" ht="15" hidden="false" customHeight="false" outlineLevel="0" collapsed="false">
      <c r="A10" s="5" t="s">
        <v>215</v>
      </c>
      <c r="C10" s="27" t="n">
        <f aca="false">INDEX(Premissas!$B$38:$F$38,C$4)*INDEX(Premissas!$B$49:$D$49,$B$2)</f>
        <v>4</v>
      </c>
      <c r="D10" s="27" t="n">
        <f aca="false">INDEX(Premissas!$B$38:$F$38,D$4)*INDEX(Premissas!$B$49:$D$49,$B$2)</f>
        <v>4</v>
      </c>
      <c r="E10" s="27" t="n">
        <f aca="false">INDEX(Premissas!$B$38:$F$38,E$4)*INDEX(Premissas!$B$49:$D$49,$B$2)</f>
        <v>4</v>
      </c>
      <c r="F10" s="27" t="n">
        <f aca="false">INDEX(Premissas!$B$38:$F$38,F$4)*INDEX(Premissas!$B$49:$D$49,$B$2)</f>
        <v>4</v>
      </c>
      <c r="G10" s="27" t="n">
        <f aca="false">INDEX(Premissas!$B$38:$F$38,G$4)*INDEX(Premissas!$B$49:$D$49,$B$2)</f>
        <v>4</v>
      </c>
      <c r="H10" s="27" t="n">
        <f aca="false">INDEX(Premissas!$B$38:$F$38,H$4)*INDEX(Premissas!$B$49:$D$49,$B$2)</f>
        <v>4</v>
      </c>
      <c r="I10" s="27" t="n">
        <f aca="false">INDEX(Premissas!$B$38:$F$38,I$4)*INDEX(Premissas!$B$49:$D$49,$B$2)</f>
        <v>4</v>
      </c>
      <c r="J10" s="27" t="n">
        <f aca="false">INDEX(Premissas!$B$38:$F$38,J$4)*INDEX(Premissas!$B$49:$D$49,$B$2)</f>
        <v>4</v>
      </c>
      <c r="K10" s="27" t="n">
        <f aca="false">INDEX(Premissas!$B$38:$F$38,K$4)*INDEX(Premissas!$B$49:$D$49,$B$2)</f>
        <v>4</v>
      </c>
      <c r="L10" s="27" t="n">
        <f aca="false">INDEX(Premissas!$B$38:$F$38,L$4)*INDEX(Premissas!$B$49:$D$49,$B$2)</f>
        <v>4</v>
      </c>
      <c r="M10" s="27" t="n">
        <f aca="false">INDEX(Premissas!$B$38:$F$38,M$4)*INDEX(Premissas!$B$49:$D$49,$B$2)</f>
        <v>4</v>
      </c>
      <c r="N10" s="27" t="n">
        <f aca="false">INDEX(Premissas!$B$38:$F$38,N$4)*INDEX(Premissas!$B$49:$D$49,$B$2)</f>
        <v>4</v>
      </c>
      <c r="O10" s="27" t="n">
        <f aca="false">INDEX(Premissas!$B$38:$F$38,O$4)*INDEX(Premissas!$B$49:$D$49,$B$2)</f>
        <v>12</v>
      </c>
      <c r="P10" s="27" t="n">
        <f aca="false">INDEX(Premissas!$B$38:$F$38,P$4)*INDEX(Premissas!$B$49:$D$49,$B$2)</f>
        <v>12</v>
      </c>
      <c r="Q10" s="27" t="n">
        <f aca="false">INDEX(Premissas!$B$38:$F$38,Q$4)*INDEX(Premissas!$B$49:$D$49,$B$2)</f>
        <v>12</v>
      </c>
      <c r="R10" s="27" t="n">
        <f aca="false">INDEX(Premissas!$B$38:$F$38,R$4)*INDEX(Premissas!$B$49:$D$49,$B$2)</f>
        <v>12</v>
      </c>
      <c r="S10" s="27" t="n">
        <f aca="false">INDEX(Premissas!$B$38:$F$38,S$4)*INDEX(Premissas!$B$49:$D$49,$B$2)</f>
        <v>12</v>
      </c>
      <c r="T10" s="27" t="n">
        <f aca="false">INDEX(Premissas!$B$38:$F$38,T$4)*INDEX(Premissas!$B$49:$D$49,$B$2)</f>
        <v>12</v>
      </c>
      <c r="U10" s="27" t="n">
        <f aca="false">INDEX(Premissas!$B$38:$F$38,U$4)*INDEX(Premissas!$B$49:$D$49,$B$2)</f>
        <v>12</v>
      </c>
      <c r="V10" s="27" t="n">
        <f aca="false">INDEX(Premissas!$B$38:$F$38,V$4)*INDEX(Premissas!$B$49:$D$49,$B$2)</f>
        <v>12</v>
      </c>
      <c r="W10" s="27" t="n">
        <f aca="false">INDEX(Premissas!$B$38:$F$38,W$4)*INDEX(Premissas!$B$49:$D$49,$B$2)</f>
        <v>12</v>
      </c>
      <c r="X10" s="27" t="n">
        <f aca="false">INDEX(Premissas!$B$38:$F$38,X$4)*INDEX(Premissas!$B$49:$D$49,$B$2)</f>
        <v>12</v>
      </c>
      <c r="Y10" s="27" t="n">
        <f aca="false">INDEX(Premissas!$B$38:$F$38,Y$4)*INDEX(Premissas!$B$49:$D$49,$B$2)</f>
        <v>12</v>
      </c>
      <c r="Z10" s="27" t="n">
        <f aca="false">INDEX(Premissas!$B$38:$F$38,Z$4)*INDEX(Premissas!$B$49:$D$49,$B$2)</f>
        <v>12</v>
      </c>
      <c r="AA10" s="27" t="n">
        <f aca="false">INDEX(Premissas!$B$38:$F$38,AA$4)*INDEX(Premissas!$B$49:$D$49,$B$2)</f>
        <v>25</v>
      </c>
      <c r="AB10" s="27" t="n">
        <f aca="false">INDEX(Premissas!$B$38:$F$38,AB$4)*INDEX(Premissas!$B$49:$D$49,$B$2)</f>
        <v>25</v>
      </c>
      <c r="AC10" s="27" t="n">
        <f aca="false">INDEX(Premissas!$B$38:$F$38,AC$4)*INDEX(Premissas!$B$49:$D$49,$B$2)</f>
        <v>25</v>
      </c>
      <c r="AD10" s="27" t="n">
        <f aca="false">INDEX(Premissas!$B$38:$F$38,AD$4)*INDEX(Premissas!$B$49:$D$49,$B$2)</f>
        <v>25</v>
      </c>
      <c r="AE10" s="27" t="n">
        <f aca="false">INDEX(Premissas!$B$38:$F$38,AE$4)*INDEX(Premissas!$B$49:$D$49,$B$2)</f>
        <v>25</v>
      </c>
      <c r="AF10" s="27" t="n">
        <f aca="false">INDEX(Premissas!$B$38:$F$38,AF$4)*INDEX(Premissas!$B$49:$D$49,$B$2)</f>
        <v>25</v>
      </c>
      <c r="AG10" s="27" t="n">
        <f aca="false">INDEX(Premissas!$B$38:$F$38,AG$4)*INDEX(Premissas!$B$49:$D$49,$B$2)</f>
        <v>25</v>
      </c>
      <c r="AH10" s="27" t="n">
        <f aca="false">INDEX(Premissas!$B$38:$F$38,AH$4)*INDEX(Premissas!$B$49:$D$49,$B$2)</f>
        <v>25</v>
      </c>
      <c r="AI10" s="27" t="n">
        <f aca="false">INDEX(Premissas!$B$38:$F$38,AI$4)*INDEX(Premissas!$B$49:$D$49,$B$2)</f>
        <v>25</v>
      </c>
      <c r="AJ10" s="27" t="n">
        <f aca="false">INDEX(Premissas!$B$38:$F$38,AJ$4)*INDEX(Premissas!$B$49:$D$49,$B$2)</f>
        <v>25</v>
      </c>
      <c r="AK10" s="27" t="n">
        <f aca="false">INDEX(Premissas!$B$38:$F$38,AK$4)*INDEX(Premissas!$B$49:$D$49,$B$2)</f>
        <v>25</v>
      </c>
      <c r="AL10" s="27" t="n">
        <f aca="false">INDEX(Premissas!$B$38:$F$38,AL$4)*INDEX(Premissas!$B$49:$D$49,$B$2)</f>
        <v>25</v>
      </c>
      <c r="AM10" s="27" t="n">
        <f aca="false">INDEX(Premissas!$B$38:$F$38,AM$4)*INDEX(Premissas!$B$49:$D$49,$B$2)</f>
        <v>40</v>
      </c>
      <c r="AN10" s="27" t="n">
        <f aca="false">INDEX(Premissas!$B$38:$F$38,AN$4)*INDEX(Premissas!$B$49:$D$49,$B$2)</f>
        <v>40</v>
      </c>
      <c r="AO10" s="27" t="n">
        <f aca="false">INDEX(Premissas!$B$38:$F$38,AO$4)*INDEX(Premissas!$B$49:$D$49,$B$2)</f>
        <v>40</v>
      </c>
      <c r="AP10" s="27" t="n">
        <f aca="false">INDEX(Premissas!$B$38:$F$38,AP$4)*INDEX(Premissas!$B$49:$D$49,$B$2)</f>
        <v>40</v>
      </c>
      <c r="AQ10" s="27" t="n">
        <f aca="false">INDEX(Premissas!$B$38:$F$38,AQ$4)*INDEX(Premissas!$B$49:$D$49,$B$2)</f>
        <v>40</v>
      </c>
      <c r="AR10" s="27" t="n">
        <f aca="false">INDEX(Premissas!$B$38:$F$38,AR$4)*INDEX(Premissas!$B$49:$D$49,$B$2)</f>
        <v>40</v>
      </c>
      <c r="AS10" s="27" t="n">
        <f aca="false">INDEX(Premissas!$B$38:$F$38,AS$4)*INDEX(Premissas!$B$49:$D$49,$B$2)</f>
        <v>40</v>
      </c>
      <c r="AT10" s="27" t="n">
        <f aca="false">INDEX(Premissas!$B$38:$F$38,AT$4)*INDEX(Premissas!$B$49:$D$49,$B$2)</f>
        <v>40</v>
      </c>
      <c r="AU10" s="27" t="n">
        <f aca="false">INDEX(Premissas!$B$38:$F$38,AU$4)*INDEX(Premissas!$B$49:$D$49,$B$2)</f>
        <v>40</v>
      </c>
      <c r="AV10" s="27" t="n">
        <f aca="false">INDEX(Premissas!$B$38:$F$38,AV$4)*INDEX(Premissas!$B$49:$D$49,$B$2)</f>
        <v>40</v>
      </c>
      <c r="AW10" s="27" t="n">
        <f aca="false">INDEX(Premissas!$B$38:$F$38,AW$4)*INDEX(Premissas!$B$49:$D$49,$B$2)</f>
        <v>40</v>
      </c>
      <c r="AX10" s="27" t="n">
        <f aca="false">INDEX(Premissas!$B$38:$F$38,AX$4)*INDEX(Premissas!$B$49:$D$49,$B$2)</f>
        <v>40</v>
      </c>
      <c r="AY10" s="27" t="n">
        <f aca="false">INDEX(Premissas!$B$38:$F$38,AY$4)*INDEX(Premissas!$B$49:$D$49,$B$2)</f>
        <v>55</v>
      </c>
      <c r="AZ10" s="27" t="n">
        <f aca="false">INDEX(Premissas!$B$38:$F$38,AZ$4)*INDEX(Premissas!$B$49:$D$49,$B$2)</f>
        <v>55</v>
      </c>
      <c r="BA10" s="27" t="n">
        <f aca="false">INDEX(Premissas!$B$38:$F$38,BA$4)*INDEX(Premissas!$B$49:$D$49,$B$2)</f>
        <v>55</v>
      </c>
      <c r="BB10" s="27" t="n">
        <f aca="false">INDEX(Premissas!$B$38:$F$38,BB$4)*INDEX(Premissas!$B$49:$D$49,$B$2)</f>
        <v>55</v>
      </c>
      <c r="BC10" s="27" t="n">
        <f aca="false">INDEX(Premissas!$B$38:$F$38,BC$4)*INDEX(Premissas!$B$49:$D$49,$B$2)</f>
        <v>55</v>
      </c>
      <c r="BD10" s="27" t="n">
        <f aca="false">INDEX(Premissas!$B$38:$F$38,BD$4)*INDEX(Premissas!$B$49:$D$49,$B$2)</f>
        <v>55</v>
      </c>
      <c r="BE10" s="27" t="n">
        <f aca="false">INDEX(Premissas!$B$38:$F$38,BE$4)*INDEX(Premissas!$B$49:$D$49,$B$2)</f>
        <v>55</v>
      </c>
      <c r="BF10" s="27" t="n">
        <f aca="false">INDEX(Premissas!$B$38:$F$38,BF$4)*INDEX(Premissas!$B$49:$D$49,$B$2)</f>
        <v>55</v>
      </c>
      <c r="BG10" s="27" t="n">
        <f aca="false">INDEX(Premissas!$B$38:$F$38,BG$4)*INDEX(Premissas!$B$49:$D$49,$B$2)</f>
        <v>55</v>
      </c>
      <c r="BH10" s="27" t="n">
        <f aca="false">INDEX(Premissas!$B$38:$F$38,BH$4)*INDEX(Premissas!$B$49:$D$49,$B$2)</f>
        <v>55</v>
      </c>
      <c r="BI10" s="27" t="n">
        <f aca="false">INDEX(Premissas!$B$38:$F$38,BI$4)*INDEX(Premissas!$B$49:$D$49,$B$2)</f>
        <v>55</v>
      </c>
      <c r="BJ10" s="27" t="n">
        <f aca="false">INDEX(Premissas!$B$38:$F$38,BJ$4)*INDEX(Premissas!$B$49:$D$49,$B$2)</f>
        <v>55</v>
      </c>
    </row>
    <row r="11" customFormat="false" ht="15" hidden="false" customHeight="false" outlineLevel="0" collapsed="false">
      <c r="A11" s="5" t="s">
        <v>216</v>
      </c>
      <c r="C11" s="23" t="n">
        <f aca="false">0</f>
        <v>0</v>
      </c>
      <c r="D11" s="27" t="n">
        <f aca="false">C26*Premissas!$B$43*INDEX(Premissas!$B$49:$D$49,$B$2)</f>
        <v>0.178888888888889</v>
      </c>
      <c r="E11" s="27" t="n">
        <f aca="false">D26*Premissas!$B$43*INDEX(Premissas!$B$49:$D$49,$B$2)</f>
        <v>0.352858333333333</v>
      </c>
      <c r="F11" s="27" t="n">
        <f aca="false">E26*Premissas!$B$43*INDEX(Premissas!$B$49:$D$49,$B$2)</f>
        <v>0.522062625</v>
      </c>
      <c r="G11" s="27" t="n">
        <f aca="false">F26*Premissas!$B$43*INDEX(Premissas!$B$49:$D$49,$B$2)</f>
        <v>0.68665051</v>
      </c>
      <c r="H11" s="27" t="n">
        <f aca="false">G26*Premissas!$B$43*INDEX(Premissas!$B$49:$D$49,$B$2)</f>
        <v>0.846765411437847</v>
      </c>
      <c r="I11" s="27" t="n">
        <f aca="false">H26*Premissas!$B$43*INDEX(Premissas!$B$49:$D$49,$B$2)</f>
        <v>1.00254564235716</v>
      </c>
      <c r="J11" s="27" t="n">
        <f aca="false">I26*Premissas!$B$43*INDEX(Premissas!$B$49:$D$49,$B$2)</f>
        <v>1.15412460951504</v>
      </c>
      <c r="K11" s="27" t="n">
        <f aca="false">J26*Premissas!$B$43*INDEX(Premissas!$B$49:$D$49,$B$2)</f>
        <v>1.30163100839729</v>
      </c>
      <c r="L11" s="27" t="n">
        <f aca="false">K26*Premissas!$B$43*INDEX(Premissas!$B$49:$D$49,$B$2)</f>
        <v>1.44518900986749</v>
      </c>
      <c r="M11" s="27" t="n">
        <f aca="false">L26*Premissas!$B$43*INDEX(Premissas!$B$49:$D$49,$B$2)</f>
        <v>1.5849184388252</v>
      </c>
      <c r="N11" s="27" t="n">
        <f aca="false">M26*Premissas!$B$43*INDEX(Premissas!$B$49:$D$49,$B$2)</f>
        <v>1.72093494523102</v>
      </c>
      <c r="O11" s="27" t="n">
        <f aca="false">N26*Premissas!$B$43*INDEX(Premissas!$B$49:$D$49,$B$2)</f>
        <v>1.85335016784013</v>
      </c>
      <c r="P11" s="27" t="n">
        <f aca="false">O26*Premissas!$B$43*INDEX(Premissas!$B$49:$D$49,$B$2)</f>
        <v>2.34702315105549</v>
      </c>
      <c r="Q11" s="27" t="n">
        <f aca="false">P26*Premissas!$B$43*INDEX(Premissas!$B$49:$D$49,$B$2)</f>
        <v>2.82942453700374</v>
      </c>
      <c r="R11" s="27" t="n">
        <f aca="false">Q26*Premissas!$B$43*INDEX(Premissas!$B$49:$D$49,$B$2)</f>
        <v>3.30085359313401</v>
      </c>
      <c r="S11" s="27" t="n">
        <f aca="false">R26*Premissas!$B$43*INDEX(Premissas!$B$49:$D$49,$B$2)</f>
        <v>3.76160019261182</v>
      </c>
      <c r="T11" s="27" t="n">
        <f aca="false">S26*Premissas!$B$43*INDEX(Premissas!$B$49:$D$49,$B$2)</f>
        <v>4.21194515318384</v>
      </c>
      <c r="U11" s="27" t="n">
        <f aca="false">T26*Premissas!$B$43*INDEX(Premissas!$B$49:$D$49,$B$2)</f>
        <v>4.65216056266994</v>
      </c>
      <c r="V11" s="27" t="n">
        <f aca="false">U26*Premissas!$B$43*INDEX(Premissas!$B$49:$D$49,$B$2)</f>
        <v>5.08251009163704</v>
      </c>
      <c r="W11" s="27" t="n">
        <f aca="false">V26*Premissas!$B$43*INDEX(Premissas!$B$49:$D$49,$B$2)</f>
        <v>5.5032492937853</v>
      </c>
      <c r="X11" s="27" t="n">
        <f aca="false">W26*Premissas!$B$43*INDEX(Premissas!$B$49:$D$49,$B$2)</f>
        <v>5.91462589455511</v>
      </c>
      <c r="Y11" s="27" t="n">
        <f aca="false">X26*Premissas!$B$43*INDEX(Premissas!$B$49:$D$49,$B$2)</f>
        <v>6.31688006844139</v>
      </c>
      <c r="Z11" s="27" t="n">
        <f aca="false">Y26*Premissas!$B$43*INDEX(Premissas!$B$49:$D$49,$B$2)</f>
        <v>6.71024470548131</v>
      </c>
      <c r="AA11" s="27" t="n">
        <f aca="false">Z26*Premissas!$B$43*INDEX(Premissas!$B$49:$D$49,$B$2)</f>
        <v>7.09494566736163</v>
      </c>
      <c r="AB11" s="27" t="n">
        <f aca="false">AA26*Premissas!$B$43*INDEX(Premissas!$B$49:$D$49,$B$2)</f>
        <v>8.16517271725357</v>
      </c>
      <c r="AC11" s="27" t="n">
        <f aca="false">AB26*Premissas!$B$43*INDEX(Premissas!$B$49:$D$49,$B$2)</f>
        <v>9.21531714394645</v>
      </c>
      <c r="AD11" s="27" t="n">
        <f aca="false">AC26*Premissas!$B$43*INDEX(Premissas!$B$49:$D$49,$B$2)</f>
        <v>10.2458265847047</v>
      </c>
      <c r="AE11" s="27" t="n">
        <f aca="false">AD26*Premissas!$B$43*INDEX(Premissas!$B$49:$D$49,$B$2)</f>
        <v>11.2571364377717</v>
      </c>
      <c r="AF11" s="27" t="n">
        <f aca="false">AE26*Premissas!$B$43*INDEX(Premissas!$B$49:$D$49,$B$2)</f>
        <v>12.2496702600211</v>
      </c>
      <c r="AG11" s="27" t="n">
        <f aca="false">AF26*Premissas!$B$43*INDEX(Premissas!$B$49:$D$49,$B$2)</f>
        <v>13.2238401502119</v>
      </c>
      <c r="AH11" s="27" t="n">
        <f aca="false">AG26*Premissas!$B$43*INDEX(Premissas!$B$49:$D$49,$B$2)</f>
        <v>14.1800471183972</v>
      </c>
      <c r="AI11" s="27" t="n">
        <f aca="false">AH26*Premissas!$B$43*INDEX(Premissas!$B$49:$D$49,$B$2)</f>
        <v>15.1186814420177</v>
      </c>
      <c r="AJ11" s="27" t="n">
        <f aca="false">AI26*Premissas!$B$43*INDEX(Premissas!$B$49:$D$49,$B$2)</f>
        <v>16.040123009188</v>
      </c>
      <c r="AK11" s="27" t="n">
        <f aca="false">AJ26*Premissas!$B$43*INDEX(Premissas!$B$49:$D$49,$B$2)</f>
        <v>16.9447416496639</v>
      </c>
      <c r="AL11" s="27" t="n">
        <f aca="false">AK26*Premissas!$B$43*INDEX(Premissas!$B$49:$D$49,$B$2)</f>
        <v>17.832897453962</v>
      </c>
      <c r="AM11" s="27" t="n">
        <f aca="false">AL26*Premissas!$B$43*INDEX(Premissas!$B$49:$D$49,$B$2)</f>
        <v>18.7049410810805</v>
      </c>
      <c r="AN11" s="27" t="n">
        <f aca="false">AM26*Premissas!$B$43*INDEX(Premissas!$B$49:$D$49,$B$2)</f>
        <v>20.4488925993768</v>
      </c>
      <c r="AO11" s="27" t="n">
        <f aca="false">AN26*Premissas!$B$43*INDEX(Premissas!$B$49:$D$49,$B$2)</f>
        <v>22.1650571108284</v>
      </c>
      <c r="AP11" s="27" t="n">
        <f aca="false">AO26*Premissas!$B$43*INDEX(Premissas!$B$49:$D$49,$B$2)</f>
        <v>23.8539686026123</v>
      </c>
      <c r="AQ11" s="27" t="n">
        <f aca="false">AP26*Premissas!$B$43*INDEX(Premissas!$B$49:$D$49,$B$2)</f>
        <v>25.5161481106053</v>
      </c>
      <c r="AR11" s="27" t="n">
        <f aca="false">AQ26*Premissas!$B$43*INDEX(Premissas!$B$49:$D$49,$B$2)</f>
        <v>27.1521041020174</v>
      </c>
      <c r="AS11" s="27" t="n">
        <f aca="false">AR26*Premissas!$B$43*INDEX(Premissas!$B$49:$D$49,$B$2)</f>
        <v>28.7623328452856</v>
      </c>
      <c r="AT11" s="27" t="n">
        <f aca="false">AS26*Premissas!$B$43*INDEX(Premissas!$B$49:$D$49,$B$2)</f>
        <v>30.3473187676772</v>
      </c>
      <c r="AU11" s="27" t="n">
        <f aca="false">AT26*Premissas!$B$43*INDEX(Premissas!$B$49:$D$49,$B$2)</f>
        <v>31.9075348010367</v>
      </c>
      <c r="AV11" s="27" t="n">
        <f aca="false">AU26*Premissas!$B$43*INDEX(Premissas!$B$49:$D$49,$B$2)</f>
        <v>33.4434427160942</v>
      </c>
      <c r="AW11" s="27" t="n">
        <f aca="false">AV26*Premissas!$B$43*INDEX(Premissas!$B$49:$D$49,$B$2)</f>
        <v>34.9554934457372</v>
      </c>
      <c r="AX11" s="27" t="n">
        <f aca="false">AW26*Premissas!$B$43*INDEX(Premissas!$B$49:$D$49,$B$2)</f>
        <v>36.4441273976351</v>
      </c>
      <c r="AY11" s="27" t="n">
        <f aca="false">AX26*Premissas!$B$43*INDEX(Premissas!$B$49:$D$49,$B$2)</f>
        <v>37.9097747565895</v>
      </c>
      <c r="AZ11" s="27" t="n">
        <f aca="false">AY26*Premissas!$B$43*INDEX(Premissas!$B$49:$D$49,$B$2)</f>
        <v>40.3012524767285</v>
      </c>
      <c r="BA11" s="27" t="n">
        <f aca="false">AZ26*Premissas!$B$43*INDEX(Premissas!$B$49:$D$49,$B$2)</f>
        <v>42.6615077971777</v>
      </c>
      <c r="BB11" s="27" t="n">
        <f aca="false">BA26*Premissas!$B$43*INDEX(Premissas!$B$49:$D$49,$B$2)</f>
        <v>44.9910368262757</v>
      </c>
      <c r="BC11" s="27" t="n">
        <f aca="false">BB26*Premissas!$B$43*INDEX(Premissas!$B$49:$D$49,$B$2)</f>
        <v>47.2903253541301</v>
      </c>
      <c r="BD11" s="27" t="n">
        <f aca="false">BC26*Premissas!$B$43*INDEX(Premissas!$B$49:$D$49,$B$2)</f>
        <v>49.5598491250945</v>
      </c>
      <c r="BE11" s="27" t="n">
        <f aca="false">BD26*Premissas!$B$43*INDEX(Premissas!$B$49:$D$49,$B$2)</f>
        <v>51.8000741019477</v>
      </c>
      <c r="BF11" s="27" t="n">
        <f aca="false">BE26*Premissas!$B$43*INDEX(Premissas!$B$49:$D$49,$B$2)</f>
        <v>54.0114567220495</v>
      </c>
      <c r="BG11" s="27" t="n">
        <f aca="false">BF26*Premissas!$B$43*INDEX(Premissas!$B$49:$D$49,$B$2)</f>
        <v>56.1944441457303</v>
      </c>
      <c r="BH11" s="27" t="n">
        <f aca="false">BG26*Premissas!$B$43*INDEX(Premissas!$B$49:$D$49,$B$2)</f>
        <v>58.3494744971695</v>
      </c>
      <c r="BI11" s="27" t="n">
        <f aca="false">BH26*Premissas!$B$43*INDEX(Premissas!$B$49:$D$49,$B$2)</f>
        <v>60.4769770980035</v>
      </c>
      <c r="BJ11" s="27" t="n">
        <f aca="false">BI26*Premissas!$B$43*INDEX(Premissas!$B$49:$D$49,$B$2)</f>
        <v>62.5773726939016</v>
      </c>
    </row>
    <row r="12" customFormat="false" ht="15" hidden="false" customHeight="false" outlineLevel="0" collapsed="false">
      <c r="A12" s="18" t="s">
        <v>217</v>
      </c>
      <c r="C12" s="28" t="n">
        <f aca="false">C9+C10+C11</f>
        <v>17.8888888888889</v>
      </c>
      <c r="D12" s="28" t="n">
        <f aca="false">D9+D10+D11</f>
        <v>18.0677777777778</v>
      </c>
      <c r="E12" s="28" t="n">
        <f aca="false">E9+E10+E11</f>
        <v>18.2417472222222</v>
      </c>
      <c r="F12" s="28" t="n">
        <f aca="false">F9+F10+F11</f>
        <v>18.4109515138889</v>
      </c>
      <c r="G12" s="28" t="n">
        <f aca="false">G9+G10+G11</f>
        <v>18.5755393988889</v>
      </c>
      <c r="H12" s="28" t="n">
        <f aca="false">H9+H10+H11</f>
        <v>18.7356543003267</v>
      </c>
      <c r="I12" s="28" t="n">
        <f aca="false">I9+I10+I11</f>
        <v>18.8914345312461</v>
      </c>
      <c r="J12" s="28" t="n">
        <f aca="false">J9+J10+J11</f>
        <v>19.0430134984039</v>
      </c>
      <c r="K12" s="28" t="n">
        <f aca="false">K9+K10+K11</f>
        <v>19.1905198972862</v>
      </c>
      <c r="L12" s="28" t="n">
        <f aca="false">L9+L10+L11</f>
        <v>19.3340778987564</v>
      </c>
      <c r="M12" s="28" t="n">
        <f aca="false">M9+M10+M11</f>
        <v>19.4738073277141</v>
      </c>
      <c r="N12" s="28" t="n">
        <f aca="false">N9+N10+N11</f>
        <v>19.6098238341199</v>
      </c>
      <c r="O12" s="28" t="n">
        <f aca="false">O9+O10+O11</f>
        <v>55.6693597257852</v>
      </c>
      <c r="P12" s="28" t="n">
        <f aca="false">P9+P10+P11</f>
        <v>56.1630327090005</v>
      </c>
      <c r="Q12" s="28" t="n">
        <f aca="false">Q9+Q10+Q11</f>
        <v>56.6454340949488</v>
      </c>
      <c r="R12" s="28" t="n">
        <f aca="false">R9+R10+R11</f>
        <v>57.1168631510791</v>
      </c>
      <c r="S12" s="28" t="n">
        <f aca="false">S9+S10+S11</f>
        <v>57.5776097505569</v>
      </c>
      <c r="T12" s="28" t="n">
        <f aca="false">T9+T10+T11</f>
        <v>58.0279547111289</v>
      </c>
      <c r="U12" s="28" t="n">
        <f aca="false">U9+U10+U11</f>
        <v>58.468170120615</v>
      </c>
      <c r="V12" s="28" t="n">
        <f aca="false">V9+V10+V11</f>
        <v>58.8985196495821</v>
      </c>
      <c r="W12" s="28" t="n">
        <f aca="false">W9+W10+W11</f>
        <v>59.3192588517303</v>
      </c>
      <c r="X12" s="28" t="n">
        <f aca="false">X9+X10+X11</f>
        <v>59.7306354525002</v>
      </c>
      <c r="Y12" s="28" t="n">
        <f aca="false">Y9+Y10+Y11</f>
        <v>60.1328896263864</v>
      </c>
      <c r="Z12" s="28" t="n">
        <f aca="false">Z9+Z10+Z11</f>
        <v>60.5262542634264</v>
      </c>
      <c r="AA12" s="28" t="n">
        <f aca="false">AA9+AA10+AA11</f>
        <v>128.445198105023</v>
      </c>
      <c r="AB12" s="28" t="n">
        <f aca="false">AB9+AB10+AB11</f>
        <v>129.515425154915</v>
      </c>
      <c r="AC12" s="28" t="n">
        <f aca="false">AC9+AC10+AC11</f>
        <v>130.565569581608</v>
      </c>
      <c r="AD12" s="28" t="n">
        <f aca="false">AD9+AD10+AD11</f>
        <v>131.596079022366</v>
      </c>
      <c r="AE12" s="28" t="n">
        <f aca="false">AE9+AE10+AE11</f>
        <v>132.607388875433</v>
      </c>
      <c r="AF12" s="28" t="n">
        <f aca="false">AF9+AF10+AF11</f>
        <v>133.599922697683</v>
      </c>
      <c r="AG12" s="28" t="n">
        <f aca="false">AG9+AG10+AG11</f>
        <v>134.574092587873</v>
      </c>
      <c r="AH12" s="28" t="n">
        <f aca="false">AH9+AH10+AH11</f>
        <v>135.530299556059</v>
      </c>
      <c r="AI12" s="28" t="n">
        <f aca="false">AI9+AI10+AI11</f>
        <v>136.468933879679</v>
      </c>
      <c r="AJ12" s="28" t="n">
        <f aca="false">AJ9+AJ10+AJ11</f>
        <v>137.390375446849</v>
      </c>
      <c r="AK12" s="28" t="n">
        <f aca="false">AK9+AK10+AK11</f>
        <v>138.294994087325</v>
      </c>
      <c r="AL12" s="28" t="n">
        <f aca="false">AL9+AL10+AL11</f>
        <v>139.183149891623</v>
      </c>
      <c r="AM12" s="28" t="n">
        <f aca="false">AM9+AM10+AM11</f>
        <v>224.468816242648</v>
      </c>
      <c r="AN12" s="28" t="n">
        <f aca="false">AN9+AN10+AN11</f>
        <v>226.212767760945</v>
      </c>
      <c r="AO12" s="28" t="n">
        <f aca="false">AO9+AO10+AO11</f>
        <v>227.928932272396</v>
      </c>
      <c r="AP12" s="28" t="n">
        <f aca="false">AP9+AP10+AP11</f>
        <v>229.61784376418</v>
      </c>
      <c r="AQ12" s="28" t="n">
        <f aca="false">AQ9+AQ10+AQ11</f>
        <v>231.280023272173</v>
      </c>
      <c r="AR12" s="28" t="n">
        <f aca="false">AR9+AR10+AR11</f>
        <v>232.915979263585</v>
      </c>
      <c r="AS12" s="28" t="n">
        <f aca="false">AS9+AS10+AS11</f>
        <v>234.526208006854</v>
      </c>
      <c r="AT12" s="28" t="n">
        <f aca="false">AT9+AT10+AT11</f>
        <v>236.111193929245</v>
      </c>
      <c r="AU12" s="28" t="n">
        <f aca="false">AU9+AU10+AU11</f>
        <v>237.671409962605</v>
      </c>
      <c r="AV12" s="28" t="n">
        <f aca="false">AV9+AV10+AV11</f>
        <v>239.207317877662</v>
      </c>
      <c r="AW12" s="28" t="n">
        <f aca="false">AW9+AW10+AW11</f>
        <v>240.719368607305</v>
      </c>
      <c r="AX12" s="28" t="n">
        <f aca="false">AX9+AX10+AX11</f>
        <v>242.208002559203</v>
      </c>
      <c r="AY12" s="28" t="n">
        <f aca="false">AY9+AY10+AY11</f>
        <v>330.564076063497</v>
      </c>
      <c r="AZ12" s="28" t="n">
        <f aca="false">AZ9+AZ10+AZ11</f>
        <v>332.955553783636</v>
      </c>
      <c r="BA12" s="28" t="n">
        <f aca="false">BA9+BA10+BA11</f>
        <v>335.315809104085</v>
      </c>
      <c r="BB12" s="28" t="n">
        <f aca="false">BB9+BB10+BB11</f>
        <v>337.645338133183</v>
      </c>
      <c r="BC12" s="28" t="n">
        <f aca="false">BC9+BC10+BC11</f>
        <v>339.944626661038</v>
      </c>
      <c r="BD12" s="28" t="n">
        <f aca="false">BD9+BD10+BD11</f>
        <v>342.214150432002</v>
      </c>
      <c r="BE12" s="28" t="n">
        <f aca="false">BE9+BE10+BE11</f>
        <v>344.454375408855</v>
      </c>
      <c r="BF12" s="28" t="n">
        <f aca="false">BF9+BF10+BF11</f>
        <v>346.665758028957</v>
      </c>
      <c r="BG12" s="28" t="n">
        <f aca="false">BG9+BG10+BG11</f>
        <v>348.848745452638</v>
      </c>
      <c r="BH12" s="28" t="n">
        <f aca="false">BH9+BH10+BH11</f>
        <v>351.003775804077</v>
      </c>
      <c r="BI12" s="28" t="n">
        <f aca="false">BI9+BI10+BI11</f>
        <v>353.131278404911</v>
      </c>
      <c r="BJ12" s="28" t="n">
        <f aca="false">BJ9+BJ10+BJ11</f>
        <v>355.231674000809</v>
      </c>
    </row>
    <row r="13" customFormat="false" ht="15" hidden="false" customHeight="false" outlineLevel="0" collapsed="false">
      <c r="A13" s="3" t="s">
        <v>218</v>
      </c>
      <c r="B13" s="4"/>
    </row>
    <row r="14" customFormat="false" ht="15" hidden="false" customHeight="false" outlineLevel="0" collapsed="false">
      <c r="A14" s="5" t="s">
        <v>219</v>
      </c>
      <c r="C14" s="27" t="n">
        <f aca="false">C12*INDEX(Premissas!$B$29:$B$33,C$4)</f>
        <v>7.15555555555556</v>
      </c>
      <c r="D14" s="27" t="n">
        <f aca="false">D12*INDEX(Premissas!$B$29:$B$33,D$4)</f>
        <v>7.22711111111111</v>
      </c>
      <c r="E14" s="27" t="n">
        <f aca="false">E12*INDEX(Premissas!$B$29:$B$33,E$4)</f>
        <v>7.29669888888889</v>
      </c>
      <c r="F14" s="27" t="n">
        <f aca="false">F12*INDEX(Premissas!$B$29:$B$33,F$4)</f>
        <v>7.36438060555556</v>
      </c>
      <c r="G14" s="27" t="n">
        <f aca="false">G12*INDEX(Premissas!$B$29:$B$33,G$4)</f>
        <v>7.43021575955556</v>
      </c>
      <c r="H14" s="27" t="n">
        <f aca="false">H12*INDEX(Premissas!$B$29:$B$33,H$4)</f>
        <v>7.49426172013069</v>
      </c>
      <c r="I14" s="27" t="n">
        <f aca="false">I12*INDEX(Premissas!$B$29:$B$33,I$4)</f>
        <v>7.55657381249842</v>
      </c>
      <c r="J14" s="27" t="n">
        <f aca="false">J12*INDEX(Premissas!$B$29:$B$33,J$4)</f>
        <v>7.61720539936157</v>
      </c>
      <c r="K14" s="27" t="n">
        <f aca="false">K12*INDEX(Premissas!$B$29:$B$33,K$4)</f>
        <v>7.67620795891447</v>
      </c>
      <c r="L14" s="27" t="n">
        <f aca="false">L12*INDEX(Premissas!$B$29:$B$33,L$4)</f>
        <v>7.73363115950255</v>
      </c>
      <c r="M14" s="27" t="n">
        <f aca="false">M12*INDEX(Premissas!$B$29:$B$33,M$4)</f>
        <v>7.78952293108564</v>
      </c>
      <c r="N14" s="27" t="n">
        <f aca="false">N12*INDEX(Premissas!$B$29:$B$33,N$4)</f>
        <v>7.84392953364797</v>
      </c>
      <c r="O14" s="27" t="n">
        <f aca="false">O12*INDEX(Premissas!$B$29:$B$33,O$4)</f>
        <v>19.4842759040248</v>
      </c>
      <c r="P14" s="27" t="n">
        <f aca="false">P12*INDEX(Premissas!$B$29:$B$33,P$4)</f>
        <v>19.6570614481502</v>
      </c>
      <c r="Q14" s="27" t="n">
        <f aca="false">Q12*INDEX(Premissas!$B$29:$B$33,Q$4)</f>
        <v>19.8259019332321</v>
      </c>
      <c r="R14" s="27" t="n">
        <f aca="false">R12*INDEX(Premissas!$B$29:$B$33,R$4)</f>
        <v>19.9909021028777</v>
      </c>
      <c r="S14" s="27" t="n">
        <f aca="false">S12*INDEX(Premissas!$B$29:$B$33,S$4)</f>
        <v>20.1521634126949</v>
      </c>
      <c r="T14" s="27" t="n">
        <f aca="false">T12*INDEX(Premissas!$B$29:$B$33,T$4)</f>
        <v>20.3097841488951</v>
      </c>
      <c r="U14" s="27" t="n">
        <f aca="false">U12*INDEX(Premissas!$B$29:$B$33,U$4)</f>
        <v>20.4638595422152</v>
      </c>
      <c r="V14" s="27" t="n">
        <f aca="false">V12*INDEX(Premissas!$B$29:$B$33,V$4)</f>
        <v>20.6144818773537</v>
      </c>
      <c r="W14" s="27" t="n">
        <f aca="false">W12*INDEX(Premissas!$B$29:$B$33,W$4)</f>
        <v>20.7617405981056</v>
      </c>
      <c r="X14" s="27" t="n">
        <f aca="false">X12*INDEX(Premissas!$B$29:$B$33,X$4)</f>
        <v>20.9057224083751</v>
      </c>
      <c r="Y14" s="27" t="n">
        <f aca="false">Y12*INDEX(Premissas!$B$29:$B$33,Y$4)</f>
        <v>21.0465113692353</v>
      </c>
      <c r="Z14" s="27" t="n">
        <f aca="false">Z12*INDEX(Premissas!$B$29:$B$33,Z$4)</f>
        <v>21.1841889921992</v>
      </c>
      <c r="AA14" s="27" t="n">
        <f aca="false">AA12*INDEX(Premissas!$B$29:$B$33,AA$4)</f>
        <v>38.5335594315069</v>
      </c>
      <c r="AB14" s="27" t="n">
        <f aca="false">AB12*INDEX(Premissas!$B$29:$B$33,AB$4)</f>
        <v>38.8546275464745</v>
      </c>
      <c r="AC14" s="27" t="n">
        <f aca="false">AC12*INDEX(Premissas!$B$29:$B$33,AC$4)</f>
        <v>39.1696708744824</v>
      </c>
      <c r="AD14" s="27" t="n">
        <f aca="false">AD12*INDEX(Premissas!$B$29:$B$33,AD$4)</f>
        <v>39.4788237067098</v>
      </c>
      <c r="AE14" s="27" t="n">
        <f aca="false">AE12*INDEX(Premissas!$B$29:$B$33,AE$4)</f>
        <v>39.7822166626299</v>
      </c>
      <c r="AF14" s="27" t="n">
        <f aca="false">AF12*INDEX(Premissas!$B$29:$B$33,AF$4)</f>
        <v>40.0799768093048</v>
      </c>
      <c r="AG14" s="27" t="n">
        <f aca="false">AG12*INDEX(Premissas!$B$29:$B$33,AG$4)</f>
        <v>40.372227776362</v>
      </c>
      <c r="AH14" s="27" t="n">
        <f aca="false">AH12*INDEX(Premissas!$B$29:$B$33,AH$4)</f>
        <v>40.6590898668176</v>
      </c>
      <c r="AI14" s="27" t="n">
        <f aca="false">AI12*INDEX(Premissas!$B$29:$B$33,AI$4)</f>
        <v>40.9406801639037</v>
      </c>
      <c r="AJ14" s="27" t="n">
        <f aca="false">AJ12*INDEX(Premissas!$B$29:$B$33,AJ$4)</f>
        <v>41.2171126340548</v>
      </c>
      <c r="AK14" s="27" t="n">
        <f aca="false">AK12*INDEX(Premissas!$B$29:$B$33,AK$4)</f>
        <v>41.4884982261976</v>
      </c>
      <c r="AL14" s="27" t="n">
        <f aca="false">AL12*INDEX(Premissas!$B$29:$B$33,AL$4)</f>
        <v>41.754944967487</v>
      </c>
      <c r="AM14" s="27" t="n">
        <f aca="false">AM12*INDEX(Premissas!$B$29:$B$33,AM$4)</f>
        <v>62.8512685479416</v>
      </c>
      <c r="AN14" s="27" t="n">
        <f aca="false">AN12*INDEX(Premissas!$B$29:$B$33,AN$4)</f>
        <v>63.3395749730645</v>
      </c>
      <c r="AO14" s="27" t="n">
        <f aca="false">AO12*INDEX(Premissas!$B$29:$B$33,AO$4)</f>
        <v>63.820101036271</v>
      </c>
      <c r="AP14" s="27" t="n">
        <f aca="false">AP12*INDEX(Premissas!$B$29:$B$33,AP$4)</f>
        <v>64.2929962539705</v>
      </c>
      <c r="AQ14" s="27" t="n">
        <f aca="false">AQ12*INDEX(Premissas!$B$29:$B$33,AQ$4)</f>
        <v>64.7584065162085</v>
      </c>
      <c r="AR14" s="27" t="n">
        <f aca="false">AR12*INDEX(Premissas!$B$29:$B$33,AR$4)</f>
        <v>65.2164741938039</v>
      </c>
      <c r="AS14" s="27" t="n">
        <f aca="false">AS12*INDEX(Premissas!$B$29:$B$33,AS$4)</f>
        <v>65.667338241919</v>
      </c>
      <c r="AT14" s="27" t="n">
        <f aca="false">AT12*INDEX(Premissas!$B$29:$B$33,AT$4)</f>
        <v>66.1111343001887</v>
      </c>
      <c r="AU14" s="27" t="n">
        <f aca="false">AU12*INDEX(Premissas!$B$29:$B$33,AU$4)</f>
        <v>66.5479947895293</v>
      </c>
      <c r="AV14" s="27" t="n">
        <f aca="false">AV12*INDEX(Premissas!$B$29:$B$33,AV$4)</f>
        <v>66.9780490057454</v>
      </c>
      <c r="AW14" s="27" t="n">
        <f aca="false">AW12*INDEX(Premissas!$B$29:$B$33,AW$4)</f>
        <v>67.4014232100455</v>
      </c>
      <c r="AX14" s="27" t="n">
        <f aca="false">AX12*INDEX(Premissas!$B$29:$B$33,AX$4)</f>
        <v>67.8182407165769</v>
      </c>
      <c r="AY14" s="27" t="n">
        <f aca="false">AY12*INDEX(Premissas!$B$29:$B$33,AY$4)</f>
        <v>82.6410190158743</v>
      </c>
      <c r="AZ14" s="27" t="n">
        <f aca="false">AZ12*INDEX(Premissas!$B$29:$B$33,AZ$4)</f>
        <v>83.238888445909</v>
      </c>
      <c r="BA14" s="27" t="n">
        <f aca="false">BA12*INDEX(Premissas!$B$29:$B$33,BA$4)</f>
        <v>83.8289522760213</v>
      </c>
      <c r="BB14" s="27" t="n">
        <f aca="false">BB12*INDEX(Premissas!$B$29:$B$33,BB$4)</f>
        <v>84.4113345332958</v>
      </c>
      <c r="BC14" s="27" t="n">
        <f aca="false">BC12*INDEX(Premissas!$B$29:$B$33,BC$4)</f>
        <v>84.9861566652594</v>
      </c>
      <c r="BD14" s="27" t="n">
        <f aca="false">BD12*INDEX(Premissas!$B$29:$B$33,BD$4)</f>
        <v>85.5535376080005</v>
      </c>
      <c r="BE14" s="27" t="n">
        <f aca="false">BE12*INDEX(Premissas!$B$29:$B$33,BE$4)</f>
        <v>86.1135938522138</v>
      </c>
      <c r="BF14" s="27" t="n">
        <f aca="false">BF12*INDEX(Premissas!$B$29:$B$33,BF$4)</f>
        <v>86.6664395072393</v>
      </c>
      <c r="BG14" s="27" t="n">
        <f aca="false">BG12*INDEX(Premissas!$B$29:$B$33,BG$4)</f>
        <v>87.2121863631595</v>
      </c>
      <c r="BH14" s="27" t="n">
        <f aca="false">BH12*INDEX(Premissas!$B$29:$B$33,BH$4)</f>
        <v>87.7509439510193</v>
      </c>
      <c r="BI14" s="27" t="n">
        <f aca="false">BI12*INDEX(Premissas!$B$29:$B$33,BI$4)</f>
        <v>88.2828196012278</v>
      </c>
      <c r="BJ14" s="27" t="n">
        <f aca="false">BJ12*INDEX(Premissas!$B$29:$B$33,BJ$4)</f>
        <v>88.8079185002023</v>
      </c>
    </row>
    <row r="15" customFormat="false" ht="15" hidden="false" customHeight="false" outlineLevel="0" collapsed="false">
      <c r="A15" s="5" t="s">
        <v>220</v>
      </c>
      <c r="C15" s="27" t="n">
        <f aca="false">C12*INDEX(Premissas!$C$29:$C$33,C$4)</f>
        <v>8.94444444444445</v>
      </c>
      <c r="D15" s="27" t="n">
        <f aca="false">D12*INDEX(Premissas!$C$29:$C$33,D$4)</f>
        <v>9.03388888888889</v>
      </c>
      <c r="E15" s="27" t="n">
        <f aca="false">E12*INDEX(Premissas!$C$29:$C$33,E$4)</f>
        <v>9.12087361111111</v>
      </c>
      <c r="F15" s="27" t="n">
        <f aca="false">F12*INDEX(Premissas!$C$29:$C$33,F$4)</f>
        <v>9.20547575694445</v>
      </c>
      <c r="G15" s="27" t="n">
        <f aca="false">G12*INDEX(Premissas!$C$29:$C$33,G$4)</f>
        <v>9.28776969944445</v>
      </c>
      <c r="H15" s="27" t="n">
        <f aca="false">H12*INDEX(Premissas!$C$29:$C$33,H$4)</f>
        <v>9.36782715016337</v>
      </c>
      <c r="I15" s="27" t="n">
        <f aca="false">I12*INDEX(Premissas!$C$29:$C$33,I$4)</f>
        <v>9.44571726562302</v>
      </c>
      <c r="J15" s="27" t="n">
        <f aca="false">J12*INDEX(Premissas!$C$29:$C$33,J$4)</f>
        <v>9.52150674920197</v>
      </c>
      <c r="K15" s="27" t="n">
        <f aca="false">K12*INDEX(Premissas!$C$29:$C$33,K$4)</f>
        <v>9.59525994864309</v>
      </c>
      <c r="L15" s="27" t="n">
        <f aca="false">L12*INDEX(Premissas!$C$29:$C$33,L$4)</f>
        <v>9.66703894937819</v>
      </c>
      <c r="M15" s="27" t="n">
        <f aca="false">M12*INDEX(Premissas!$C$29:$C$33,M$4)</f>
        <v>9.73690366385704</v>
      </c>
      <c r="N15" s="27" t="n">
        <f aca="false">N12*INDEX(Premissas!$C$29:$C$33,N$4)</f>
        <v>9.80491191705996</v>
      </c>
      <c r="O15" s="27" t="n">
        <f aca="false">O12*INDEX(Premissas!$C$29:$C$33,O$4)</f>
        <v>27.8346798628926</v>
      </c>
      <c r="P15" s="27" t="n">
        <f aca="false">P12*INDEX(Premissas!$C$29:$C$33,P$4)</f>
        <v>28.0815163545003</v>
      </c>
      <c r="Q15" s="27" t="n">
        <f aca="false">Q12*INDEX(Premissas!$C$29:$C$33,Q$4)</f>
        <v>28.3227170474744</v>
      </c>
      <c r="R15" s="27" t="n">
        <f aca="false">R12*INDEX(Premissas!$C$29:$C$33,R$4)</f>
        <v>28.5584315755395</v>
      </c>
      <c r="S15" s="27" t="n">
        <f aca="false">S12*INDEX(Premissas!$C$29:$C$33,S$4)</f>
        <v>28.7888048752784</v>
      </c>
      <c r="T15" s="27" t="n">
        <f aca="false">T12*INDEX(Premissas!$C$29:$C$33,T$4)</f>
        <v>29.0139773555644</v>
      </c>
      <c r="U15" s="27" t="n">
        <f aca="false">U12*INDEX(Premissas!$C$29:$C$33,U$4)</f>
        <v>29.2340850603075</v>
      </c>
      <c r="V15" s="27" t="n">
        <f aca="false">V12*INDEX(Premissas!$C$29:$C$33,V$4)</f>
        <v>29.449259824791</v>
      </c>
      <c r="W15" s="27" t="n">
        <f aca="false">W12*INDEX(Premissas!$C$29:$C$33,W$4)</f>
        <v>29.6596294258652</v>
      </c>
      <c r="X15" s="27" t="n">
        <f aca="false">X12*INDEX(Premissas!$C$29:$C$33,X$4)</f>
        <v>29.8653177262501</v>
      </c>
      <c r="Y15" s="27" t="n">
        <f aca="false">Y12*INDEX(Premissas!$C$29:$C$33,Y$4)</f>
        <v>30.0664448131932</v>
      </c>
      <c r="Z15" s="27" t="n">
        <f aca="false">Z12*INDEX(Premissas!$C$29:$C$33,Z$4)</f>
        <v>30.2631271317132</v>
      </c>
      <c r="AA15" s="27" t="n">
        <f aca="false">AA12*INDEX(Premissas!$C$29:$C$33,AA$4)</f>
        <v>64.2225990525115</v>
      </c>
      <c r="AB15" s="27" t="n">
        <f aca="false">AB12*INDEX(Premissas!$C$29:$C$33,AB$4)</f>
        <v>64.7577125774575</v>
      </c>
      <c r="AC15" s="27" t="n">
        <f aca="false">AC12*INDEX(Premissas!$C$29:$C$33,AC$4)</f>
        <v>65.2827847908039</v>
      </c>
      <c r="AD15" s="27" t="n">
        <f aca="false">AD12*INDEX(Premissas!$C$29:$C$33,AD$4)</f>
        <v>65.7980395111831</v>
      </c>
      <c r="AE15" s="27" t="n">
        <f aca="false">AE12*INDEX(Premissas!$C$29:$C$33,AE$4)</f>
        <v>66.3036944377165</v>
      </c>
      <c r="AF15" s="27" t="n">
        <f aca="false">AF12*INDEX(Premissas!$C$29:$C$33,AF$4)</f>
        <v>66.7999613488413</v>
      </c>
      <c r="AG15" s="27" t="n">
        <f aca="false">AG12*INDEX(Premissas!$C$29:$C$33,AG$4)</f>
        <v>67.2870462939367</v>
      </c>
      <c r="AH15" s="27" t="n">
        <f aca="false">AH12*INDEX(Premissas!$C$29:$C$33,AH$4)</f>
        <v>67.7651497780293</v>
      </c>
      <c r="AI15" s="27" t="n">
        <f aca="false">AI12*INDEX(Premissas!$C$29:$C$33,AI$4)</f>
        <v>68.2344669398396</v>
      </c>
      <c r="AJ15" s="27" t="n">
        <f aca="false">AJ12*INDEX(Premissas!$C$29:$C$33,AJ$4)</f>
        <v>68.6951877234247</v>
      </c>
      <c r="AK15" s="27" t="n">
        <f aca="false">AK12*INDEX(Premissas!$C$29:$C$33,AK$4)</f>
        <v>69.1474970436627</v>
      </c>
      <c r="AL15" s="27" t="n">
        <f aca="false">AL12*INDEX(Premissas!$C$29:$C$33,AL$4)</f>
        <v>69.5915749458117</v>
      </c>
      <c r="AM15" s="27" t="n">
        <f aca="false">AM12*INDEX(Premissas!$C$29:$C$33,AM$4)</f>
        <v>112.234408121324</v>
      </c>
      <c r="AN15" s="27" t="n">
        <f aca="false">AN12*INDEX(Premissas!$C$29:$C$33,AN$4)</f>
        <v>113.106383880472</v>
      </c>
      <c r="AO15" s="27" t="n">
        <f aca="false">AO12*INDEX(Premissas!$C$29:$C$33,AO$4)</f>
        <v>113.964466136198</v>
      </c>
      <c r="AP15" s="27" t="n">
        <f aca="false">AP12*INDEX(Premissas!$C$29:$C$33,AP$4)</f>
        <v>114.80892188209</v>
      </c>
      <c r="AQ15" s="27" t="n">
        <f aca="false">AQ12*INDEX(Premissas!$C$29:$C$33,AQ$4)</f>
        <v>115.640011636087</v>
      </c>
      <c r="AR15" s="27" t="n">
        <f aca="false">AR12*INDEX(Premissas!$C$29:$C$33,AR$4)</f>
        <v>116.457989631793</v>
      </c>
      <c r="AS15" s="27" t="n">
        <f aca="false">AS12*INDEX(Premissas!$C$29:$C$33,AS$4)</f>
        <v>117.263104003427</v>
      </c>
      <c r="AT15" s="27" t="n">
        <f aca="false">AT12*INDEX(Premissas!$C$29:$C$33,AT$4)</f>
        <v>118.055596964623</v>
      </c>
      <c r="AU15" s="27" t="n">
        <f aca="false">AU12*INDEX(Premissas!$C$29:$C$33,AU$4)</f>
        <v>118.835704981302</v>
      </c>
      <c r="AV15" s="27" t="n">
        <f aca="false">AV12*INDEX(Premissas!$C$29:$C$33,AV$4)</f>
        <v>119.603658938831</v>
      </c>
      <c r="AW15" s="27" t="n">
        <f aca="false">AW12*INDEX(Premissas!$C$29:$C$33,AW$4)</f>
        <v>120.359684303653</v>
      </c>
      <c r="AX15" s="27" t="n">
        <f aca="false">AX12*INDEX(Premissas!$C$29:$C$33,AX$4)</f>
        <v>121.104001279602</v>
      </c>
      <c r="AY15" s="27" t="n">
        <f aca="false">AY12*INDEX(Premissas!$C$29:$C$33,AY$4)</f>
        <v>165.282038031749</v>
      </c>
      <c r="AZ15" s="27" t="n">
        <f aca="false">AZ12*INDEX(Premissas!$C$29:$C$33,AZ$4)</f>
        <v>166.477776891818</v>
      </c>
      <c r="BA15" s="27" t="n">
        <f aca="false">BA12*INDEX(Premissas!$C$29:$C$33,BA$4)</f>
        <v>167.657904552043</v>
      </c>
      <c r="BB15" s="27" t="n">
        <f aca="false">BB12*INDEX(Premissas!$C$29:$C$33,BB$4)</f>
        <v>168.822669066592</v>
      </c>
      <c r="BC15" s="27" t="n">
        <f aca="false">BC12*INDEX(Premissas!$C$29:$C$33,BC$4)</f>
        <v>169.972313330519</v>
      </c>
      <c r="BD15" s="27" t="n">
        <f aca="false">BD12*INDEX(Premissas!$C$29:$C$33,BD$4)</f>
        <v>171.107075216001</v>
      </c>
      <c r="BE15" s="27" t="n">
        <f aca="false">BE12*INDEX(Premissas!$C$29:$C$33,BE$4)</f>
        <v>172.227187704428</v>
      </c>
      <c r="BF15" s="27" t="n">
        <f aca="false">BF12*INDEX(Premissas!$C$29:$C$33,BF$4)</f>
        <v>173.332879014479</v>
      </c>
      <c r="BG15" s="27" t="n">
        <f aca="false">BG12*INDEX(Premissas!$C$29:$C$33,BG$4)</f>
        <v>174.424372726319</v>
      </c>
      <c r="BH15" s="27" t="n">
        <f aca="false">BH12*INDEX(Premissas!$C$29:$C$33,BH$4)</f>
        <v>175.501887902039</v>
      </c>
      <c r="BI15" s="27" t="n">
        <f aca="false">BI12*INDEX(Premissas!$C$29:$C$33,BI$4)</f>
        <v>176.565639202456</v>
      </c>
      <c r="BJ15" s="27" t="n">
        <f aca="false">BJ12*INDEX(Premissas!$C$29:$C$33,BJ$4)</f>
        <v>177.615837000405</v>
      </c>
    </row>
    <row r="16" customFormat="false" ht="15" hidden="false" customHeight="false" outlineLevel="0" collapsed="false">
      <c r="A16" s="5" t="s">
        <v>221</v>
      </c>
      <c r="C16" s="27" t="n">
        <f aca="false">C12*INDEX(Premissas!$D$29:$D$33,C$4)</f>
        <v>1.78888888888889</v>
      </c>
      <c r="D16" s="27" t="n">
        <f aca="false">D12*INDEX(Premissas!$D$29:$D$33,D$4)</f>
        <v>1.80677777777778</v>
      </c>
      <c r="E16" s="27" t="n">
        <f aca="false">E12*INDEX(Premissas!$D$29:$D$33,E$4)</f>
        <v>1.82417472222222</v>
      </c>
      <c r="F16" s="27" t="n">
        <f aca="false">F12*INDEX(Premissas!$D$29:$D$33,F$4)</f>
        <v>1.84109515138889</v>
      </c>
      <c r="G16" s="27" t="n">
        <f aca="false">G12*INDEX(Premissas!$D$29:$D$33,G$4)</f>
        <v>1.85755393988889</v>
      </c>
      <c r="H16" s="27" t="n">
        <f aca="false">H12*INDEX(Premissas!$D$29:$D$33,H$4)</f>
        <v>1.87356543003267</v>
      </c>
      <c r="I16" s="27" t="n">
        <f aca="false">I12*INDEX(Premissas!$D$29:$D$33,I$4)</f>
        <v>1.88914345312461</v>
      </c>
      <c r="J16" s="27" t="n">
        <f aca="false">J12*INDEX(Premissas!$D$29:$D$33,J$4)</f>
        <v>1.90430134984039</v>
      </c>
      <c r="K16" s="27" t="n">
        <f aca="false">K12*INDEX(Premissas!$D$29:$D$33,K$4)</f>
        <v>1.91905198972862</v>
      </c>
      <c r="L16" s="27" t="n">
        <f aca="false">L12*INDEX(Premissas!$D$29:$D$33,L$4)</f>
        <v>1.93340778987564</v>
      </c>
      <c r="M16" s="27" t="n">
        <f aca="false">M12*INDEX(Premissas!$D$29:$D$33,M$4)</f>
        <v>1.94738073277141</v>
      </c>
      <c r="N16" s="27" t="n">
        <f aca="false">N12*INDEX(Premissas!$D$29:$D$33,N$4)</f>
        <v>1.96098238341199</v>
      </c>
      <c r="O16" s="27" t="n">
        <f aca="false">O12*INDEX(Premissas!$D$29:$D$33,O$4)</f>
        <v>7.23701676435207</v>
      </c>
      <c r="P16" s="27" t="n">
        <f aca="false">P12*INDEX(Premissas!$D$29:$D$33,P$4)</f>
        <v>7.30119425217007</v>
      </c>
      <c r="Q16" s="27" t="n">
        <f aca="false">Q12*INDEX(Premissas!$D$29:$D$33,Q$4)</f>
        <v>7.36390643234334</v>
      </c>
      <c r="R16" s="27" t="n">
        <f aca="false">R12*INDEX(Premissas!$D$29:$D$33,R$4)</f>
        <v>7.42519220964028</v>
      </c>
      <c r="S16" s="27" t="n">
        <f aca="false">S12*INDEX(Premissas!$D$29:$D$33,S$4)</f>
        <v>7.48508926757239</v>
      </c>
      <c r="T16" s="27" t="n">
        <f aca="false">T12*INDEX(Premissas!$D$29:$D$33,T$4)</f>
        <v>7.54363411244675</v>
      </c>
      <c r="U16" s="27" t="n">
        <f aca="false">U12*INDEX(Premissas!$D$29:$D$33,U$4)</f>
        <v>7.60086211567995</v>
      </c>
      <c r="V16" s="27" t="n">
        <f aca="false">V12*INDEX(Premissas!$D$29:$D$33,V$4)</f>
        <v>7.65680755444567</v>
      </c>
      <c r="W16" s="27" t="n">
        <f aca="false">W12*INDEX(Premissas!$D$29:$D$33,W$4)</f>
        <v>7.71150365072495</v>
      </c>
      <c r="X16" s="27" t="n">
        <f aca="false">X12*INDEX(Premissas!$D$29:$D$33,X$4)</f>
        <v>7.76498260882502</v>
      </c>
      <c r="Y16" s="27" t="n">
        <f aca="false">Y12*INDEX(Premissas!$D$29:$D$33,Y$4)</f>
        <v>7.81727565143024</v>
      </c>
      <c r="Z16" s="27" t="n">
        <f aca="false">Z12*INDEX(Premissas!$D$29:$D$33,Z$4)</f>
        <v>7.86841305424543</v>
      </c>
      <c r="AA16" s="27" t="n">
        <f aca="false">AA12*INDEX(Premissas!$D$29:$D$33,AA$4)</f>
        <v>19.2667797157535</v>
      </c>
      <c r="AB16" s="27" t="n">
        <f aca="false">AB12*INDEX(Premissas!$D$29:$D$33,AB$4)</f>
        <v>19.4273137732372</v>
      </c>
      <c r="AC16" s="27" t="n">
        <f aca="false">AC12*INDEX(Premissas!$D$29:$D$33,AC$4)</f>
        <v>19.5848354372412</v>
      </c>
      <c r="AD16" s="27" t="n">
        <f aca="false">AD12*INDEX(Premissas!$D$29:$D$33,AD$4)</f>
        <v>19.7394118533549</v>
      </c>
      <c r="AE16" s="27" t="n">
        <f aca="false">AE12*INDEX(Premissas!$D$29:$D$33,AE$4)</f>
        <v>19.891108331315</v>
      </c>
      <c r="AF16" s="27" t="n">
        <f aca="false">AF12*INDEX(Premissas!$D$29:$D$33,AF$4)</f>
        <v>20.0399884046524</v>
      </c>
      <c r="AG16" s="27" t="n">
        <f aca="false">AG12*INDEX(Premissas!$D$29:$D$33,AG$4)</f>
        <v>20.186113888181</v>
      </c>
      <c r="AH16" s="27" t="n">
        <f aca="false">AH12*INDEX(Premissas!$D$29:$D$33,AH$4)</f>
        <v>20.3295449334088</v>
      </c>
      <c r="AI16" s="27" t="n">
        <f aca="false">AI12*INDEX(Premissas!$D$29:$D$33,AI$4)</f>
        <v>20.4703400819519</v>
      </c>
      <c r="AJ16" s="27" t="n">
        <f aca="false">AJ12*INDEX(Premissas!$D$29:$D$33,AJ$4)</f>
        <v>20.6085563170274</v>
      </c>
      <c r="AK16" s="27" t="n">
        <f aca="false">AK12*INDEX(Premissas!$D$29:$D$33,AK$4)</f>
        <v>20.7442491130988</v>
      </c>
      <c r="AL16" s="27" t="n">
        <f aca="false">AL12*INDEX(Premissas!$D$29:$D$33,AL$4)</f>
        <v>20.8774724837435</v>
      </c>
      <c r="AM16" s="27" t="n">
        <f aca="false">AM12*INDEX(Premissas!$D$29:$D$33,AM$4)</f>
        <v>35.9150105988238</v>
      </c>
      <c r="AN16" s="27" t="n">
        <f aca="false">AN12*INDEX(Premissas!$D$29:$D$33,AN$4)</f>
        <v>36.1940428417512</v>
      </c>
      <c r="AO16" s="27" t="n">
        <f aca="false">AO12*INDEX(Premissas!$D$29:$D$33,AO$4)</f>
        <v>36.4686291635834</v>
      </c>
      <c r="AP16" s="27" t="n">
        <f aca="false">AP12*INDEX(Premissas!$D$29:$D$33,AP$4)</f>
        <v>36.7388550022689</v>
      </c>
      <c r="AQ16" s="27" t="n">
        <f aca="false">AQ12*INDEX(Premissas!$D$29:$D$33,AQ$4)</f>
        <v>37.0048037235477</v>
      </c>
      <c r="AR16" s="27" t="n">
        <f aca="false">AR12*INDEX(Premissas!$D$29:$D$33,AR$4)</f>
        <v>37.2665566821737</v>
      </c>
      <c r="AS16" s="27" t="n">
        <f aca="false">AS12*INDEX(Premissas!$D$29:$D$33,AS$4)</f>
        <v>37.5241932810966</v>
      </c>
      <c r="AT16" s="27" t="n">
        <f aca="false">AT12*INDEX(Premissas!$D$29:$D$33,AT$4)</f>
        <v>37.7777910286792</v>
      </c>
      <c r="AU16" s="27" t="n">
        <f aca="false">AU12*INDEX(Premissas!$D$29:$D$33,AU$4)</f>
        <v>38.0274255940168</v>
      </c>
      <c r="AV16" s="27" t="n">
        <f aca="false">AV12*INDEX(Premissas!$D$29:$D$33,AV$4)</f>
        <v>38.273170860426</v>
      </c>
      <c r="AW16" s="27" t="n">
        <f aca="false">AW12*INDEX(Premissas!$D$29:$D$33,AW$4)</f>
        <v>38.5150989771688</v>
      </c>
      <c r="AX16" s="27" t="n">
        <f aca="false">AX12*INDEX(Premissas!$D$29:$D$33,AX$4)</f>
        <v>38.7532804094725</v>
      </c>
      <c r="AY16" s="27" t="n">
        <f aca="false">AY12*INDEX(Premissas!$D$29:$D$33,AY$4)</f>
        <v>59.5015336914295</v>
      </c>
      <c r="AZ16" s="27" t="n">
        <f aca="false">AZ12*INDEX(Premissas!$D$29:$D$33,AZ$4)</f>
        <v>59.9319996810545</v>
      </c>
      <c r="BA16" s="27" t="n">
        <f aca="false">BA12*INDEX(Premissas!$D$29:$D$33,BA$4)</f>
        <v>60.3568456387354</v>
      </c>
      <c r="BB16" s="27" t="n">
        <f aca="false">BB12*INDEX(Premissas!$D$29:$D$33,BB$4)</f>
        <v>60.776160863973</v>
      </c>
      <c r="BC16" s="27" t="n">
        <f aca="false">BC12*INDEX(Premissas!$D$29:$D$33,BC$4)</f>
        <v>61.1900327989868</v>
      </c>
      <c r="BD16" s="27" t="n">
        <f aca="false">BD12*INDEX(Premissas!$D$29:$D$33,BD$4)</f>
        <v>61.5985470777604</v>
      </c>
      <c r="BE16" s="27" t="n">
        <f aca="false">BE12*INDEX(Premissas!$D$29:$D$33,BE$4)</f>
        <v>62.0017875735939</v>
      </c>
      <c r="BF16" s="27" t="n">
        <f aca="false">BF12*INDEX(Premissas!$D$29:$D$33,BF$4)</f>
        <v>62.3998364452123</v>
      </c>
      <c r="BG16" s="27" t="n">
        <f aca="false">BG12*INDEX(Premissas!$D$29:$D$33,BG$4)</f>
        <v>62.7927741814748</v>
      </c>
      <c r="BH16" s="27" t="n">
        <f aca="false">BH12*INDEX(Premissas!$D$29:$D$33,BH$4)</f>
        <v>63.1806796447339</v>
      </c>
      <c r="BI16" s="27" t="n">
        <f aca="false">BI12*INDEX(Premissas!$D$29:$D$33,BI$4)</f>
        <v>63.563630112884</v>
      </c>
      <c r="BJ16" s="27" t="n">
        <f aca="false">BJ12*INDEX(Premissas!$D$29:$D$33,BJ$4)</f>
        <v>63.9417013201456</v>
      </c>
    </row>
    <row r="17" customFormat="false" ht="15" hidden="false" customHeight="false" outlineLevel="0" collapsed="false">
      <c r="A17" s="5" t="s">
        <v>222</v>
      </c>
      <c r="C17" s="27" t="n">
        <f aca="false">C12*INDEX(Premissas!$E$29:$E$33,C$4)</f>
        <v>0</v>
      </c>
      <c r="D17" s="27" t="n">
        <f aca="false">D12*INDEX(Premissas!$E$29:$E$33,D$4)</f>
        <v>0</v>
      </c>
      <c r="E17" s="27" t="n">
        <f aca="false">E12*INDEX(Premissas!$E$29:$E$33,E$4)</f>
        <v>0</v>
      </c>
      <c r="F17" s="27" t="n">
        <f aca="false">F12*INDEX(Premissas!$E$29:$E$33,F$4)</f>
        <v>0</v>
      </c>
      <c r="G17" s="27" t="n">
        <f aca="false">G12*INDEX(Premissas!$E$29:$E$33,G$4)</f>
        <v>0</v>
      </c>
      <c r="H17" s="27" t="n">
        <f aca="false">H12*INDEX(Premissas!$E$29:$E$33,H$4)</f>
        <v>0</v>
      </c>
      <c r="I17" s="27" t="n">
        <f aca="false">I12*INDEX(Premissas!$E$29:$E$33,I$4)</f>
        <v>0</v>
      </c>
      <c r="J17" s="27" t="n">
        <f aca="false">J12*INDEX(Premissas!$E$29:$E$33,J$4)</f>
        <v>0</v>
      </c>
      <c r="K17" s="27" t="n">
        <f aca="false">K12*INDEX(Premissas!$E$29:$E$33,K$4)</f>
        <v>0</v>
      </c>
      <c r="L17" s="27" t="n">
        <f aca="false">L12*INDEX(Premissas!$E$29:$E$33,L$4)</f>
        <v>0</v>
      </c>
      <c r="M17" s="27" t="n">
        <f aca="false">M12*INDEX(Premissas!$E$29:$E$33,M$4)</f>
        <v>0</v>
      </c>
      <c r="N17" s="27" t="n">
        <f aca="false">N12*INDEX(Premissas!$E$29:$E$33,N$4)</f>
        <v>0</v>
      </c>
      <c r="O17" s="27" t="n">
        <f aca="false">O12*INDEX(Premissas!$E$29:$E$33,O$4)</f>
        <v>1.1133871945157</v>
      </c>
      <c r="P17" s="27" t="n">
        <f aca="false">P12*INDEX(Premissas!$E$29:$E$33,P$4)</f>
        <v>1.12326065418001</v>
      </c>
      <c r="Q17" s="27" t="n">
        <f aca="false">Q12*INDEX(Premissas!$E$29:$E$33,Q$4)</f>
        <v>1.13290868189898</v>
      </c>
      <c r="R17" s="27" t="n">
        <f aca="false">R12*INDEX(Premissas!$E$29:$E$33,R$4)</f>
        <v>1.14233726302158</v>
      </c>
      <c r="S17" s="27" t="n">
        <f aca="false">S12*INDEX(Premissas!$E$29:$E$33,S$4)</f>
        <v>1.15155219501114</v>
      </c>
      <c r="T17" s="27" t="n">
        <f aca="false">T12*INDEX(Premissas!$E$29:$E$33,T$4)</f>
        <v>1.16055909422258</v>
      </c>
      <c r="U17" s="27" t="n">
        <f aca="false">U12*INDEX(Premissas!$E$29:$E$33,U$4)</f>
        <v>1.1693634024123</v>
      </c>
      <c r="V17" s="27" t="n">
        <f aca="false">V12*INDEX(Premissas!$E$29:$E$33,V$4)</f>
        <v>1.17797039299164</v>
      </c>
      <c r="W17" s="27" t="n">
        <f aca="false">W12*INDEX(Premissas!$E$29:$E$33,W$4)</f>
        <v>1.18638517703461</v>
      </c>
      <c r="X17" s="27" t="n">
        <f aca="false">X12*INDEX(Premissas!$E$29:$E$33,X$4)</f>
        <v>1.19461270905</v>
      </c>
      <c r="Y17" s="27" t="n">
        <f aca="false">Y12*INDEX(Premissas!$E$29:$E$33,Y$4)</f>
        <v>1.20265779252773</v>
      </c>
      <c r="Z17" s="27" t="n">
        <f aca="false">Z12*INDEX(Premissas!$E$29:$E$33,Z$4)</f>
        <v>1.21052508526853</v>
      </c>
      <c r="AA17" s="27" t="n">
        <f aca="false">AA12*INDEX(Premissas!$E$29:$E$33,AA$4)</f>
        <v>6.42225990525115</v>
      </c>
      <c r="AB17" s="27" t="n">
        <f aca="false">AB12*INDEX(Premissas!$E$29:$E$33,AB$4)</f>
        <v>6.47577125774575</v>
      </c>
      <c r="AC17" s="27" t="n">
        <f aca="false">AC12*INDEX(Premissas!$E$29:$E$33,AC$4)</f>
        <v>6.52827847908039</v>
      </c>
      <c r="AD17" s="27" t="n">
        <f aca="false">AD12*INDEX(Premissas!$E$29:$E$33,AD$4)</f>
        <v>6.57980395111831</v>
      </c>
      <c r="AE17" s="27" t="n">
        <f aca="false">AE12*INDEX(Premissas!$E$29:$E$33,AE$4)</f>
        <v>6.63036944377165</v>
      </c>
      <c r="AF17" s="27" t="n">
        <f aca="false">AF12*INDEX(Premissas!$E$29:$E$33,AF$4)</f>
        <v>6.67999613488413</v>
      </c>
      <c r="AG17" s="27" t="n">
        <f aca="false">AG12*INDEX(Premissas!$E$29:$E$33,AG$4)</f>
        <v>6.72870462939367</v>
      </c>
      <c r="AH17" s="27" t="n">
        <f aca="false">AH12*INDEX(Premissas!$E$29:$E$33,AH$4)</f>
        <v>6.77651497780293</v>
      </c>
      <c r="AI17" s="27" t="n">
        <f aca="false">AI12*INDEX(Premissas!$E$29:$E$33,AI$4)</f>
        <v>6.82344669398396</v>
      </c>
      <c r="AJ17" s="27" t="n">
        <f aca="false">AJ12*INDEX(Premissas!$E$29:$E$33,AJ$4)</f>
        <v>6.86951877234247</v>
      </c>
      <c r="AK17" s="27" t="n">
        <f aca="false">AK12*INDEX(Premissas!$E$29:$E$33,AK$4)</f>
        <v>6.91474970436627</v>
      </c>
      <c r="AL17" s="27" t="n">
        <f aca="false">AL12*INDEX(Premissas!$E$29:$E$33,AL$4)</f>
        <v>6.95915749458117</v>
      </c>
      <c r="AM17" s="27" t="n">
        <f aca="false">AM12*INDEX(Premissas!$E$29:$E$33,AM$4)</f>
        <v>13.4681289745589</v>
      </c>
      <c r="AN17" s="27" t="n">
        <f aca="false">AN12*INDEX(Premissas!$E$29:$E$33,AN$4)</f>
        <v>13.5727660656567</v>
      </c>
      <c r="AO17" s="27" t="n">
        <f aca="false">AO12*INDEX(Premissas!$E$29:$E$33,AO$4)</f>
        <v>13.6757359363438</v>
      </c>
      <c r="AP17" s="27" t="n">
        <f aca="false">AP12*INDEX(Premissas!$E$29:$E$33,AP$4)</f>
        <v>13.7770706258508</v>
      </c>
      <c r="AQ17" s="27" t="n">
        <f aca="false">AQ12*INDEX(Premissas!$E$29:$E$33,AQ$4)</f>
        <v>13.8768013963304</v>
      </c>
      <c r="AR17" s="27" t="n">
        <f aca="false">AR12*INDEX(Premissas!$E$29:$E$33,AR$4)</f>
        <v>13.9749587558151</v>
      </c>
      <c r="AS17" s="27" t="n">
        <f aca="false">AS12*INDEX(Premissas!$E$29:$E$33,AS$4)</f>
        <v>14.0715724804112</v>
      </c>
      <c r="AT17" s="27" t="n">
        <f aca="false">AT12*INDEX(Premissas!$E$29:$E$33,AT$4)</f>
        <v>14.1666716357547</v>
      </c>
      <c r="AU17" s="27" t="n">
        <f aca="false">AU12*INDEX(Premissas!$E$29:$E$33,AU$4)</f>
        <v>14.2602845977563</v>
      </c>
      <c r="AV17" s="27" t="n">
        <f aca="false">AV12*INDEX(Premissas!$E$29:$E$33,AV$4)</f>
        <v>14.3524390726597</v>
      </c>
      <c r="AW17" s="27" t="n">
        <f aca="false">AW12*INDEX(Premissas!$E$29:$E$33,AW$4)</f>
        <v>14.4431621164383</v>
      </c>
      <c r="AX17" s="27" t="n">
        <f aca="false">AX12*INDEX(Premissas!$E$29:$E$33,AX$4)</f>
        <v>14.5324801535522</v>
      </c>
      <c r="AY17" s="27" t="n">
        <f aca="false">AY12*INDEX(Premissas!$E$29:$E$33,AY$4)</f>
        <v>23.1394853244448</v>
      </c>
      <c r="AZ17" s="27" t="n">
        <f aca="false">AZ12*INDEX(Premissas!$E$29:$E$33,AZ$4)</f>
        <v>23.3068887648545</v>
      </c>
      <c r="BA17" s="27" t="n">
        <f aca="false">BA12*INDEX(Premissas!$E$29:$E$33,BA$4)</f>
        <v>23.472106637286</v>
      </c>
      <c r="BB17" s="27" t="n">
        <f aca="false">BB12*INDEX(Premissas!$E$29:$E$33,BB$4)</f>
        <v>23.6351736693228</v>
      </c>
      <c r="BC17" s="27" t="n">
        <f aca="false">BC12*INDEX(Premissas!$E$29:$E$33,BC$4)</f>
        <v>23.7961238662726</v>
      </c>
      <c r="BD17" s="27" t="n">
        <f aca="false">BD12*INDEX(Premissas!$E$29:$E$33,BD$4)</f>
        <v>23.9549905302401</v>
      </c>
      <c r="BE17" s="27" t="n">
        <f aca="false">BE12*INDEX(Premissas!$E$29:$E$33,BE$4)</f>
        <v>24.1118062786199</v>
      </c>
      <c r="BF17" s="27" t="n">
        <f aca="false">BF12*INDEX(Premissas!$E$29:$E$33,BF$4)</f>
        <v>24.266603062027</v>
      </c>
      <c r="BG17" s="27" t="n">
        <f aca="false">BG12*INDEX(Premissas!$E$29:$E$33,BG$4)</f>
        <v>24.4194121816847</v>
      </c>
      <c r="BH17" s="27" t="n">
        <f aca="false">BH12*INDEX(Premissas!$E$29:$E$33,BH$4)</f>
        <v>24.5702643062854</v>
      </c>
      <c r="BI17" s="27" t="n">
        <f aca="false">BI12*INDEX(Premissas!$E$29:$E$33,BI$4)</f>
        <v>24.7191894883438</v>
      </c>
      <c r="BJ17" s="27" t="n">
        <f aca="false">BJ12*INDEX(Premissas!$E$29:$E$33,BJ$4)</f>
        <v>24.8662171800566</v>
      </c>
    </row>
    <row r="18" customFormat="false" ht="15" hidden="false" customHeight="false" outlineLevel="0" collapsed="false">
      <c r="A18" s="5" t="s">
        <v>223</v>
      </c>
      <c r="C18" s="23" t="n">
        <f aca="false">0</f>
        <v>0</v>
      </c>
      <c r="D18" s="27" t="n">
        <f aca="false">C22*Premissas!$B$20*INDEX(Premissas!$B$48:$D$48,$B$2)*(1-Premissas!$B$25)^(D$4-1)</f>
        <v>0.357777777777778</v>
      </c>
      <c r="E18" s="27" t="n">
        <f aca="false">D22*Premissas!$B$20*INDEX(Premissas!$B$48:$D$48,$B$2)*(1-Premissas!$B$25)^(E$4-1)</f>
        <v>0.701244444444444</v>
      </c>
      <c r="F18" s="27" t="n">
        <f aca="false">E22*Premissas!$B$20*INDEX(Premissas!$B$48:$D$48,$B$2)*(1-Premissas!$B$25)^(F$4-1)</f>
        <v>1.03101716666667</v>
      </c>
      <c r="G18" s="27" t="n">
        <f aca="false">F22*Premissas!$B$20*INDEX(Premissas!$B$48:$D$48,$B$2)*(1-Premissas!$B$25)^(G$4-1)</f>
        <v>1.34768533861111</v>
      </c>
      <c r="H18" s="27" t="n">
        <f aca="false">G22*Premissas!$B$20*INDEX(Premissas!$B$48:$D$48,$B$2)*(1-Premissas!$B$25)^(H$4-1)</f>
        <v>1.65181185965833</v>
      </c>
      <c r="I18" s="27" t="n">
        <f aca="false">H22*Premissas!$B$20*INDEX(Premissas!$B$48:$D$48,$B$2)*(1-Premissas!$B$25)^(I$4-1)</f>
        <v>1.94393435268195</v>
      </c>
      <c r="J18" s="27" t="n">
        <f aca="false">I22*Premissas!$B$20*INDEX(Premissas!$B$48:$D$48,$B$2)*(1-Premissas!$B$25)^(J$4-1)</f>
        <v>2.22456632567278</v>
      </c>
      <c r="K18" s="27" t="n">
        <f aca="false">J22*Premissas!$B$20*INDEX(Premissas!$B$48:$D$48,$B$2)*(1-Premissas!$B$25)^(K$4-1)</f>
        <v>2.49419827935722</v>
      </c>
      <c r="L18" s="27" t="n">
        <f aca="false">K22*Premissas!$B$20*INDEX(Premissas!$B$48:$D$48,$B$2)*(1-Premissas!$B$25)^(L$4-1)</f>
        <v>2.75329876333508</v>
      </c>
      <c r="M18" s="27" t="n">
        <f aca="false">L22*Premissas!$B$20*INDEX(Premissas!$B$48:$D$48,$B$2)*(1-Premissas!$B$25)^(M$4-1)</f>
        <v>3.00231538314345</v>
      </c>
      <c r="N18" s="27" t="n">
        <f aca="false">M22*Premissas!$B$20*INDEX(Premissas!$B$48:$D$48,$B$2)*(1-Premissas!$B$25)^(N$4-1)</f>
        <v>3.24167576054056</v>
      </c>
      <c r="O18" s="27" t="n">
        <f aca="false">N22*Premissas!$B$20*INDEX(Premissas!$B$48:$D$48,$B$2)*(1-Premissas!$B$25)^(O$4-1)</f>
        <v>3.19404537326026</v>
      </c>
      <c r="P18" s="27" t="n">
        <f aca="false">O22*Premissas!$B$20*INDEX(Premissas!$B$48:$D$48,$B$2)*(1-Premissas!$B$25)^(P$4-1)</f>
        <v>3.94339597767543</v>
      </c>
      <c r="Q18" s="27" t="n">
        <f aca="false">P22*Premissas!$B$20*INDEX(Premissas!$B$48:$D$48,$B$2)*(1-Premissas!$B$25)^(Q$4-1)</f>
        <v>4.66622458931727</v>
      </c>
      <c r="R18" s="27" t="n">
        <f aca="false">Q22*Premissas!$B$20*INDEX(Premissas!$B$48:$D$48,$B$2)*(1-Premissas!$B$25)^(R$4-1)</f>
        <v>5.36356974713735</v>
      </c>
      <c r="S18" s="27" t="n">
        <f aca="false">R22*Premissas!$B$20*INDEX(Premissas!$B$48:$D$48,$B$2)*(1-Premissas!$B$25)^(S$4-1)</f>
        <v>6.0364270355014</v>
      </c>
      <c r="T18" s="27" t="n">
        <f aca="false">S22*Premissas!$B$20*INDEX(Premissas!$B$48:$D$48,$B$2)*(1-Premissas!$B$25)^(T$4-1)</f>
        <v>6.6857509088523</v>
      </c>
      <c r="U18" s="27" t="n">
        <f aca="false">T22*Premissas!$B$20*INDEX(Premissas!$B$48:$D$48,$B$2)*(1-Premissas!$B$25)^(U$4-1)</f>
        <v>7.31245643789427</v>
      </c>
      <c r="V18" s="27" t="n">
        <f aca="false">U22*Premissas!$B$20*INDEX(Premissas!$B$48:$D$48,$B$2)*(1-Premissas!$B$25)^(V$4-1)</f>
        <v>7.91742098069304</v>
      </c>
      <c r="W18" s="27" t="n">
        <f aca="false">V22*Premissas!$B$20*INDEX(Premissas!$B$48:$D$48,$B$2)*(1-Premissas!$B$25)^(W$4-1)</f>
        <v>8.50148578193943</v>
      </c>
      <c r="X18" s="27" t="n">
        <f aca="false">W22*Premissas!$B$20*INDEX(Premissas!$B$48:$D$48,$B$2)*(1-Premissas!$B$25)^(X$4-1)</f>
        <v>9.06545750348307</v>
      </c>
      <c r="Y18" s="27" t="n">
        <f aca="false">X22*Premissas!$B$20*INDEX(Premissas!$B$48:$D$48,$B$2)*(1-Premissas!$B$25)^(Y$4-1)</f>
        <v>9.6101096891081</v>
      </c>
      <c r="Z18" s="27" t="n">
        <f aca="false">Y22*Premissas!$B$20*INDEX(Premissas!$B$48:$D$48,$B$2)*(1-Premissas!$B$25)^(Z$4-1)</f>
        <v>10.136184166394</v>
      </c>
      <c r="AA18" s="27" t="n">
        <f aca="false">Z22*Premissas!$B$20*INDEX(Premissas!$B$48:$D$48,$B$2)*(1-Premissas!$B$25)^(AA$4-1)</f>
        <v>9.79284099731052</v>
      </c>
      <c r="AB18" s="27" t="n">
        <f aca="false">AA22*Premissas!$B$20*INDEX(Premissas!$B$48:$D$48,$B$2)*(1-Premissas!$B$25)^(AB$4-1)</f>
        <v>11.0091482014457</v>
      </c>
      <c r="AC18" s="27" t="n">
        <f aca="false">AB22*Premissas!$B$20*INDEX(Premissas!$B$48:$D$48,$B$2)*(1-Premissas!$B$25)^(AC$4-1)</f>
        <v>12.1875688873273</v>
      </c>
      <c r="AD18" s="27" t="n">
        <f aca="false">AC22*Premissas!$B$20*INDEX(Premissas!$B$48:$D$48,$B$2)*(1-Premissas!$B$25)^(AD$4-1)</f>
        <v>13.3294514434237</v>
      </c>
      <c r="AE18" s="27" t="n">
        <f aca="false">AD22*Premissas!$B$20*INDEX(Premissas!$B$48:$D$48,$B$2)*(1-Premissas!$B$25)^(AE$4-1)</f>
        <v>14.436092877606</v>
      </c>
      <c r="AF18" s="27" t="n">
        <f aca="false">AE22*Premissas!$B$20*INDEX(Premissas!$B$48:$D$48,$B$2)*(1-Premissas!$B$25)^(AF$4-1)</f>
        <v>15.5087408361882</v>
      </c>
      <c r="AG18" s="27" t="n">
        <f aca="false">AF22*Premissas!$B$20*INDEX(Premissas!$B$48:$D$48,$B$2)*(1-Premissas!$B$25)^(AG$4-1)</f>
        <v>16.5485955425705</v>
      </c>
      <c r="AH18" s="27" t="n">
        <f aca="false">AG22*Premissas!$B$20*INDEX(Premissas!$B$48:$D$48,$B$2)*(1-Premissas!$B$25)^(AH$4-1)</f>
        <v>17.5568116587046</v>
      </c>
      <c r="AI18" s="27" t="n">
        <f aca="false">AH22*Premissas!$B$20*INDEX(Premissas!$B$48:$D$48,$B$2)*(1-Premissas!$B$25)^(AI$4-1)</f>
        <v>18.5345000724719</v>
      </c>
      <c r="AJ18" s="27" t="n">
        <f aca="false">AI22*Premissas!$B$20*INDEX(Premissas!$B$48:$D$48,$B$2)*(1-Premissas!$B$25)^(AJ$4-1)</f>
        <v>19.4827296139413</v>
      </c>
      <c r="AK18" s="27" t="n">
        <f aca="false">AJ22*Premissas!$B$20*INDEX(Premissas!$B$48:$D$48,$B$2)*(1-Premissas!$B$25)^(AK$4-1)</f>
        <v>20.4025287033525</v>
      </c>
      <c r="AL18" s="27" t="n">
        <f aca="false">AK22*Premissas!$B$20*INDEX(Premissas!$B$48:$D$48,$B$2)*(1-Premissas!$B$25)^(AL$4-1)</f>
        <v>21.2948869335593</v>
      </c>
      <c r="AM18" s="27" t="n">
        <f aca="false">AL22*Premissas!$B$20*INDEX(Premissas!$B$48:$D$48,$B$2)*(1-Premissas!$B$25)^(AM$4-1)</f>
        <v>20.3878960623907</v>
      </c>
      <c r="AN18" s="27" t="n">
        <f aca="false">AM22*Premissas!$B$20*INDEX(Premissas!$B$48:$D$48,$B$2)*(1-Premissas!$B$25)^(AN$4-1)</f>
        <v>22.0411819920922</v>
      </c>
      <c r="AO18" s="27" t="n">
        <f aca="false">AN22*Premissas!$B$20*INDEX(Premissas!$B$48:$D$48,$B$2)*(1-Premissas!$B$25)^(AO$4-1)</f>
        <v>23.6491101437705</v>
      </c>
      <c r="AP18" s="27" t="n">
        <f aca="false">AO22*Premissas!$B$20*INDEX(Premissas!$B$48:$D$48,$B$2)*(1-Premissas!$B$25)^(AP$4-1)</f>
        <v>25.2131435715755</v>
      </c>
      <c r="AQ18" s="27" t="n">
        <f aca="false">AP22*Premissas!$B$20*INDEX(Premissas!$B$48:$D$48,$B$2)*(1-Premissas!$B$25)^(AQ$4-1)</f>
        <v>26.7346941878529</v>
      </c>
      <c r="AR18" s="27" t="n">
        <f aca="false">AQ22*Premissas!$B$20*INDEX(Premissas!$B$48:$D$48,$B$2)*(1-Premissas!$B$25)^(AR$4-1)</f>
        <v>28.2151246131301</v>
      </c>
      <c r="AS18" s="27" t="n">
        <f aca="false">AR22*Premissas!$B$20*INDEX(Premissas!$B$48:$D$48,$B$2)*(1-Premissas!$B$25)^(AS$4-1)</f>
        <v>29.6557499582438</v>
      </c>
      <c r="AT18" s="27" t="n">
        <f aca="false">AS22*Premissas!$B$20*INDEX(Premissas!$B$48:$D$48,$B$2)*(1-Premissas!$B$25)^(AT$4-1)</f>
        <v>31.0578395411158</v>
      </c>
      <c r="AU18" s="27" t="n">
        <f aca="false">AT22*Premissas!$B$20*INDEX(Premissas!$B$48:$D$48,$B$2)*(1-Premissas!$B$25)^(AU$4-1)</f>
        <v>32.4226185405834</v>
      </c>
      <c r="AV18" s="27" t="n">
        <f aca="false">AU22*Premissas!$B$20*INDEX(Premissas!$B$48:$D$48,$B$2)*(1-Premissas!$B$25)^(AV$4-1)</f>
        <v>33.7512695896104</v>
      </c>
      <c r="AW18" s="27" t="n">
        <f aca="false">AV22*Premissas!$B$20*INDEX(Premissas!$B$48:$D$48,$B$2)*(1-Premissas!$B$25)^(AW$4-1)</f>
        <v>35.0449343101099</v>
      </c>
      <c r="AX18" s="27" t="n">
        <f aca="false">AW22*Premissas!$B$20*INDEX(Premissas!$B$48:$D$48,$B$2)*(1-Premissas!$B$25)^(AX$4-1)</f>
        <v>36.3047147915356</v>
      </c>
      <c r="AY18" s="27" t="n">
        <f aca="false">AX22*Premissas!$B$20*INDEX(Premissas!$B$48:$D$48,$B$2)*(1-Premissas!$B$25)^(AY$4-1)</f>
        <v>34.5291410140866</v>
      </c>
      <c r="AZ18" s="27" t="n">
        <f aca="false">AY22*Premissas!$B$20*INDEX(Premissas!$B$48:$D$48,$B$2)*(1-Premissas!$B$25)^(AZ$4-1)</f>
        <v>36.2524915487296</v>
      </c>
      <c r="BA18" s="27" t="n">
        <f aca="false">AZ22*Premissas!$B$20*INDEX(Premissas!$B$48:$D$48,$B$2)*(1-Premissas!$B$25)^(BA$4-1)</f>
        <v>37.9355277463748</v>
      </c>
      <c r="BB18" s="27" t="n">
        <f aca="false">BA22*Premissas!$B$20*INDEX(Premissas!$B$48:$D$48,$B$2)*(1-Premissas!$B$25)^(BB$4-1)</f>
        <v>39.5794140585413</v>
      </c>
      <c r="BC18" s="27" t="n">
        <f aca="false">BB22*Premissas!$B$20*INDEX(Premissas!$B$48:$D$48,$B$2)*(1-Premissas!$B$25)^(BC$4-1)</f>
        <v>41.185277669111</v>
      </c>
      <c r="BD18" s="27" t="n">
        <f aca="false">BC22*Premissas!$B$20*INDEX(Premissas!$B$48:$D$48,$B$2)*(1-Premissas!$B$25)^(BD$4-1)</f>
        <v>42.7542097368437</v>
      </c>
      <c r="BE18" s="27" t="n">
        <f aca="false">BD22*Premissas!$B$20*INDEX(Premissas!$B$48:$D$48,$B$2)*(1-Premissas!$B$25)^(BE$4-1)</f>
        <v>44.2872665958251</v>
      </c>
      <c r="BF18" s="27" t="n">
        <f aca="false">BE22*Premissas!$B$20*INDEX(Premissas!$B$48:$D$48,$B$2)*(1-Premissas!$B$25)^(BF$4-1)</f>
        <v>45.7854709152818</v>
      </c>
      <c r="BG18" s="27" t="n">
        <f aca="false">BF22*Premissas!$B$20*INDEX(Premissas!$B$48:$D$48,$B$2)*(1-Premissas!$B$25)^(BG$4-1)</f>
        <v>47.2498128201447</v>
      </c>
      <c r="BH18" s="27" t="n">
        <f aca="false">BG22*Premissas!$B$20*INDEX(Premissas!$B$48:$D$48,$B$2)*(1-Premissas!$B$25)^(BH$4-1)</f>
        <v>48.6812509737</v>
      </c>
      <c r="BI18" s="27" t="n">
        <f aca="false">BH22*Premissas!$B$20*INDEX(Premissas!$B$48:$D$48,$B$2)*(1-Premissas!$B$25)^(BI$4-1)</f>
        <v>50.0807136236157</v>
      </c>
      <c r="BJ18" s="27" t="n">
        <f aca="false">BI22*Premissas!$B$20*INDEX(Premissas!$B$48:$D$48,$B$2)*(1-Premissas!$B$25)^(BJ$4-1)</f>
        <v>51.4490996125924</v>
      </c>
    </row>
    <row r="19" customFormat="false" ht="15" hidden="false" customHeight="false" outlineLevel="0" collapsed="false">
      <c r="A19" s="5" t="s">
        <v>224</v>
      </c>
      <c r="C19" s="23" t="n">
        <f aca="false">0</f>
        <v>0</v>
      </c>
      <c r="D19" s="27" t="n">
        <f aca="false">C23*Premissas!$C$20*INDEX(Premissas!$B$48:$D$48,$B$2)*(1-Premissas!$B$25)^(D$4-1)</f>
        <v>0.268333333333333</v>
      </c>
      <c r="E19" s="27" t="n">
        <f aca="false">D23*Premissas!$C$20*INDEX(Premissas!$B$48:$D$48,$B$2)*(1-Premissas!$B$25)^(E$4-1)</f>
        <v>0.5313</v>
      </c>
      <c r="F19" s="27" t="n">
        <f aca="false">E23*Premissas!$C$20*INDEX(Premissas!$B$48:$D$48,$B$2)*(1-Premissas!$B$25)^(F$4-1)</f>
        <v>0.788987208333333</v>
      </c>
      <c r="G19" s="27" t="n">
        <f aca="false">F23*Premissas!$C$20*INDEX(Premissas!$B$48:$D$48,$B$2)*(1-Premissas!$B$25)^(G$4-1)</f>
        <v>1.04148186479167</v>
      </c>
      <c r="H19" s="27" t="n">
        <f aca="false">G23*Premissas!$C$20*INDEX(Premissas!$B$48:$D$48,$B$2)*(1-Premissas!$B$25)^(H$4-1)</f>
        <v>1.28887049983125</v>
      </c>
      <c r="I19" s="27" t="n">
        <f aca="false">H23*Premissas!$C$20*INDEX(Premissas!$B$48:$D$48,$B$2)*(1-Premissas!$B$25)^(I$4-1)</f>
        <v>1.53123919934121</v>
      </c>
      <c r="J19" s="27" t="n">
        <f aca="false">I23*Premissas!$C$20*INDEX(Premissas!$B$48:$D$48,$B$2)*(1-Premissas!$B$25)^(J$4-1)</f>
        <v>1.76867354132967</v>
      </c>
      <c r="K19" s="27" t="n">
        <f aca="false">J23*Premissas!$C$20*INDEX(Premissas!$B$48:$D$48,$B$2)*(1-Premissas!$B$25)^(K$4-1)</f>
        <v>2.00125853756584</v>
      </c>
      <c r="L19" s="27" t="n">
        <f aca="false">K23*Premissas!$C$20*INDEX(Premissas!$B$48:$D$48,$B$2)*(1-Premissas!$B$25)^(L$4-1)</f>
        <v>2.22907857989815</v>
      </c>
      <c r="M19" s="27" t="n">
        <f aca="false">L23*Premissas!$C$20*INDEX(Premissas!$B$48:$D$48,$B$2)*(1-Premissas!$B$25)^(M$4-1)</f>
        <v>2.45221739098256</v>
      </c>
      <c r="N19" s="27" t="n">
        <f aca="false">M23*Premissas!$C$20*INDEX(Premissas!$B$48:$D$48,$B$2)*(1-Premissas!$B$25)^(N$4-1)</f>
        <v>2.67075797916879</v>
      </c>
      <c r="O19" s="27" t="n">
        <f aca="false">N23*Premissas!$C$20*INDEX(Premissas!$B$48:$D$48,$B$2)*(1-Premissas!$B$25)^(O$4-1)</f>
        <v>2.65399998952108</v>
      </c>
      <c r="P19" s="27" t="n">
        <f aca="false">O23*Premissas!$C$20*INDEX(Premissas!$B$48:$D$48,$B$2)*(1-Premissas!$B$25)^(P$4-1)</f>
        <v>3.34898675402614</v>
      </c>
      <c r="Q19" s="27" t="n">
        <f aca="false">P23*Premissas!$C$20*INDEX(Premissas!$B$48:$D$48,$B$2)*(1-Premissas!$B$25)^(Q$4-1)</f>
        <v>4.03160457099922</v>
      </c>
      <c r="R19" s="27" t="n">
        <f aca="false">Q23*Premissas!$C$20*INDEX(Premissas!$B$48:$D$48,$B$2)*(1-Premissas!$B$25)^(R$4-1)</f>
        <v>4.70203927534994</v>
      </c>
      <c r="S19" s="27" t="n">
        <f aca="false">R23*Premissas!$C$20*INDEX(Premissas!$B$48:$D$48,$B$2)*(1-Premissas!$B$25)^(S$4-1)</f>
        <v>5.36047570283517</v>
      </c>
      <c r="T19" s="27" t="n">
        <f aca="false">S23*Premissas!$C$20*INDEX(Premissas!$B$48:$D$48,$B$2)*(1-Premissas!$B$25)^(T$4-1)</f>
        <v>6.00709758799461</v>
      </c>
      <c r="U19" s="27" t="n">
        <f aca="false">T23*Premissas!$C$20*INDEX(Premissas!$B$48:$D$48,$B$2)*(1-Premissas!$B$25)^(U$4-1)</f>
        <v>6.64208746957953</v>
      </c>
      <c r="V19" s="27" t="n">
        <f aca="false">U23*Premissas!$C$20*INDEX(Premissas!$B$48:$D$48,$B$2)*(1-Premissas!$B$25)^(V$4-1)</f>
        <v>7.26562660308363</v>
      </c>
      <c r="W19" s="27" t="n">
        <f aca="false">V23*Premissas!$C$20*INDEX(Premissas!$B$48:$D$48,$B$2)*(1-Premissas!$B$25)^(W$4-1)</f>
        <v>7.87789488000275</v>
      </c>
      <c r="X19" s="27" t="n">
        <f aca="false">W23*Premissas!$C$20*INDEX(Premissas!$B$48:$D$48,$B$2)*(1-Premissas!$B$25)^(X$4-1)</f>
        <v>8.47907075346855</v>
      </c>
      <c r="Y19" s="27" t="n">
        <f aca="false">X23*Premissas!$C$20*INDEX(Premissas!$B$48:$D$48,$B$2)*(1-Premissas!$B$25)^(Y$4-1)</f>
        <v>9.06933116991732</v>
      </c>
      <c r="Z19" s="27" t="n">
        <f aca="false">Y23*Premissas!$C$20*INDEX(Premissas!$B$48:$D$48,$B$2)*(1-Premissas!$B$25)^(Z$4-1)</f>
        <v>9.64885150647174</v>
      </c>
      <c r="AA19" s="27" t="n">
        <f aca="false">Z23*Premissas!$C$20*INDEX(Premissas!$B$48:$D$48,$B$2)*(1-Premissas!$B$25)^(AA$4-1)</f>
        <v>9.40038107263013</v>
      </c>
      <c r="AB19" s="27" t="n">
        <f aca="false">AA23*Premissas!$C$20*INDEX(Premissas!$B$48:$D$48,$B$2)*(1-Premissas!$B$25)^(AB$4-1)</f>
        <v>10.7924268315753</v>
      </c>
      <c r="AC19" s="27" t="n">
        <f aca="false">AB23*Premissas!$C$20*INDEX(Premissas!$B$48:$D$48,$B$2)*(1-Premissas!$B$25)^(AC$4-1)</f>
        <v>12.1627133672347</v>
      </c>
      <c r="AD19" s="27" t="n">
        <f aca="false">AC23*Premissas!$C$20*INDEX(Premissas!$B$48:$D$48,$B$2)*(1-Premissas!$B$25)^(AD$4-1)</f>
        <v>13.511538220822</v>
      </c>
      <c r="AE19" s="27" t="n">
        <f aca="false">AD23*Premissas!$C$20*INDEX(Premissas!$B$48:$D$48,$B$2)*(1-Premissas!$B$25)^(AE$4-1)</f>
        <v>14.8391970615868</v>
      </c>
      <c r="AF19" s="27" t="n">
        <f aca="false">AE23*Premissas!$C$20*INDEX(Premissas!$B$48:$D$48,$B$2)*(1-Premissas!$B$25)^(AF$4-1)</f>
        <v>16.1459835789615</v>
      </c>
      <c r="AG19" s="27" t="n">
        <f aca="false">AF23*Premissas!$C$20*INDEX(Premissas!$B$48:$D$48,$B$2)*(1-Premissas!$B$25)^(AG$4-1)</f>
        <v>17.4321893824943</v>
      </c>
      <c r="AH19" s="27" t="n">
        <f aca="false">AG23*Premissas!$C$20*INDEX(Premissas!$B$48:$D$48,$B$2)*(1-Premissas!$B$25)^(AH$4-1)</f>
        <v>18.6981039091897</v>
      </c>
      <c r="AI19" s="27" t="n">
        <f aca="false">AH23*Premissas!$C$20*INDEX(Premissas!$B$48:$D$48,$B$2)*(1-Premissas!$B$25)^(AI$4-1)</f>
        <v>19.9440143378912</v>
      </c>
      <c r="AJ19" s="27" t="n">
        <f aca="false">AI23*Premissas!$C$20*INDEX(Premissas!$B$48:$D$48,$B$2)*(1-Premissas!$B$25)^(AJ$4-1)</f>
        <v>21.1702055103599</v>
      </c>
      <c r="AK19" s="27" t="n">
        <f aca="false">AJ23*Premissas!$C$20*INDEX(Premissas!$B$48:$D$48,$B$2)*(1-Premissas!$B$25)^(AK$4-1)</f>
        <v>22.3769598587141</v>
      </c>
      <c r="AL19" s="27" t="n">
        <f aca="false">AK23*Premissas!$C$20*INDEX(Premissas!$B$48:$D$48,$B$2)*(1-Premissas!$B$25)^(AL$4-1)</f>
        <v>23.5645573389143</v>
      </c>
      <c r="AM19" s="27" t="n">
        <f aca="false">AL23*Premissas!$C$20*INDEX(Premissas!$B$48:$D$48,$B$2)*(1-Premissas!$B$25)^(AM$4-1)</f>
        <v>22.7546133403895</v>
      </c>
      <c r="AN19" s="27" t="n">
        <f aca="false">AM23*Premissas!$C$20*INDEX(Premissas!$B$48:$D$48,$B$2)*(1-Premissas!$B$25)^(AN$4-1)</f>
        <v>24.8449186135408</v>
      </c>
      <c r="AO19" s="27" t="n">
        <f aca="false">AN23*Premissas!$C$20*INDEX(Premissas!$B$48:$D$48,$B$2)*(1-Premissas!$B$25)^(AO$4-1)</f>
        <v>26.9067629295141</v>
      </c>
      <c r="AP19" s="27" t="n">
        <f aca="false">AO23*Premissas!$C$20*INDEX(Premissas!$B$48:$D$48,$B$2)*(1-Premissas!$B$25)^(AP$4-1)</f>
        <v>28.9404865933523</v>
      </c>
      <c r="AQ19" s="27" t="n">
        <f aca="false">AP23*Premissas!$C$20*INDEX(Premissas!$B$48:$D$48,$B$2)*(1-Premissas!$B$25)^(AQ$4-1)</f>
        <v>30.9464281974958</v>
      </c>
      <c r="AR19" s="27" t="n">
        <f aca="false">AQ23*Premissas!$C$20*INDEX(Premissas!$B$48:$D$48,$B$2)*(1-Premissas!$B$25)^(AR$4-1)</f>
        <v>32.9249245105147</v>
      </c>
      <c r="AS19" s="27" t="n">
        <f aca="false">AR23*Premissas!$C$20*INDEX(Premissas!$B$48:$D$48,$B$2)*(1-Premissas!$B$25)^(AS$4-1)</f>
        <v>34.8763103729094</v>
      </c>
      <c r="AT19" s="27" t="n">
        <f aca="false">AS23*Premissas!$C$20*INDEX(Premissas!$B$48:$D$48,$B$2)*(1-Premissas!$B$25)^(AT$4-1)</f>
        <v>36.8009185996662</v>
      </c>
      <c r="AU19" s="27" t="n">
        <f aca="false">AT23*Premissas!$C$20*INDEX(Premissas!$B$48:$D$48,$B$2)*(1-Premissas!$B$25)^(AU$4-1)</f>
        <v>38.6990798892658</v>
      </c>
      <c r="AV19" s="27" t="n">
        <f aca="false">AU23*Premissas!$C$20*INDEX(Premissas!$B$48:$D$48,$B$2)*(1-Premissas!$B$25)^(AV$4-1)</f>
        <v>40.5711227388558</v>
      </c>
      <c r="AW19" s="27" t="n">
        <f aca="false">AV23*Premissas!$C$20*INDEX(Premissas!$B$48:$D$48,$B$2)*(1-Premissas!$B$25)^(AW$4-1)</f>
        <v>42.4173733653104</v>
      </c>
      <c r="AX19" s="27" t="n">
        <f aca="false">AW23*Premissas!$C$20*INDEX(Premissas!$B$48:$D$48,$B$2)*(1-Premissas!$B$25)^(AX$4-1)</f>
        <v>44.2381556319091</v>
      </c>
      <c r="AY19" s="27" t="n">
        <f aca="false">AX23*Premissas!$C$20*INDEX(Premissas!$B$48:$D$48,$B$2)*(1-Premissas!$B$25)^(AY$4-1)</f>
        <v>42.3510877019499</v>
      </c>
      <c r="AZ19" s="27" t="n">
        <f aca="false">AY23*Premissas!$C$20*INDEX(Premissas!$B$48:$D$48,$B$2)*(1-Premissas!$B$25)^(AZ$4-1)</f>
        <v>44.9930937234213</v>
      </c>
      <c r="BA19" s="27" t="n">
        <f aca="false">AZ23*Premissas!$C$20*INDEX(Premissas!$B$48:$D$48,$B$2)*(1-Premissas!$B$25)^(BA$4-1)</f>
        <v>47.6040168765114</v>
      </c>
      <c r="BB19" s="27" t="n">
        <f aca="false">BA23*Premissas!$C$20*INDEX(Premissas!$B$48:$D$48,$B$2)*(1-Premissas!$B$25)^(BB$4-1)</f>
        <v>50.1841896750528</v>
      </c>
      <c r="BC19" s="27" t="n">
        <f aca="false">BB23*Premissas!$C$20*INDEX(Premissas!$B$48:$D$48,$B$2)*(1-Premissas!$B$25)^(BC$4-1)</f>
        <v>52.7339428176889</v>
      </c>
      <c r="BD19" s="27" t="n">
        <f aca="false">BC23*Premissas!$C$20*INDEX(Premissas!$B$48:$D$48,$B$2)*(1-Premissas!$B$25)^(BD$4-1)</f>
        <v>55.2536051160068</v>
      </c>
      <c r="BE19" s="27" t="n">
        <f aca="false">BD23*Premissas!$C$20*INDEX(Premissas!$B$48:$D$48,$B$2)*(1-Premissas!$B$25)^(BE$4-1)</f>
        <v>57.743503427143</v>
      </c>
      <c r="BF19" s="27" t="n">
        <f aca="false">BE23*Premissas!$C$20*INDEX(Premissas!$B$48:$D$48,$B$2)*(1-Premissas!$B$25)^(BF$4-1)</f>
        <v>60.2039625906763</v>
      </c>
      <c r="BG19" s="27" t="n">
        <f aca="false">BF23*Premissas!$C$20*INDEX(Premissas!$B$48:$D$48,$B$2)*(1-Premissas!$B$25)^(BG$4-1)</f>
        <v>62.6353053696295</v>
      </c>
      <c r="BH19" s="27" t="n">
        <f aca="false">BG23*Premissas!$C$20*INDEX(Premissas!$B$48:$D$48,$B$2)*(1-Premissas!$B$25)^(BH$4-1)</f>
        <v>65.0378523954084</v>
      </c>
      <c r="BI19" s="27" t="n">
        <f aca="false">BH23*Premissas!$C$20*INDEX(Premissas!$B$48:$D$48,$B$2)*(1-Premissas!$B$25)^(BI$4-1)</f>
        <v>67.4119221165126</v>
      </c>
      <c r="BJ19" s="27" t="n">
        <f aca="false">BI23*Premissas!$C$20*INDEX(Premissas!$B$48:$D$48,$B$2)*(1-Premissas!$B$25)^(BJ$4-1)</f>
        <v>69.7578307508586</v>
      </c>
    </row>
    <row r="20" customFormat="false" ht="15" hidden="false" customHeight="false" outlineLevel="0" collapsed="false">
      <c r="A20" s="5" t="s">
        <v>225</v>
      </c>
      <c r="C20" s="23" t="n">
        <f aca="false">0</f>
        <v>0</v>
      </c>
      <c r="D20" s="27" t="n">
        <f aca="false">C24*Premissas!$D$20*INDEX(Premissas!$B$48:$D$48,$B$2)*(1-Premissas!$B$25)^(D$4-1)</f>
        <v>0.0447222222222222</v>
      </c>
      <c r="E20" s="27" t="n">
        <f aca="false">D24*Premissas!$D$20*INDEX(Premissas!$B$48:$D$48,$B$2)*(1-Premissas!$B$25)^(E$4-1)</f>
        <v>0.0887736111111111</v>
      </c>
      <c r="F20" s="27" t="n">
        <f aca="false">E24*Premissas!$D$20*INDEX(Premissas!$B$48:$D$48,$B$2)*(1-Premissas!$B$25)^(F$4-1)</f>
        <v>0.132158638888889</v>
      </c>
      <c r="G20" s="27" t="n">
        <f aca="false">F24*Premissas!$D$20*INDEX(Premissas!$B$48:$D$48,$B$2)*(1-Premissas!$B$25)^(G$4-1)</f>
        <v>0.174882051701389</v>
      </c>
      <c r="H20" s="27" t="n">
        <f aca="false">G24*Premissas!$D$20*INDEX(Premissas!$B$48:$D$48,$B$2)*(1-Premissas!$B$25)^(H$4-1)</f>
        <v>0.216948848906076</v>
      </c>
      <c r="I20" s="27" t="n">
        <f aca="false">H24*Premissas!$D$20*INDEX(Premissas!$B$48:$D$48,$B$2)*(1-Premissas!$B$25)^(I$4-1)</f>
        <v>0.258364263434241</v>
      </c>
      <c r="J20" s="27" t="n">
        <f aca="false">I24*Premissas!$D$20*INDEX(Premissas!$B$48:$D$48,$B$2)*(1-Premissas!$B$25)^(J$4-1)</f>
        <v>0.2991337431765</v>
      </c>
      <c r="K20" s="27" t="n">
        <f aca="false">J24*Premissas!$D$20*INDEX(Premissas!$B$48:$D$48,$B$2)*(1-Premissas!$B$25)^(K$4-1)</f>
        <v>0.339262933343098</v>
      </c>
      <c r="L20" s="27" t="n">
        <f aca="false">K24*Premissas!$D$20*INDEX(Premissas!$B$48:$D$48,$B$2)*(1-Premissas!$B$25)^(L$4-1)</f>
        <v>0.378757659752736</v>
      </c>
      <c r="M20" s="27" t="n">
        <f aca="false">L24*Premissas!$D$20*INDEX(Premissas!$B$48:$D$48,$B$2)*(1-Premissas!$B$25)^(M$4-1)</f>
        <v>0.417623913005808</v>
      </c>
      <c r="N20" s="27" t="n">
        <f aca="false">M24*Premissas!$D$20*INDEX(Premissas!$B$48:$D$48,$B$2)*(1-Premissas!$B$25)^(N$4-1)</f>
        <v>0.455867833499948</v>
      </c>
      <c r="O20" s="27" t="n">
        <f aca="false">N24*Premissas!$D$20*INDEX(Premissas!$B$48:$D$48,$B$2)*(1-Premissas!$B$25)^(O$4-1)</f>
        <v>0.45401604146793</v>
      </c>
      <c r="P20" s="27" t="n">
        <f aca="false">O24*Premissas!$D$20*INDEX(Premissas!$B$48:$D$48,$B$2)*(1-Premissas!$B$25)^(P$4-1)</f>
        <v>0.610025058094265</v>
      </c>
      <c r="Q20" s="27" t="n">
        <f aca="false">P24*Premissas!$D$20*INDEX(Premissas!$B$48:$D$48,$B$2)*(1-Premissas!$B$25)^(Q$4-1)</f>
        <v>0.763921949558008</v>
      </c>
      <c r="R20" s="27" t="n">
        <f aca="false">Q24*Premissas!$D$20*INDEX(Premissas!$B$48:$D$48,$B$2)*(1-Premissas!$B$25)^(R$4-1)</f>
        <v>0.915721592662071</v>
      </c>
      <c r="S20" s="27" t="n">
        <f aca="false">R24*Premissas!$D$20*INDEX(Premissas!$B$48:$D$48,$B$2)*(1-Premissas!$B$25)^(S$4-1)</f>
        <v>1.06543941685257</v>
      </c>
      <c r="T20" s="27" t="n">
        <f aca="false">S24*Premissas!$D$20*INDEX(Premissas!$B$48:$D$48,$B$2)*(1-Premissas!$B$25)^(T$4-1)</f>
        <v>1.21309136341913</v>
      </c>
      <c r="U20" s="27" t="n">
        <f aca="false">T24*Premissas!$D$20*INDEX(Premissas!$B$48:$D$48,$B$2)*(1-Premissas!$B$25)^(U$4-1)</f>
        <v>1.35869384664676</v>
      </c>
      <c r="V20" s="27" t="n">
        <f aca="false">U24*Premissas!$D$20*INDEX(Premissas!$B$48:$D$48,$B$2)*(1-Premissas!$B$25)^(V$4-1)</f>
        <v>1.50226371683452</v>
      </c>
      <c r="W20" s="27" t="n">
        <f aca="false">V24*Premissas!$D$20*INDEX(Premissas!$B$48:$D$48,$B$2)*(1-Premissas!$B$25)^(W$4-1)</f>
        <v>1.64381822509958</v>
      </c>
      <c r="X20" s="27" t="n">
        <f aca="false">W24*Premissas!$D$20*INDEX(Premissas!$B$48:$D$48,$B$2)*(1-Premissas!$B$25)^(X$4-1)</f>
        <v>1.78337498988896</v>
      </c>
      <c r="Y20" s="27" t="n">
        <f aca="false">X24*Premissas!$D$20*INDEX(Premissas!$B$48:$D$48,$B$2)*(1-Premissas!$B$25)^(Y$4-1)</f>
        <v>1.92095196512449</v>
      </c>
      <c r="Z20" s="27" t="n">
        <f aca="false">Y24*Premissas!$D$20*INDEX(Premissas!$B$48:$D$48,$B$2)*(1-Premissas!$B$25)^(Z$4-1)</f>
        <v>2.05656740990953</v>
      </c>
      <c r="AA20" s="27" t="n">
        <f aca="false">Z24*Premissas!$D$20*INDEX(Premissas!$B$48:$D$48,$B$2)*(1-Premissas!$B$25)^(AA$4-1)</f>
        <v>2.01502067095091</v>
      </c>
      <c r="AB20" s="27" t="n">
        <f aca="false">AA24*Premissas!$D$20*INDEX(Premissas!$B$48:$D$48,$B$2)*(1-Premissas!$B$25)^(AB$4-1)</f>
        <v>2.38006789233893</v>
      </c>
      <c r="AC20" s="27" t="n">
        <f aca="false">AB24*Premissas!$D$20*INDEX(Premissas!$B$48:$D$48,$B$2)*(1-Premissas!$B$25)^(AC$4-1)</f>
        <v>2.74078761517874</v>
      </c>
      <c r="AD20" s="27" t="n">
        <f aca="false">AC24*Premissas!$D$20*INDEX(Premissas!$B$48:$D$48,$B$2)*(1-Premissas!$B$25)^(AD$4-1)</f>
        <v>3.09720766709358</v>
      </c>
      <c r="AE20" s="27" t="n">
        <f aca="false">AD24*Premissas!$D$20*INDEX(Premissas!$B$48:$D$48,$B$2)*(1-Premissas!$B$25)^(AE$4-1)</f>
        <v>3.44935670767487</v>
      </c>
      <c r="AF20" s="27" t="n">
        <f aca="false">AE24*Premissas!$D$20*INDEX(Premissas!$B$48:$D$48,$B$2)*(1-Premissas!$B$25)^(AF$4-1)</f>
        <v>3.7972641720311</v>
      </c>
      <c r="AG20" s="27" t="n">
        <f aca="false">AF24*Premissas!$D$20*INDEX(Premissas!$B$48:$D$48,$B$2)*(1-Premissas!$B$25)^(AG$4-1)</f>
        <v>4.14096021679336</v>
      </c>
      <c r="AH20" s="27" t="n">
        <f aca="false">AG24*Premissas!$D$20*INDEX(Premissas!$B$48:$D$48,$B$2)*(1-Premissas!$B$25)^(AH$4-1)</f>
        <v>4.48047566847993</v>
      </c>
      <c r="AI20" s="27" t="n">
        <f aca="false">AH24*Premissas!$D$20*INDEX(Premissas!$B$48:$D$48,$B$2)*(1-Premissas!$B$25)^(AI$4-1)</f>
        <v>4.81584197412582</v>
      </c>
      <c r="AJ20" s="27" t="n">
        <f aca="false">AI24*Premissas!$D$20*INDEX(Premissas!$B$48:$D$48,$B$2)*(1-Premissas!$B$25)^(AJ$4-1)</f>
        <v>5.14709115408742</v>
      </c>
      <c r="AK20" s="27" t="n">
        <f aca="false">AJ24*Premissas!$D$20*INDEX(Premissas!$B$48:$D$48,$B$2)*(1-Premissas!$B$25)^(AK$4-1)</f>
        <v>5.47425575693523</v>
      </c>
      <c r="AL20" s="27" t="n">
        <f aca="false">AK24*Premissas!$D$20*INDEX(Premissas!$B$48:$D$48,$B$2)*(1-Premissas!$B$25)^(AL$4-1)</f>
        <v>5.79736881635165</v>
      </c>
      <c r="AM20" s="27" t="n">
        <f aca="false">AL24*Premissas!$D$20*INDEX(Premissas!$B$48:$D$48,$B$2)*(1-Premissas!$B$25)^(AM$4-1)</f>
        <v>5.62714670515737</v>
      </c>
      <c r="AN20" s="27" t="n">
        <f aca="false">AM24*Premissas!$D$20*INDEX(Premissas!$B$48:$D$48,$B$2)*(1-Premissas!$B$25)^(AN$4-1)</f>
        <v>6.21676660914815</v>
      </c>
      <c r="AO20" s="27" t="n">
        <f aca="false">AN24*Premissas!$D$20*INDEX(Premissas!$B$48:$D$48,$B$2)*(1-Premissas!$B$25)^(AO$4-1)</f>
        <v>6.80034024102348</v>
      </c>
      <c r="AP20" s="27" t="n">
        <f aca="false">AO24*Premissas!$D$20*INDEX(Premissas!$B$48:$D$48,$B$2)*(1-Premissas!$B$25)^(AP$4-1)</f>
        <v>7.37789875513674</v>
      </c>
      <c r="AQ20" s="27" t="n">
        <f aca="false">AP24*Premissas!$D$20*INDEX(Premissas!$B$48:$D$48,$B$2)*(1-Premissas!$B$25)^(AQ$4-1)</f>
        <v>7.94947436259091</v>
      </c>
      <c r="AR20" s="27" t="n">
        <f aca="false">AQ24*Premissas!$D$20*INDEX(Premissas!$B$48:$D$48,$B$2)*(1-Premissas!$B$25)^(AR$4-1)</f>
        <v>8.51510027032653</v>
      </c>
      <c r="AS20" s="27" t="n">
        <f aca="false">AR24*Premissas!$D$20*INDEX(Premissas!$B$48:$D$48,$B$2)*(1-Premissas!$B$25)^(AS$4-1)</f>
        <v>9.07481062258724</v>
      </c>
      <c r="AT20" s="27" t="n">
        <f aca="false">AS24*Premissas!$D$20*INDEX(Premissas!$B$48:$D$48,$B$2)*(1-Premissas!$B$25)^(AT$4-1)</f>
        <v>9.62864044467697</v>
      </c>
      <c r="AU20" s="27" t="n">
        <f aca="false">AT24*Premissas!$D$20*INDEX(Premissas!$B$48:$D$48,$B$2)*(1-Premissas!$B$25)^(AU$4-1)</f>
        <v>10.1766255889259</v>
      </c>
      <c r="AV20" s="27" t="n">
        <f aca="false">AU24*Premissas!$D$20*INDEX(Premissas!$B$48:$D$48,$B$2)*(1-Premissas!$B$25)^(AV$4-1)</f>
        <v>10.718802682785</v>
      </c>
      <c r="AW20" s="27" t="n">
        <f aca="false">AV24*Premissas!$D$20*INDEX(Premissas!$B$48:$D$48,$B$2)*(1-Premissas!$B$25)^(AW$4-1)</f>
        <v>11.2552090789727</v>
      </c>
      <c r="AX20" s="27" t="n">
        <f aca="false">AW24*Premissas!$D$20*INDEX(Premissas!$B$48:$D$48,$B$2)*(1-Premissas!$B$25)^(AX$4-1)</f>
        <v>11.7858828075989</v>
      </c>
      <c r="AY20" s="27" t="n">
        <f aca="false">AX24*Premissas!$D$20*INDEX(Premissas!$B$48:$D$48,$B$2)*(1-Premissas!$B$25)^(AY$4-1)</f>
        <v>11.3259935277786</v>
      </c>
      <c r="AZ20" s="27" t="n">
        <f aca="false">AY24*Premissas!$D$20*INDEX(Premissas!$B$48:$D$48,$B$2)*(1-Premissas!$B$25)^(AZ$4-1)</f>
        <v>12.1888089732145</v>
      </c>
      <c r="BA20" s="27" t="n">
        <f aca="false">AZ24*Premissas!$D$20*INDEX(Premissas!$B$48:$D$48,$B$2)*(1-Premissas!$B$25)^(BA$4-1)</f>
        <v>13.0438811159903</v>
      </c>
      <c r="BB20" s="27" t="n">
        <f aca="false">BA24*Premissas!$D$20*INDEX(Premissas!$B$48:$D$48,$B$2)*(1-Premissas!$B$25)^(BB$4-1)</f>
        <v>13.8912479835109</v>
      </c>
      <c r="BC20" s="27" t="n">
        <f aca="false">BB24*Premissas!$D$20*INDEX(Premissas!$B$48:$D$48,$B$2)*(1-Premissas!$B$25)^(BC$4-1)</f>
        <v>14.7309485214554</v>
      </c>
      <c r="BD20" s="27" t="n">
        <f aca="false">BC24*Premissas!$D$20*INDEX(Premissas!$B$48:$D$48,$B$2)*(1-Premissas!$B$25)^(BD$4-1)</f>
        <v>15.5630225440671</v>
      </c>
      <c r="BE20" s="27" t="n">
        <f aca="false">BD24*Premissas!$D$20*INDEX(Premissas!$B$48:$D$48,$B$2)*(1-Premissas!$B$25)^(BE$4-1)</f>
        <v>16.3875106862132</v>
      </c>
      <c r="BF20" s="27" t="n">
        <f aca="false">BE24*Premissas!$D$20*INDEX(Premissas!$B$48:$D$48,$B$2)*(1-Premissas!$B$25)^(BF$4-1)</f>
        <v>17.2044543571535</v>
      </c>
      <c r="BG20" s="27" t="n">
        <f aca="false">BF24*Premissas!$D$20*INDEX(Premissas!$B$48:$D$48,$B$2)*(1-Premissas!$B$25)^(BG$4-1)</f>
        <v>18.0138956959634</v>
      </c>
      <c r="BH20" s="27" t="n">
        <f aca="false">BG24*Premissas!$D$20*INDEX(Premissas!$B$48:$D$48,$B$2)*(1-Premissas!$B$25)^(BH$4-1)</f>
        <v>18.8158775285563</v>
      </c>
      <c r="BI20" s="27" t="n">
        <f aca="false">BH24*Premissas!$D$20*INDEX(Premissas!$B$48:$D$48,$B$2)*(1-Premissas!$B$25)^(BI$4-1)</f>
        <v>19.6104433262518</v>
      </c>
      <c r="BJ20" s="27" t="n">
        <f aca="false">BI24*Premissas!$D$20*INDEX(Premissas!$B$48:$D$48,$B$2)*(1-Premissas!$B$25)^(BJ$4-1)</f>
        <v>20.3976371658396</v>
      </c>
    </row>
    <row r="21" customFormat="false" ht="15" hidden="false" customHeight="false" outlineLevel="0" collapsed="false">
      <c r="A21" s="5" t="s">
        <v>226</v>
      </c>
      <c r="C21" s="23" t="n">
        <f aca="false">0</f>
        <v>0</v>
      </c>
      <c r="D21" s="27" t="n">
        <f aca="false">C25*Premissas!$E$20*INDEX(Premissas!$B$48:$D$48,$B$2)*(1-Premissas!$B$25)^(D$4-1)</f>
        <v>0</v>
      </c>
      <c r="E21" s="27" t="n">
        <f aca="false">D25*Premissas!$E$20*INDEX(Premissas!$B$48:$D$48,$B$2)*(1-Premissas!$B$25)^(E$4-1)</f>
        <v>0</v>
      </c>
      <c r="F21" s="27" t="n">
        <f aca="false">E25*Premissas!$E$20*INDEX(Premissas!$B$48:$D$48,$B$2)*(1-Premissas!$B$25)^(F$4-1)</f>
        <v>0</v>
      </c>
      <c r="G21" s="27" t="n">
        <f aca="false">F25*Premissas!$E$20*INDEX(Premissas!$B$48:$D$48,$B$2)*(1-Premissas!$B$25)^(G$4-1)</f>
        <v>0</v>
      </c>
      <c r="H21" s="27" t="n">
        <f aca="false">G25*Premissas!$E$20*INDEX(Premissas!$B$48:$D$48,$B$2)*(1-Premissas!$B$25)^(H$4-1)</f>
        <v>0</v>
      </c>
      <c r="I21" s="27" t="n">
        <f aca="false">H25*Premissas!$E$20*INDEX(Premissas!$B$48:$D$48,$B$2)*(1-Premissas!$B$25)^(I$4-1)</f>
        <v>0</v>
      </c>
      <c r="J21" s="27" t="n">
        <f aca="false">I25*Premissas!$E$20*INDEX(Premissas!$B$48:$D$48,$B$2)*(1-Premissas!$B$25)^(J$4-1)</f>
        <v>0</v>
      </c>
      <c r="K21" s="27" t="n">
        <f aca="false">J25*Premissas!$E$20*INDEX(Premissas!$B$48:$D$48,$B$2)*(1-Premissas!$B$25)^(K$4-1)</f>
        <v>0</v>
      </c>
      <c r="L21" s="27" t="n">
        <f aca="false">K25*Premissas!$E$20*INDEX(Premissas!$B$48:$D$48,$B$2)*(1-Premissas!$B$25)^(L$4-1)</f>
        <v>0</v>
      </c>
      <c r="M21" s="27" t="n">
        <f aca="false">L25*Premissas!$E$20*INDEX(Premissas!$B$48:$D$48,$B$2)*(1-Premissas!$B$25)^(M$4-1)</f>
        <v>0</v>
      </c>
      <c r="N21" s="27" t="n">
        <f aca="false">M25*Premissas!$E$20*INDEX(Premissas!$B$48:$D$48,$B$2)*(1-Premissas!$B$25)^(N$4-1)</f>
        <v>0</v>
      </c>
      <c r="O21" s="27" t="n">
        <f aca="false">N25*Premissas!$E$20*INDEX(Premissas!$B$48:$D$48,$B$2)*(1-Premissas!$B$25)^(O$4-1)</f>
        <v>0</v>
      </c>
      <c r="P21" s="27" t="n">
        <f aca="false">O25*Premissas!$E$20*INDEX(Premissas!$B$48:$D$48,$B$2)*(1-Premissas!$B$25)^(P$4-1)</f>
        <v>0.0204863243790889</v>
      </c>
      <c r="Q21" s="27" t="n">
        <f aca="false">P25*Premissas!$E$20*INDEX(Premissas!$B$48:$D$48,$B$2)*(1-Premissas!$B$25)^(Q$4-1)</f>
        <v>0.0407773720474259</v>
      </c>
      <c r="R21" s="27" t="n">
        <f aca="false">Q25*Premissas!$E$20*INDEX(Premissas!$B$48:$D$48,$B$2)*(1-Premissas!$B$25)^(R$4-1)</f>
        <v>0.0608725881486944</v>
      </c>
      <c r="S21" s="27" t="n">
        <f aca="false">R25*Premissas!$E$20*INDEX(Premissas!$B$48:$D$48,$B$2)*(1-Premissas!$B$25)^(S$4-1)</f>
        <v>0.0807715381663556</v>
      </c>
      <c r="T21" s="27" t="n">
        <f aca="false">S25*Premissas!$E$20*INDEX(Premissas!$B$48:$D$48,$B$2)*(1-Premissas!$B$25)^(T$4-1)</f>
        <v>0.1004739022523</v>
      </c>
      <c r="U21" s="27" t="n">
        <f aca="false">T25*Premissas!$E$20*INDEX(Premissas!$B$48:$D$48,$B$2)*(1-Premissas!$B$25)^(U$4-1)</f>
        <v>0.119979469784553</v>
      </c>
      <c r="V21" s="27" t="n">
        <f aca="false">U25*Premissas!$E$20*INDEX(Premissas!$B$48:$D$48,$B$2)*(1-Premissas!$B$25)^(V$4-1)</f>
        <v>0.139288134144903</v>
      </c>
      <c r="W21" s="27" t="n">
        <f aca="false">V25*Premissas!$E$20*INDEX(Premissas!$B$48:$D$48,$B$2)*(1-Premissas!$B$25)^(W$4-1)</f>
        <v>0.158399887707683</v>
      </c>
      <c r="X21" s="27" t="n">
        <f aca="false">W25*Premissas!$E$20*INDEX(Premissas!$B$48:$D$48,$B$2)*(1-Premissas!$B$25)^(X$4-1)</f>
        <v>0.177314817031299</v>
      </c>
      <c r="Y21" s="27" t="n">
        <f aca="false">X25*Premissas!$E$20*INDEX(Premissas!$B$48:$D$48,$B$2)*(1-Premissas!$B$25)^(Y$4-1)</f>
        <v>0.196033098244443</v>
      </c>
      <c r="Z21" s="27" t="n">
        <f aca="false">Y25*Premissas!$E$20*INDEX(Premissas!$B$48:$D$48,$B$2)*(1-Premissas!$B$25)^(Z$4-1)</f>
        <v>0.214554992619255</v>
      </c>
      <c r="AA21" s="27" t="n">
        <f aca="false">Z25*Premissas!$E$20*INDEX(Premissas!$B$48:$D$48,$B$2)*(1-Premissas!$B$25)^(AA$4-1)</f>
        <v>0.214250374938082</v>
      </c>
      <c r="AB21" s="27" t="n">
        <f aca="false">AA25*Premissas!$E$20*INDEX(Premissas!$B$48:$D$48,$B$2)*(1-Premissas!$B$25)^(AB$4-1)</f>
        <v>0.319339560267221</v>
      </c>
      <c r="AC21" s="27" t="n">
        <f aca="false">AB25*Premissas!$E$20*INDEX(Premissas!$B$48:$D$48,$B$2)*(1-Premissas!$B$25)^(AC$4-1)</f>
        <v>0.423555636042138</v>
      </c>
      <c r="AD21" s="27" t="n">
        <f aca="false">AC25*Premissas!$E$20*INDEX(Premissas!$B$48:$D$48,$B$2)*(1-Premissas!$B$25)^(AD$4-1)</f>
        <v>0.526896384329089</v>
      </c>
      <c r="AE21" s="27" t="n">
        <f aca="false">AD25*Premissas!$E$20*INDEX(Premissas!$B$48:$D$48,$B$2)*(1-Premissas!$B$25)^(AE$4-1)</f>
        <v>0.629360003619697</v>
      </c>
      <c r="AF21" s="27" t="n">
        <f aca="false">AE25*Premissas!$E$20*INDEX(Premissas!$B$48:$D$48,$B$2)*(1-Premissas!$B$25)^(AF$4-1)</f>
        <v>0.73094509142259</v>
      </c>
      <c r="AG21" s="27" t="n">
        <f aca="false">AF25*Premissas!$E$20*INDEX(Premissas!$B$48:$D$48,$B$2)*(1-Premissas!$B$25)^(AG$4-1)</f>
        <v>0.831650627486307</v>
      </c>
      <c r="AH21" s="27" t="n">
        <f aca="false">AG25*Premissas!$E$20*INDEX(Premissas!$B$48:$D$48,$B$2)*(1-Premissas!$B$25)^(AH$4-1)</f>
        <v>0.931475957630594</v>
      </c>
      <c r="AI21" s="27" t="n">
        <f aca="false">AH25*Premissas!$E$20*INDEX(Premissas!$B$48:$D$48,$B$2)*(1-Premissas!$B$25)^(AI$4-1)</f>
        <v>1.03042077816407</v>
      </c>
      <c r="AJ21" s="27" t="n">
        <f aca="false">AI25*Premissas!$E$20*INDEX(Premissas!$B$48:$D$48,$B$2)*(1-Premissas!$B$25)^(AJ$4-1)</f>
        <v>1.12848512086707</v>
      </c>
      <c r="AK21" s="27" t="n">
        <f aca="false">AJ25*Premissas!$E$20*INDEX(Premissas!$B$48:$D$48,$B$2)*(1-Premissas!$B$25)^(AK$4-1)</f>
        <v>1.22566933851925</v>
      </c>
      <c r="AL21" s="27" t="n">
        <f aca="false">AK25*Premissas!$E$20*INDEX(Premissas!$B$48:$D$48,$B$2)*(1-Premissas!$B$25)^(AL$4-1)</f>
        <v>1.3219740909523</v>
      </c>
      <c r="AM21" s="27" t="n">
        <f aca="false">AL25*Premissas!$E$20*INDEX(Premissas!$B$48:$D$48,$B$2)*(1-Premissas!$B$25)^(AM$4-1)</f>
        <v>1.30400830508022</v>
      </c>
      <c r="AN21" s="27" t="n">
        <f aca="false">AM25*Premissas!$E$20*INDEX(Premissas!$B$48:$D$48,$B$2)*(1-Premissas!$B$25)^(AN$4-1)</f>
        <v>1.49344940099772</v>
      </c>
      <c r="AO21" s="27" t="n">
        <f aca="false">AN25*Premissas!$E$20*INDEX(Premissas!$B$48:$D$48,$B$2)*(1-Premissas!$B$25)^(AO$4-1)</f>
        <v>1.68156977969712</v>
      </c>
      <c r="AP21" s="27" t="n">
        <f aca="false">AO25*Premissas!$E$20*INDEX(Premissas!$B$48:$D$48,$B$2)*(1-Premissas!$B$25)^(AP$4-1)</f>
        <v>1.86836404482086</v>
      </c>
      <c r="AQ21" s="27" t="n">
        <f aca="false">AP25*Premissas!$E$20*INDEX(Premissas!$B$48:$D$48,$B$2)*(1-Premissas!$B$25)^(AQ$4-1)</f>
        <v>2.05382738302424</v>
      </c>
      <c r="AR21" s="27" t="n">
        <f aca="false">AQ25*Premissas!$E$20*INDEX(Premissas!$B$48:$D$48,$B$2)*(1-Premissas!$B$25)^(AR$4-1)</f>
        <v>2.23795554279371</v>
      </c>
      <c r="AS21" s="27" t="n">
        <f aca="false">AR25*Premissas!$E$20*INDEX(Premissas!$B$48:$D$48,$B$2)*(1-Premissas!$B$25)^(AS$4-1)</f>
        <v>2.42074481395253</v>
      </c>
      <c r="AT21" s="27" t="n">
        <f aca="false">AS25*Premissas!$E$20*INDEX(Premissas!$B$48:$D$48,$B$2)*(1-Premissas!$B$25)^(AT$4-1)</f>
        <v>2.60219200783132</v>
      </c>
      <c r="AU21" s="27" t="n">
        <f aca="false">AT25*Premissas!$E$20*INDEX(Premissas!$B$48:$D$48,$B$2)*(1-Premissas!$B$25)^(AU$4-1)</f>
        <v>2.78229443808149</v>
      </c>
      <c r="AV21" s="27" t="n">
        <f aca="false">AU25*Premissas!$E$20*INDEX(Premissas!$B$48:$D$48,$B$2)*(1-Premissas!$B$25)^(AV$4-1)</f>
        <v>2.96104990211062</v>
      </c>
      <c r="AW21" s="27" t="n">
        <f aca="false">AV25*Premissas!$E$20*INDEX(Premissas!$B$48:$D$48,$B$2)*(1-Premissas!$B$25)^(AW$4-1)</f>
        <v>3.13845666311935</v>
      </c>
      <c r="AX21" s="27" t="n">
        <f aca="false">AW25*Premissas!$E$20*INDEX(Premissas!$B$48:$D$48,$B$2)*(1-Premissas!$B$25)^(AX$4-1)</f>
        <v>3.31451343272003</v>
      </c>
      <c r="AY21" s="27" t="n">
        <f aca="false">AX25*Premissas!$E$20*INDEX(Premissas!$B$48:$D$48,$B$2)*(1-Premissas!$B$25)^(AY$4-1)</f>
        <v>3.2100818057888</v>
      </c>
      <c r="AZ21" s="27" t="n">
        <f aca="false">AY25*Premissas!$E$20*INDEX(Premissas!$B$48:$D$48,$B$2)*(1-Premissas!$B$25)^(AZ$4-1)</f>
        <v>3.49562749334409</v>
      </c>
      <c r="BA21" s="27" t="n">
        <f aca="false">AZ25*Premissas!$E$20*INDEX(Premissas!$B$48:$D$48,$B$2)*(1-Premissas!$B$25)^(BA$4-1)</f>
        <v>3.7794804554167</v>
      </c>
      <c r="BB21" s="27" t="n">
        <f aca="false">BA25*Premissas!$E$20*INDEX(Premissas!$B$48:$D$48,$B$2)*(1-Premissas!$B$25)^(BB$4-1)</f>
        <v>4.06163363062876</v>
      </c>
      <c r="BC21" s="27" t="n">
        <f aca="false">BB25*Premissas!$E$20*INDEX(Premissas!$B$48:$D$48,$B$2)*(1-Premissas!$B$25)^(BC$4-1)</f>
        <v>4.34208055634873</v>
      </c>
      <c r="BD21" s="27" t="n">
        <f aca="false">BC25*Premissas!$E$20*INDEX(Premissas!$B$48:$D$48,$B$2)*(1-Premissas!$B$25)^(BD$4-1)</f>
        <v>4.62081534976402</v>
      </c>
      <c r="BE21" s="27" t="n">
        <f aca="false">BD25*Premissas!$E$20*INDEX(Premissas!$B$48:$D$48,$B$2)*(1-Premissas!$B$25)^(BE$4-1)</f>
        <v>4.89783268949802</v>
      </c>
      <c r="BF21" s="27" t="n">
        <f aca="false">BE25*Premissas!$E$20*INDEX(Premissas!$B$48:$D$48,$B$2)*(1-Premissas!$B$25)^(BF$4-1)</f>
        <v>5.17312779775547</v>
      </c>
      <c r="BG21" s="27" t="n">
        <f aca="false">BF25*Premissas!$E$20*INDEX(Premissas!$B$48:$D$48,$B$2)*(1-Premissas!$B$25)^(BG$4-1)</f>
        <v>5.44669642298064</v>
      </c>
      <c r="BH21" s="27" t="n">
        <f aca="false">BG25*Premissas!$E$20*INDEX(Premissas!$B$48:$D$48,$B$2)*(1-Premissas!$B$25)^(BH$4-1)</f>
        <v>5.71853482301297</v>
      </c>
      <c r="BI21" s="27" t="n">
        <f aca="false">BH25*Premissas!$E$20*INDEX(Premissas!$B$48:$D$48,$B$2)*(1-Premissas!$B$25)^(BI$4-1)</f>
        <v>5.98863974872579</v>
      </c>
      <c r="BJ21" s="27" t="n">
        <f aca="false">BI25*Premissas!$E$20*INDEX(Premissas!$B$48:$D$48,$B$2)*(1-Premissas!$B$25)^(BJ$4-1)</f>
        <v>6.25700842813363</v>
      </c>
    </row>
    <row r="22" customFormat="false" ht="15" hidden="false" customHeight="false" outlineLevel="0" collapsed="false">
      <c r="A22" s="5" t="s">
        <v>227</v>
      </c>
      <c r="C22" s="19" t="n">
        <f aca="false">C14-C18</f>
        <v>7.15555555555556</v>
      </c>
      <c r="D22" s="19" t="n">
        <f aca="false">C22+D14-D18</f>
        <v>14.0248888888889</v>
      </c>
      <c r="E22" s="19" t="n">
        <f aca="false">D22+E14-E18</f>
        <v>20.6203433333333</v>
      </c>
      <c r="F22" s="19" t="n">
        <f aca="false">E22+F14-F18</f>
        <v>26.9537067722222</v>
      </c>
      <c r="G22" s="19" t="n">
        <f aca="false">F22+G14-G18</f>
        <v>33.0362371931667</v>
      </c>
      <c r="H22" s="19" t="n">
        <f aca="false">G22+H14-H18</f>
        <v>38.878687053639</v>
      </c>
      <c r="I22" s="19" t="n">
        <f aca="false">H22+I14-I18</f>
        <v>44.4913265134555</v>
      </c>
      <c r="J22" s="19" t="n">
        <f aca="false">I22+J14-J18</f>
        <v>49.8839655871443</v>
      </c>
      <c r="K22" s="19" t="n">
        <f aca="false">J22+K14-K18</f>
        <v>55.0659752667016</v>
      </c>
      <c r="L22" s="19" t="n">
        <f aca="false">K22+L14-L18</f>
        <v>60.046307662869</v>
      </c>
      <c r="M22" s="19" t="n">
        <f aca="false">L22+M14-M18</f>
        <v>64.8335152108112</v>
      </c>
      <c r="N22" s="19" t="n">
        <f aca="false">M22+N14-N18</f>
        <v>69.4357689839186</v>
      </c>
      <c r="O22" s="19" t="n">
        <f aca="false">N22+O14-O18</f>
        <v>85.7259995146832</v>
      </c>
      <c r="P22" s="19" t="n">
        <f aca="false">O22+P14-P18</f>
        <v>101.439664985158</v>
      </c>
      <c r="Q22" s="19" t="n">
        <f aca="false">P22+Q14-Q18</f>
        <v>116.599342329073</v>
      </c>
      <c r="R22" s="19" t="n">
        <f aca="false">Q22+R14-R18</f>
        <v>131.226674684813</v>
      </c>
      <c r="S22" s="19" t="n">
        <f aca="false">R22+S14-S18</f>
        <v>145.342411062007</v>
      </c>
      <c r="T22" s="19" t="n">
        <f aca="false">S22+T14-T18</f>
        <v>158.966444302049</v>
      </c>
      <c r="U22" s="19" t="n">
        <f aca="false">T22+U14-U18</f>
        <v>172.11784740637</v>
      </c>
      <c r="V22" s="19" t="n">
        <f aca="false">U22+V14-V18</f>
        <v>184.814908303031</v>
      </c>
      <c r="W22" s="19" t="n">
        <f aca="false">V22+W14-W18</f>
        <v>197.075163119197</v>
      </c>
      <c r="X22" s="19" t="n">
        <f aca="false">W22+X14-X18</f>
        <v>208.915428024089</v>
      </c>
      <c r="Y22" s="19" t="n">
        <f aca="false">X22+Y14-Y18</f>
        <v>220.351829704216</v>
      </c>
      <c r="Z22" s="19" t="n">
        <f aca="false">Y22+Z14-Z18</f>
        <v>231.399834530022</v>
      </c>
      <c r="AA22" s="19" t="n">
        <f aca="false">Z22+AA14-AA18</f>
        <v>260.140552964218</v>
      </c>
      <c r="AB22" s="19" t="n">
        <f aca="false">AA22+AB14-AB18</f>
        <v>287.986032309247</v>
      </c>
      <c r="AC22" s="19" t="n">
        <f aca="false">AB22+AC14-AC18</f>
        <v>314.968134296402</v>
      </c>
      <c r="AD22" s="19" t="n">
        <f aca="false">AC22+AD14-AD18</f>
        <v>341.117506559688</v>
      </c>
      <c r="AE22" s="19" t="n">
        <f aca="false">AD22+AE14-AE18</f>
        <v>366.463630344712</v>
      </c>
      <c r="AF22" s="19" t="n">
        <f aca="false">AE22+AF14-AF18</f>
        <v>391.034866317828</v>
      </c>
      <c r="AG22" s="19" t="n">
        <f aca="false">AF22+AG14-AG18</f>
        <v>414.85849855162</v>
      </c>
      <c r="AH22" s="19" t="n">
        <f aca="false">AG22+AH14-AH18</f>
        <v>437.960776759733</v>
      </c>
      <c r="AI22" s="19" t="n">
        <f aca="false">AH22+AI14-AI18</f>
        <v>460.366956851165</v>
      </c>
      <c r="AJ22" s="19" t="n">
        <f aca="false">AI22+AJ14-AJ18</f>
        <v>482.101339871278</v>
      </c>
      <c r="AK22" s="19" t="n">
        <f aca="false">AJ22+AK14-AK18</f>
        <v>503.187309394123</v>
      </c>
      <c r="AL22" s="19" t="n">
        <f aca="false">AK22+AL14-AL18</f>
        <v>523.647367428051</v>
      </c>
      <c r="AM22" s="19" t="n">
        <f aca="false">AL22+AM14-AM18</f>
        <v>566.110739913602</v>
      </c>
      <c r="AN22" s="19" t="n">
        <f aca="false">AM22+AN14-AN18</f>
        <v>607.409132894574</v>
      </c>
      <c r="AO22" s="19" t="n">
        <f aca="false">AN22+AO14-AO18</f>
        <v>647.580123787075</v>
      </c>
      <c r="AP22" s="19" t="n">
        <f aca="false">AO22+AP14-AP18</f>
        <v>686.65997646947</v>
      </c>
      <c r="AQ22" s="19" t="n">
        <f aca="false">AP22+AQ14-AQ18</f>
        <v>724.683688797825</v>
      </c>
      <c r="AR22" s="19" t="n">
        <f aca="false">AQ22+AR14-AR18</f>
        <v>761.685038378499</v>
      </c>
      <c r="AS22" s="19" t="n">
        <f aca="false">AR22+AS14-AS18</f>
        <v>797.696626662174</v>
      </c>
      <c r="AT22" s="19" t="n">
        <f aca="false">AS22+AT14-AT18</f>
        <v>832.749921421247</v>
      </c>
      <c r="AU22" s="19" t="n">
        <f aca="false">AT22+AU14-AU18</f>
        <v>866.875297670193</v>
      </c>
      <c r="AV22" s="19" t="n">
        <f aca="false">AU22+AV14-AV18</f>
        <v>900.102077086328</v>
      </c>
      <c r="AW22" s="19" t="n">
        <f aca="false">AV22+AW14-AW18</f>
        <v>932.458565986264</v>
      </c>
      <c r="AX22" s="19" t="n">
        <f aca="false">AW22+AX14-AX18</f>
        <v>963.972091911305</v>
      </c>
      <c r="AY22" s="19" t="n">
        <f aca="false">AX22+AY14-AY18</f>
        <v>1012.08396991309</v>
      </c>
      <c r="AZ22" s="19" t="n">
        <f aca="false">AY22+AZ14-AZ18</f>
        <v>1059.07036681027</v>
      </c>
      <c r="BA22" s="19" t="n">
        <f aca="false">AZ22+BA14-BA18</f>
        <v>1104.96379133992</v>
      </c>
      <c r="BB22" s="19" t="n">
        <f aca="false">BA22+BB14-BB18</f>
        <v>1149.79571181467</v>
      </c>
      <c r="BC22" s="19" t="n">
        <f aca="false">BB22+BC14-BC18</f>
        <v>1193.59659081082</v>
      </c>
      <c r="BD22" s="19" t="n">
        <f aca="false">BC22+BD14-BD18</f>
        <v>1236.39591868198</v>
      </c>
      <c r="BE22" s="19" t="n">
        <f aca="false">BD22+BE14-BE18</f>
        <v>1278.22224593837</v>
      </c>
      <c r="BF22" s="19" t="n">
        <f aca="false">BE22+BF14-BF18</f>
        <v>1319.10321453032</v>
      </c>
      <c r="BG22" s="19" t="n">
        <f aca="false">BF22+BG14-BG18</f>
        <v>1359.06558807334</v>
      </c>
      <c r="BH22" s="19" t="n">
        <f aca="false">BG22+BH14-BH18</f>
        <v>1398.13528105066</v>
      </c>
      <c r="BI22" s="19" t="n">
        <f aca="false">BH22+BI14-BI18</f>
        <v>1436.33738702827</v>
      </c>
      <c r="BJ22" s="19" t="n">
        <f aca="false">BI22+BJ14-BJ18</f>
        <v>1473.69620591588</v>
      </c>
    </row>
    <row r="23" customFormat="false" ht="15" hidden="false" customHeight="false" outlineLevel="0" collapsed="false">
      <c r="A23" s="5" t="s">
        <v>228</v>
      </c>
      <c r="C23" s="19" t="n">
        <f aca="false">C15-C19</f>
        <v>8.94444444444445</v>
      </c>
      <c r="D23" s="19" t="n">
        <f aca="false">C23+D15-D19</f>
        <v>17.71</v>
      </c>
      <c r="E23" s="19" t="n">
        <f aca="false">D23+E15-E19</f>
        <v>26.2995736111111</v>
      </c>
      <c r="F23" s="19" t="n">
        <f aca="false">E23+F15-F19</f>
        <v>34.7160621597222</v>
      </c>
      <c r="G23" s="19" t="n">
        <f aca="false">F23+G15-G19</f>
        <v>42.962349994375</v>
      </c>
      <c r="H23" s="19" t="n">
        <f aca="false">G23+H15-H19</f>
        <v>51.0413066447071</v>
      </c>
      <c r="I23" s="19" t="n">
        <f aca="false">H23+I15-I19</f>
        <v>58.9557847109889</v>
      </c>
      <c r="J23" s="19" t="n">
        <f aca="false">I23+J15-J19</f>
        <v>66.7086179188612</v>
      </c>
      <c r="K23" s="19" t="n">
        <f aca="false">J23+K15-K19</f>
        <v>74.3026193299385</v>
      </c>
      <c r="L23" s="19" t="n">
        <f aca="false">K23+L15-L19</f>
        <v>81.7405796994185</v>
      </c>
      <c r="M23" s="19" t="n">
        <f aca="false">L23+M15-M19</f>
        <v>89.025265972293</v>
      </c>
      <c r="N23" s="19" t="n">
        <f aca="false">M23+N15-N19</f>
        <v>96.1594199101842</v>
      </c>
      <c r="O23" s="19" t="n">
        <f aca="false">N23+O15-O19</f>
        <v>121.340099783556</v>
      </c>
      <c r="P23" s="19" t="n">
        <f aca="false">O23+P15-P19</f>
        <v>146.07262938403</v>
      </c>
      <c r="Q23" s="19" t="n">
        <f aca="false">P23+Q15-Q19</f>
        <v>170.363741860505</v>
      </c>
      <c r="R23" s="19" t="n">
        <f aca="false">Q23+R15-R19</f>
        <v>194.220134160695</v>
      </c>
      <c r="S23" s="19" t="n">
        <f aca="false">R23+S15-S19</f>
        <v>217.648463333138</v>
      </c>
      <c r="T23" s="19" t="n">
        <f aca="false">S23+T15-T19</f>
        <v>240.655343100708</v>
      </c>
      <c r="U23" s="19" t="n">
        <f aca="false">T23+U15-U19</f>
        <v>263.247340691436</v>
      </c>
      <c r="V23" s="19" t="n">
        <f aca="false">U23+V15-V19</f>
        <v>285.430973913143</v>
      </c>
      <c r="W23" s="19" t="n">
        <f aca="false">V23+W15-W19</f>
        <v>307.212708459006</v>
      </c>
      <c r="X23" s="19" t="n">
        <f aca="false">W23+X15-X19</f>
        <v>328.598955431787</v>
      </c>
      <c r="Y23" s="19" t="n">
        <f aca="false">X23+Y15-Y19</f>
        <v>349.596069075063</v>
      </c>
      <c r="Z23" s="19" t="n">
        <f aca="false">Y23+Z15-Z19</f>
        <v>370.210344700304</v>
      </c>
      <c r="AA23" s="19" t="n">
        <f aca="false">Z23+AA15-AA19</f>
        <v>425.032562680186</v>
      </c>
      <c r="AB23" s="19" t="n">
        <f aca="false">AA23+AB15-AB19</f>
        <v>478.997848426068</v>
      </c>
      <c r="AC23" s="19" t="n">
        <f aca="false">AB23+AC15-AC19</f>
        <v>532.117919849637</v>
      </c>
      <c r="AD23" s="19" t="n">
        <f aca="false">AC23+AD15-AD19</f>
        <v>584.404421139998</v>
      </c>
      <c r="AE23" s="19" t="n">
        <f aca="false">AD23+AE15-AE19</f>
        <v>635.868918516128</v>
      </c>
      <c r="AF23" s="19" t="n">
        <f aca="false">AE23+AF15-AF19</f>
        <v>686.522896286008</v>
      </c>
      <c r="AG23" s="19" t="n">
        <f aca="false">AF23+AG15-AG19</f>
        <v>736.37775319745</v>
      </c>
      <c r="AH23" s="19" t="n">
        <f aca="false">AG23+AH15-AH19</f>
        <v>785.44479906629</v>
      </c>
      <c r="AI23" s="19" t="n">
        <f aca="false">AH23+AI15-AI19</f>
        <v>833.735251668238</v>
      </c>
      <c r="AJ23" s="19" t="n">
        <f aca="false">AI23+AJ15-AJ19</f>
        <v>881.260233881303</v>
      </c>
      <c r="AK23" s="19" t="n">
        <f aca="false">AJ23+AK15-AK19</f>
        <v>928.030771066252</v>
      </c>
      <c r="AL23" s="19" t="n">
        <f aca="false">AK23+AL15-AL19</f>
        <v>974.057788673149</v>
      </c>
      <c r="AM23" s="19" t="n">
        <f aca="false">AL23+AM15-AM19</f>
        <v>1063.53758345408</v>
      </c>
      <c r="AN23" s="19" t="n">
        <f aca="false">AM23+AN15-AN19</f>
        <v>1151.79904872102</v>
      </c>
      <c r="AO23" s="19" t="n">
        <f aca="false">AN23+AO15-AO19</f>
        <v>1238.8567519277</v>
      </c>
      <c r="AP23" s="19" t="n">
        <f aca="false">AO23+AP15-AP19</f>
        <v>1324.72518721644</v>
      </c>
      <c r="AQ23" s="19" t="n">
        <f aca="false">AP23+AQ15-AQ19</f>
        <v>1409.41877065503</v>
      </c>
      <c r="AR23" s="19" t="n">
        <f aca="false">AQ23+AR15-AR19</f>
        <v>1492.95183577631</v>
      </c>
      <c r="AS23" s="19" t="n">
        <f aca="false">AR23+AS15-AS19</f>
        <v>1575.33862940682</v>
      </c>
      <c r="AT23" s="19" t="n">
        <f aca="false">AS23+AT15-AT19</f>
        <v>1656.59330777178</v>
      </c>
      <c r="AU23" s="19" t="n">
        <f aca="false">AT23+AU15-AU19</f>
        <v>1736.72993286382</v>
      </c>
      <c r="AV23" s="19" t="n">
        <f aca="false">AU23+AV15-AV19</f>
        <v>1815.76246906379</v>
      </c>
      <c r="AW23" s="19" t="n">
        <f aca="false">AV23+AW15-AW19</f>
        <v>1893.70478000213</v>
      </c>
      <c r="AX23" s="19" t="n">
        <f aca="false">AW23+AX15-AX19</f>
        <v>1970.57062564983</v>
      </c>
      <c r="AY23" s="19" t="n">
        <f aca="false">AX23+AY15-AY19</f>
        <v>2093.50157597963</v>
      </c>
      <c r="AZ23" s="19" t="n">
        <f aca="false">AY23+AZ15-AZ19</f>
        <v>2214.98625914802</v>
      </c>
      <c r="BA23" s="19" t="n">
        <f aca="false">AZ23+BA15-BA19</f>
        <v>2335.04014682355</v>
      </c>
      <c r="BB23" s="19" t="n">
        <f aca="false">BA23+BB15-BB19</f>
        <v>2453.67862621509</v>
      </c>
      <c r="BC23" s="19" t="n">
        <f aca="false">BB23+BC15-BC19</f>
        <v>2570.91699672792</v>
      </c>
      <c r="BD23" s="19" t="n">
        <f aca="false">BC23+BD15-BD19</f>
        <v>2686.77046682792</v>
      </c>
      <c r="BE23" s="19" t="n">
        <f aca="false">BD23+BE15-BE19</f>
        <v>2801.2541511052</v>
      </c>
      <c r="BF23" s="19" t="n">
        <f aca="false">BE23+BF15-BF19</f>
        <v>2914.383067529</v>
      </c>
      <c r="BG23" s="19" t="n">
        <f aca="false">BF23+BG15-BG19</f>
        <v>3026.17213488569</v>
      </c>
      <c r="BH23" s="19" t="n">
        <f aca="false">BG23+BH15-BH19</f>
        <v>3136.63617039232</v>
      </c>
      <c r="BI23" s="19" t="n">
        <f aca="false">BH23+BI15-BI19</f>
        <v>3245.78988747827</v>
      </c>
      <c r="BJ23" s="19" t="n">
        <f aca="false">BI23+BJ15-BJ19</f>
        <v>3353.64789372781</v>
      </c>
    </row>
    <row r="24" customFormat="false" ht="15" hidden="false" customHeight="false" outlineLevel="0" collapsed="false">
      <c r="A24" s="5" t="s">
        <v>229</v>
      </c>
      <c r="C24" s="19" t="n">
        <f aca="false">C16-C20</f>
        <v>1.78888888888889</v>
      </c>
      <c r="D24" s="19" t="n">
        <f aca="false">C24+D16-D20</f>
        <v>3.55094444444444</v>
      </c>
      <c r="E24" s="19" t="n">
        <f aca="false">D24+E16-E20</f>
        <v>5.28634555555556</v>
      </c>
      <c r="F24" s="19" t="n">
        <f aca="false">E24+F16-F20</f>
        <v>6.99528206805556</v>
      </c>
      <c r="G24" s="19" t="n">
        <f aca="false">F24+G16-G20</f>
        <v>8.67795395624306</v>
      </c>
      <c r="H24" s="19" t="n">
        <f aca="false">G24+H16-H20</f>
        <v>10.3345705373697</v>
      </c>
      <c r="I24" s="19" t="n">
        <f aca="false">H24+I16-I20</f>
        <v>11.96534972706</v>
      </c>
      <c r="J24" s="19" t="n">
        <f aca="false">I24+J16-J20</f>
        <v>13.5705173337239</v>
      </c>
      <c r="K24" s="19" t="n">
        <f aca="false">J24+K16-K20</f>
        <v>15.1503063901094</v>
      </c>
      <c r="L24" s="19" t="n">
        <f aca="false">K24+L16-L20</f>
        <v>16.7049565202323</v>
      </c>
      <c r="M24" s="19" t="n">
        <f aca="false">L24+M16-M20</f>
        <v>18.2347133399979</v>
      </c>
      <c r="N24" s="19" t="n">
        <f aca="false">M24+N16-N20</f>
        <v>19.73982788991</v>
      </c>
      <c r="O24" s="19" t="n">
        <f aca="false">N24+O16-O20</f>
        <v>26.5228286127941</v>
      </c>
      <c r="P24" s="19" t="n">
        <f aca="false">O24+P16-P20</f>
        <v>33.2139978068699</v>
      </c>
      <c r="Q24" s="19" t="n">
        <f aca="false">P24+Q16-Q20</f>
        <v>39.8139822896553</v>
      </c>
      <c r="R24" s="19" t="n">
        <f aca="false">Q24+R16-R20</f>
        <v>46.3234529066335</v>
      </c>
      <c r="S24" s="19" t="n">
        <f aca="false">R24+S16-S20</f>
        <v>52.7431027573533</v>
      </c>
      <c r="T24" s="19" t="n">
        <f aca="false">S24+T16-T20</f>
        <v>59.0736455063809</v>
      </c>
      <c r="U24" s="19" t="n">
        <f aca="false">T24+U16-U20</f>
        <v>65.3158137754141</v>
      </c>
      <c r="V24" s="19" t="n">
        <f aca="false">U24+V16-V20</f>
        <v>71.4703576130253</v>
      </c>
      <c r="W24" s="19" t="n">
        <f aca="false">V24+W16-W20</f>
        <v>77.5380430386506</v>
      </c>
      <c r="X24" s="19" t="n">
        <f aca="false">W24+X16-X20</f>
        <v>83.5196506575867</v>
      </c>
      <c r="Y24" s="19" t="n">
        <f aca="false">X24+Y16-Y20</f>
        <v>89.4159743438924</v>
      </c>
      <c r="Z24" s="19" t="n">
        <f aca="false">Y24+Z16-Z20</f>
        <v>95.2278199882283</v>
      </c>
      <c r="AA24" s="19" t="n">
        <f aca="false">Z24+AA16-AA20</f>
        <v>112.479579033031</v>
      </c>
      <c r="AB24" s="19" t="n">
        <f aca="false">AA24+AB16-AB20</f>
        <v>129.526824913929</v>
      </c>
      <c r="AC24" s="19" t="n">
        <f aca="false">AB24+AC16-AC20</f>
        <v>146.370872735992</v>
      </c>
      <c r="AD24" s="19" t="n">
        <f aca="false">AC24+AD16-AD20</f>
        <v>163.013076922253</v>
      </c>
      <c r="AE24" s="19" t="n">
        <f aca="false">AD24+AE16-AE20</f>
        <v>179.454828545893</v>
      </c>
      <c r="AF24" s="19" t="n">
        <f aca="false">AE24+AF16-AF20</f>
        <v>195.697552778514</v>
      </c>
      <c r="AG24" s="19" t="n">
        <f aca="false">AF24+AG16-AG20</f>
        <v>211.742706449902</v>
      </c>
      <c r="AH24" s="19" t="n">
        <f aca="false">AG24+AH16-AH20</f>
        <v>227.591775714831</v>
      </c>
      <c r="AI24" s="19" t="n">
        <f aca="false">AH24+AI16-AI20</f>
        <v>243.246273822657</v>
      </c>
      <c r="AJ24" s="19" t="n">
        <f aca="false">AI24+AJ16-AJ20</f>
        <v>258.707738985597</v>
      </c>
      <c r="AK24" s="19" t="n">
        <f aca="false">AJ24+AK16-AK20</f>
        <v>273.97773234176</v>
      </c>
      <c r="AL24" s="19" t="n">
        <f aca="false">AK24+AL16-AL20</f>
        <v>289.057836009152</v>
      </c>
      <c r="AM24" s="19" t="n">
        <f aca="false">AL24+AM16-AM20</f>
        <v>319.345699902819</v>
      </c>
      <c r="AN24" s="19" t="n">
        <f aca="false">AM24+AN16-AN20</f>
        <v>349.322976135422</v>
      </c>
      <c r="AO24" s="19" t="n">
        <f aca="false">AN24+AO16-AO20</f>
        <v>378.991265057982</v>
      </c>
      <c r="AP24" s="19" t="n">
        <f aca="false">AO24+AP16-AP20</f>
        <v>408.352221305114</v>
      </c>
      <c r="AQ24" s="19" t="n">
        <f aca="false">AP24+AQ16-AQ20</f>
        <v>437.407550666071</v>
      </c>
      <c r="AR24" s="19" t="n">
        <f aca="false">AQ24+AR16-AR20</f>
        <v>466.159007077918</v>
      </c>
      <c r="AS24" s="19" t="n">
        <f aca="false">AR24+AS16-AS20</f>
        <v>494.608389736427</v>
      </c>
      <c r="AT24" s="19" t="n">
        <f aca="false">AS24+AT16-AT20</f>
        <v>522.757540320429</v>
      </c>
      <c r="AU24" s="19" t="n">
        <f aca="false">AT24+AU16-AU20</f>
        <v>550.60834032552</v>
      </c>
      <c r="AV24" s="19" t="n">
        <f aca="false">AU24+AV16-AV20</f>
        <v>578.162708503161</v>
      </c>
      <c r="AW24" s="19" t="n">
        <f aca="false">AV24+AW16-AW20</f>
        <v>605.422598401357</v>
      </c>
      <c r="AX24" s="19" t="n">
        <f aca="false">AW24+AX16-AX20</f>
        <v>632.389996003231</v>
      </c>
      <c r="AY24" s="19" t="n">
        <f aca="false">AX24+AY16-AY20</f>
        <v>680.565536166882</v>
      </c>
      <c r="AZ24" s="19" t="n">
        <f aca="false">AY24+AZ16-AZ20</f>
        <v>728.308726874722</v>
      </c>
      <c r="BA24" s="19" t="n">
        <f aca="false">AZ24+BA16-BA20</f>
        <v>775.621691397467</v>
      </c>
      <c r="BB24" s="19" t="n">
        <f aca="false">BA24+BB16-BB20</f>
        <v>822.506604277929</v>
      </c>
      <c r="BC24" s="19" t="n">
        <f aca="false">BB24+BC16-BC20</f>
        <v>868.96568855546</v>
      </c>
      <c r="BD24" s="19" t="n">
        <f aca="false">BC24+BD16-BD20</f>
        <v>915.001213089154</v>
      </c>
      <c r="BE24" s="19" t="n">
        <f aca="false">BD24+BE16-BE20</f>
        <v>960.615489976534</v>
      </c>
      <c r="BF24" s="19" t="n">
        <f aca="false">BE24+BF16-BF20</f>
        <v>1005.81087206459</v>
      </c>
      <c r="BG24" s="19" t="n">
        <f aca="false">BF24+BG16-BG20</f>
        <v>1050.5897505501</v>
      </c>
      <c r="BH24" s="19" t="n">
        <f aca="false">BG24+BH16-BH20</f>
        <v>1094.95455266628</v>
      </c>
      <c r="BI24" s="19" t="n">
        <f aca="false">BH24+BI16-BI20</f>
        <v>1138.90773945291</v>
      </c>
      <c r="BJ24" s="19" t="n">
        <f aca="false">BI24+BJ16-BJ20</f>
        <v>1182.45180360722</v>
      </c>
    </row>
    <row r="25" customFormat="false" ht="15" hidden="false" customHeight="false" outlineLevel="0" collapsed="false">
      <c r="A25" s="5" t="s">
        <v>230</v>
      </c>
      <c r="C25" s="19" t="n">
        <f aca="false">C17-C21</f>
        <v>0</v>
      </c>
      <c r="D25" s="19" t="n">
        <f aca="false">C25+D17-D21</f>
        <v>0</v>
      </c>
      <c r="E25" s="19" t="n">
        <f aca="false">D25+E17-E21</f>
        <v>0</v>
      </c>
      <c r="F25" s="19" t="n">
        <f aca="false">E25+F17-F21</f>
        <v>0</v>
      </c>
      <c r="G25" s="19" t="n">
        <f aca="false">F25+G17-G21</f>
        <v>0</v>
      </c>
      <c r="H25" s="19" t="n">
        <f aca="false">G25+H17-H21</f>
        <v>0</v>
      </c>
      <c r="I25" s="19" t="n">
        <f aca="false">H25+I17-I21</f>
        <v>0</v>
      </c>
      <c r="J25" s="19" t="n">
        <f aca="false">I25+J17-J21</f>
        <v>0</v>
      </c>
      <c r="K25" s="19" t="n">
        <f aca="false">J25+K17-K21</f>
        <v>0</v>
      </c>
      <c r="L25" s="19" t="n">
        <f aca="false">K25+L17-L21</f>
        <v>0</v>
      </c>
      <c r="M25" s="19" t="n">
        <f aca="false">L25+M17-M21</f>
        <v>0</v>
      </c>
      <c r="N25" s="19" t="n">
        <f aca="false">M25+N17-N21</f>
        <v>0</v>
      </c>
      <c r="O25" s="19" t="n">
        <f aca="false">N25+O17-O21</f>
        <v>1.1133871945157</v>
      </c>
      <c r="P25" s="19" t="n">
        <f aca="false">O25+P17-P21</f>
        <v>2.21616152431663</v>
      </c>
      <c r="Q25" s="19" t="n">
        <f aca="false">P25+Q17-Q21</f>
        <v>3.30829283416818</v>
      </c>
      <c r="R25" s="19" t="n">
        <f aca="false">Q25+R17-R21</f>
        <v>4.38975750904106</v>
      </c>
      <c r="S25" s="19" t="n">
        <f aca="false">R25+S17-S21</f>
        <v>5.46053816588584</v>
      </c>
      <c r="T25" s="19" t="n">
        <f aca="false">S25+T17-T21</f>
        <v>6.52062335785612</v>
      </c>
      <c r="U25" s="19" t="n">
        <f aca="false">T25+U17-U21</f>
        <v>7.57000729048387</v>
      </c>
      <c r="V25" s="19" t="n">
        <f aca="false">U25+V17-V21</f>
        <v>8.60868954933061</v>
      </c>
      <c r="W25" s="19" t="n">
        <f aca="false">V25+W17-W21</f>
        <v>9.63667483865753</v>
      </c>
      <c r="X25" s="19" t="n">
        <f aca="false">W25+X17-X21</f>
        <v>10.6539727306762</v>
      </c>
      <c r="Y25" s="19" t="n">
        <f aca="false">X25+Y17-Y21</f>
        <v>11.6605974249595</v>
      </c>
      <c r="Z25" s="19" t="n">
        <f aca="false">Y25+Z17-Z21</f>
        <v>12.6565675176088</v>
      </c>
      <c r="AA25" s="19" t="n">
        <f aca="false">Z25+AA17-AA21</f>
        <v>18.8645770479219</v>
      </c>
      <c r="AB25" s="19" t="n">
        <f aca="false">AA25+AB17-AB21</f>
        <v>25.0210087454004</v>
      </c>
      <c r="AC25" s="19" t="n">
        <f aca="false">AB25+AC17-AC21</f>
        <v>31.1257315884386</v>
      </c>
      <c r="AD25" s="19" t="n">
        <f aca="false">AC25+AD17-AD21</f>
        <v>37.1786391552279</v>
      </c>
      <c r="AE25" s="19" t="n">
        <f aca="false">AD25+AE17-AE21</f>
        <v>43.1796485953798</v>
      </c>
      <c r="AF25" s="19" t="n">
        <f aca="false">AE25+AF17-AF21</f>
        <v>49.1286996388414</v>
      </c>
      <c r="AG25" s="19" t="n">
        <f aca="false">AF25+AG17-AG21</f>
        <v>55.0257536407487</v>
      </c>
      <c r="AH25" s="19" t="n">
        <f aca="false">AG25+AH17-AH21</f>
        <v>60.8707926609211</v>
      </c>
      <c r="AI25" s="19" t="n">
        <f aca="false">AH25+AI17-AI21</f>
        <v>66.6638185767409</v>
      </c>
      <c r="AJ25" s="19" t="n">
        <f aca="false">AI25+AJ17-AJ21</f>
        <v>72.4048522282163</v>
      </c>
      <c r="AK25" s="19" t="n">
        <f aca="false">AJ25+AK17-AK21</f>
        <v>78.0939325940634</v>
      </c>
      <c r="AL25" s="19" t="n">
        <f aca="false">AK25+AL17-AL21</f>
        <v>83.7311159976922</v>
      </c>
      <c r="AM25" s="19" t="n">
        <f aca="false">AL25+AM17-AM21</f>
        <v>95.8952366671709</v>
      </c>
      <c r="AN25" s="19" t="n">
        <f aca="false">AM25+AN17-AN21</f>
        <v>107.97455333183</v>
      </c>
      <c r="AO25" s="19" t="n">
        <f aca="false">AN25+AO17-AO21</f>
        <v>119.968719488477</v>
      </c>
      <c r="AP25" s="19" t="n">
        <f aca="false">AO25+AP17-AP21</f>
        <v>131.877426069507</v>
      </c>
      <c r="AQ25" s="19" t="n">
        <f aca="false">AP25+AQ17-AQ21</f>
        <v>143.700400082813</v>
      </c>
      <c r="AR25" s="19" t="n">
        <f aca="false">AQ25+AR17-AR21</f>
        <v>155.437403295834</v>
      </c>
      <c r="AS25" s="19" t="n">
        <f aca="false">AR25+AS17-AS21</f>
        <v>167.088230962293</v>
      </c>
      <c r="AT25" s="19" t="n">
        <f aca="false">AS25+AT17-AT21</f>
        <v>178.652710590216</v>
      </c>
      <c r="AU25" s="19" t="n">
        <f aca="false">AT25+AU17-AU21</f>
        <v>190.130700749891</v>
      </c>
      <c r="AV25" s="19" t="n">
        <f aca="false">AU25+AV17-AV21</f>
        <v>201.52208992044</v>
      </c>
      <c r="AW25" s="19" t="n">
        <f aca="false">AV25+AW17-AW21</f>
        <v>212.826795373759</v>
      </c>
      <c r="AX25" s="19" t="n">
        <f aca="false">AW25+AX17-AX21</f>
        <v>224.044762094591</v>
      </c>
      <c r="AY25" s="19" t="n">
        <f aca="false">AX25+AY17-AY21</f>
        <v>243.974165613247</v>
      </c>
      <c r="AZ25" s="19" t="n">
        <f aca="false">AY25+AZ17-AZ21</f>
        <v>263.785426884758</v>
      </c>
      <c r="BA25" s="19" t="n">
        <f aca="false">AZ25+BA17-BA21</f>
        <v>283.478053066627</v>
      </c>
      <c r="BB25" s="19" t="n">
        <f aca="false">BA25+BB17-BB21</f>
        <v>303.051593105321</v>
      </c>
      <c r="BC25" s="19" t="n">
        <f aca="false">BB25+BC17-BC21</f>
        <v>322.505636415245</v>
      </c>
      <c r="BD25" s="19" t="n">
        <f aca="false">BC25+BD17-BD21</f>
        <v>341.839811595721</v>
      </c>
      <c r="BE25" s="19" t="n">
        <f aca="false">BD25+BE17-BE21</f>
        <v>361.053785184843</v>
      </c>
      <c r="BF25" s="19" t="n">
        <f aca="false">BE25+BF17-BF21</f>
        <v>380.147260449114</v>
      </c>
      <c r="BG25" s="19" t="n">
        <f aca="false">BF25+BG17-BG21</f>
        <v>399.119976207818</v>
      </c>
      <c r="BH25" s="19" t="n">
        <f aca="false">BG25+BH17-BH21</f>
        <v>417.971705691091</v>
      </c>
      <c r="BI25" s="19" t="n">
        <f aca="false">BH25+BI17-BI21</f>
        <v>436.702255430709</v>
      </c>
      <c r="BJ25" s="19" t="n">
        <f aca="false">BI25+BJ17-BJ21</f>
        <v>455.311464182632</v>
      </c>
    </row>
    <row r="26" customFormat="false" ht="15" hidden="false" customHeight="false" outlineLevel="0" collapsed="false">
      <c r="A26" s="18" t="s">
        <v>231</v>
      </c>
      <c r="C26" s="29" t="n">
        <f aca="false">SUM(C22:C25)</f>
        <v>17.8888888888889</v>
      </c>
      <c r="D26" s="29" t="n">
        <f aca="false">SUM(D22:D25)</f>
        <v>35.2858333333333</v>
      </c>
      <c r="E26" s="29" t="n">
        <f aca="false">SUM(E22:E25)</f>
        <v>52.2062625</v>
      </c>
      <c r="F26" s="29" t="n">
        <f aca="false">SUM(F22:F25)</f>
        <v>68.665051</v>
      </c>
      <c r="G26" s="29" t="n">
        <f aca="false">SUM(G22:G25)</f>
        <v>84.6765411437847</v>
      </c>
      <c r="H26" s="29" t="n">
        <f aca="false">SUM(H22:H25)</f>
        <v>100.254564235716</v>
      </c>
      <c r="I26" s="29" t="n">
        <f aca="false">SUM(I22:I25)</f>
        <v>115.412460951504</v>
      </c>
      <c r="J26" s="29" t="n">
        <f aca="false">SUM(J22:J25)</f>
        <v>130.163100839729</v>
      </c>
      <c r="K26" s="29" t="n">
        <f aca="false">SUM(K22:K25)</f>
        <v>144.518900986749</v>
      </c>
      <c r="L26" s="29" t="n">
        <f aca="false">SUM(L22:L25)</f>
        <v>158.49184388252</v>
      </c>
      <c r="M26" s="29" t="n">
        <f aca="false">SUM(M22:M25)</f>
        <v>172.093494523102</v>
      </c>
      <c r="N26" s="29" t="n">
        <f aca="false">SUM(N22:N25)</f>
        <v>185.335016784013</v>
      </c>
      <c r="O26" s="29" t="n">
        <f aca="false">SUM(O22:O25)</f>
        <v>234.702315105549</v>
      </c>
      <c r="P26" s="29" t="n">
        <f aca="false">SUM(P22:P25)</f>
        <v>282.942453700374</v>
      </c>
      <c r="Q26" s="29" t="n">
        <f aca="false">SUM(Q22:Q25)</f>
        <v>330.085359313401</v>
      </c>
      <c r="R26" s="29" t="n">
        <f aca="false">SUM(R22:R25)</f>
        <v>376.160019261182</v>
      </c>
      <c r="S26" s="29" t="n">
        <f aca="false">SUM(S22:S25)</f>
        <v>421.194515318384</v>
      </c>
      <c r="T26" s="29" t="n">
        <f aca="false">SUM(T22:T25)</f>
        <v>465.216056266994</v>
      </c>
      <c r="U26" s="29" t="n">
        <f aca="false">SUM(U22:U25)</f>
        <v>508.251009163704</v>
      </c>
      <c r="V26" s="29" t="n">
        <f aca="false">SUM(V22:V25)</f>
        <v>550.32492937853</v>
      </c>
      <c r="W26" s="29" t="n">
        <f aca="false">SUM(W22:W25)</f>
        <v>591.462589455511</v>
      </c>
      <c r="X26" s="29" t="n">
        <f aca="false">SUM(X22:X25)</f>
        <v>631.688006844139</v>
      </c>
      <c r="Y26" s="29" t="n">
        <f aca="false">SUM(Y22:Y25)</f>
        <v>671.024470548131</v>
      </c>
      <c r="Z26" s="29" t="n">
        <f aca="false">SUM(Z22:Z25)</f>
        <v>709.494566736163</v>
      </c>
      <c r="AA26" s="29" t="n">
        <f aca="false">SUM(AA22:AA25)</f>
        <v>816.517271725357</v>
      </c>
      <c r="AB26" s="29" t="n">
        <f aca="false">SUM(AB22:AB25)</f>
        <v>921.531714394644</v>
      </c>
      <c r="AC26" s="29" t="n">
        <f aca="false">SUM(AC22:AC25)</f>
        <v>1024.58265847047</v>
      </c>
      <c r="AD26" s="29" t="n">
        <f aca="false">SUM(AD22:AD25)</f>
        <v>1125.71364377717</v>
      </c>
      <c r="AE26" s="29" t="n">
        <f aca="false">SUM(AE22:AE25)</f>
        <v>1224.96702600211</v>
      </c>
      <c r="AF26" s="29" t="n">
        <f aca="false">SUM(AF22:AF25)</f>
        <v>1322.38401502119</v>
      </c>
      <c r="AG26" s="29" t="n">
        <f aca="false">SUM(AG22:AG25)</f>
        <v>1418.00471183972</v>
      </c>
      <c r="AH26" s="29" t="n">
        <f aca="false">SUM(AH22:AH25)</f>
        <v>1511.86814420177</v>
      </c>
      <c r="AI26" s="29" t="n">
        <f aca="false">SUM(AI22:AI25)</f>
        <v>1604.0123009188</v>
      </c>
      <c r="AJ26" s="29" t="n">
        <f aca="false">SUM(AJ22:AJ25)</f>
        <v>1694.47416496639</v>
      </c>
      <c r="AK26" s="29" t="n">
        <f aca="false">SUM(AK22:AK25)</f>
        <v>1783.2897453962</v>
      </c>
      <c r="AL26" s="29" t="n">
        <f aca="false">SUM(AL22:AL25)</f>
        <v>1870.49410810804</v>
      </c>
      <c r="AM26" s="29" t="n">
        <f aca="false">SUM(AM22:AM25)</f>
        <v>2044.88925993768</v>
      </c>
      <c r="AN26" s="29" t="n">
        <f aca="false">SUM(AN22:AN25)</f>
        <v>2216.50571108284</v>
      </c>
      <c r="AO26" s="29" t="n">
        <f aca="false">SUM(AO22:AO25)</f>
        <v>2385.39686026123</v>
      </c>
      <c r="AP26" s="29" t="n">
        <f aca="false">SUM(AP22:AP25)</f>
        <v>2551.61481106053</v>
      </c>
      <c r="AQ26" s="29" t="n">
        <f aca="false">SUM(AQ22:AQ25)</f>
        <v>2715.21041020174</v>
      </c>
      <c r="AR26" s="29" t="n">
        <f aca="false">SUM(AR22:AR25)</f>
        <v>2876.23328452856</v>
      </c>
      <c r="AS26" s="29" t="n">
        <f aca="false">SUM(AS22:AS25)</f>
        <v>3034.73187676772</v>
      </c>
      <c r="AT26" s="29" t="n">
        <f aca="false">SUM(AT22:AT25)</f>
        <v>3190.75348010367</v>
      </c>
      <c r="AU26" s="29" t="n">
        <f aca="false">SUM(AU22:AU25)</f>
        <v>3344.34427160942</v>
      </c>
      <c r="AV26" s="29" t="n">
        <f aca="false">SUM(AV22:AV25)</f>
        <v>3495.54934457372</v>
      </c>
      <c r="AW26" s="29" t="n">
        <f aca="false">SUM(AW22:AW25)</f>
        <v>3644.41273976351</v>
      </c>
      <c r="AX26" s="29" t="n">
        <f aca="false">SUM(AX22:AX25)</f>
        <v>3790.97747565895</v>
      </c>
      <c r="AY26" s="29" t="n">
        <f aca="false">SUM(AY22:AY25)</f>
        <v>4030.12524767285</v>
      </c>
      <c r="AZ26" s="29" t="n">
        <f aca="false">SUM(AZ22:AZ25)</f>
        <v>4266.15077971777</v>
      </c>
      <c r="BA26" s="29" t="n">
        <f aca="false">SUM(BA22:BA25)</f>
        <v>4499.10368262757</v>
      </c>
      <c r="BB26" s="29" t="n">
        <f aca="false">SUM(BB22:BB25)</f>
        <v>4729.03253541301</v>
      </c>
      <c r="BC26" s="29" t="n">
        <f aca="false">SUM(BC22:BC25)</f>
        <v>4955.98491250945</v>
      </c>
      <c r="BD26" s="29" t="n">
        <f aca="false">SUM(BD22:BD25)</f>
        <v>5180.00741019477</v>
      </c>
      <c r="BE26" s="29" t="n">
        <f aca="false">SUM(BE22:BE25)</f>
        <v>5401.14567220495</v>
      </c>
      <c r="BF26" s="29" t="n">
        <f aca="false">SUM(BF22:BF25)</f>
        <v>5619.44441457303</v>
      </c>
      <c r="BG26" s="29" t="n">
        <f aca="false">SUM(BG22:BG25)</f>
        <v>5834.94744971695</v>
      </c>
      <c r="BH26" s="29" t="n">
        <f aca="false">SUM(BH22:BH25)</f>
        <v>6047.69770980035</v>
      </c>
      <c r="BI26" s="29" t="n">
        <f aca="false">SUM(BI22:BI25)</f>
        <v>6257.73726939016</v>
      </c>
      <c r="BJ26" s="29" t="n">
        <f aca="false">SUM(BJ22:BJ25)</f>
        <v>6465.10736743354</v>
      </c>
    </row>
    <row r="27" customFormat="false" ht="15" hidden="false" customHeight="false" outlineLevel="0" collapsed="false">
      <c r="A27" s="3" t="s">
        <v>232</v>
      </c>
      <c r="B27" s="4"/>
    </row>
    <row r="28" customFormat="false" ht="15" hidden="false" customHeight="false" outlineLevel="0" collapsed="false">
      <c r="A28" s="5" t="s">
        <v>233</v>
      </c>
      <c r="C28" s="21" t="n">
        <f aca="false">C22*Premissas!$B$18*(1-Premissas!$B$12*Premissas!$B$13)</f>
        <v>2029.566</v>
      </c>
      <c r="D28" s="21" t="n">
        <f aca="false">D22*Premissas!$B$18*(1-Premissas!$B$12*Premissas!$B$13)</f>
        <v>3977.94936</v>
      </c>
      <c r="E28" s="21" t="n">
        <f aca="false">E22*Premissas!$B$18*(1-Premissas!$B$12*Premissas!$B$13)</f>
        <v>5848.65108135</v>
      </c>
      <c r="F28" s="21" t="n">
        <f aca="false">F22*Premissas!$B$18*(1-Premissas!$B$12*Premissas!$B$13)</f>
        <v>7645.01462033925</v>
      </c>
      <c r="G28" s="21" t="n">
        <f aca="false">G22*Premissas!$B$18*(1-Premissas!$B$12*Premissas!$B$13)</f>
        <v>9370.23313628383</v>
      </c>
      <c r="H28" s="21" t="n">
        <f aca="false">H22*Premissas!$B$18*(1-Premissas!$B$12*Premissas!$B$13)</f>
        <v>11027.3564024589</v>
      </c>
      <c r="I28" s="21" t="n">
        <f aca="false">I22*Premissas!$B$18*(1-Premissas!$B$12*Premissas!$B$13)</f>
        <v>12619.297395644</v>
      </c>
      <c r="J28" s="21" t="n">
        <f aca="false">J22*Premissas!$B$18*(1-Premissas!$B$12*Premissas!$B$13)</f>
        <v>14148.8385793097</v>
      </c>
      <c r="K28" s="21" t="n">
        <f aca="false">K22*Premissas!$B$18*(1-Premissas!$B$12*Premissas!$B$13)</f>
        <v>15618.6378947709</v>
      </c>
      <c r="L28" s="21" t="n">
        <f aca="false">L22*Premissas!$B$18*(1-Premissas!$B$12*Premissas!$B$13)</f>
        <v>17031.2344739579</v>
      </c>
      <c r="M28" s="21" t="n">
        <f aca="false">M22*Premissas!$B$18*(1-Premissas!$B$12*Premissas!$B$13)</f>
        <v>18389.0540868184</v>
      </c>
      <c r="N28" s="21" t="n">
        <f aca="false">N22*Premissas!$B$18*(1-Premissas!$B$12*Premissas!$B$13)</f>
        <v>19694.4143357538</v>
      </c>
      <c r="O28" s="21" t="n">
        <f aca="false">O22*Premissas!$B$18*(1-Premissas!$B$12*Premissas!$B$13)</f>
        <v>24314.8938723472</v>
      </c>
      <c r="P28" s="21" t="n">
        <f aca="false">P22*Premissas!$B$18*(1-Premissas!$B$12*Premissas!$B$13)</f>
        <v>28771.8393780653</v>
      </c>
      <c r="Q28" s="21" t="n">
        <f aca="false">Q22*Premissas!$B$18*(1-Premissas!$B$12*Premissas!$B$13)</f>
        <v>33071.6544615065</v>
      </c>
      <c r="R28" s="21" t="n">
        <f aca="false">R22*Premissas!$B$18*(1-Premissas!$B$12*Premissas!$B$13)</f>
        <v>37220.477874227</v>
      </c>
      <c r="S28" s="21" t="n">
        <f aca="false">S22*Premissas!$B$18*(1-Premissas!$B$12*Premissas!$B$13)</f>
        <v>41224.1947615722</v>
      </c>
      <c r="T28" s="21" t="n">
        <f aca="false">T22*Premissas!$B$18*(1-Premissas!$B$12*Premissas!$B$13)</f>
        <v>45088.4474296118</v>
      </c>
      <c r="U28" s="21" t="n">
        <f aca="false">U22*Premissas!$B$18*(1-Premissas!$B$12*Premissas!$B$13)</f>
        <v>48818.6456491058</v>
      </c>
      <c r="V28" s="21" t="n">
        <f aca="false">V22*Premissas!$B$18*(1-Premissas!$B$12*Premissas!$B$13)</f>
        <v>52419.9765165302</v>
      </c>
      <c r="W28" s="21" t="n">
        <f aca="false">W22*Premissas!$B$18*(1-Premissas!$B$12*Premissas!$B$13)</f>
        <v>55897.4138913135</v>
      </c>
      <c r="X28" s="21" t="n">
        <f aca="false">X22*Premissas!$B$18*(1-Premissas!$B$12*Premissas!$B$13)</f>
        <v>59255.7274276125</v>
      </c>
      <c r="Y28" s="21" t="n">
        <f aca="false">Y22*Premissas!$B$18*(1-Premissas!$B$12*Premissas!$B$13)</f>
        <v>62499.4912181554</v>
      </c>
      <c r="Z28" s="21" t="n">
        <f aca="false">Z22*Premissas!$B$18*(1-Premissas!$B$12*Premissas!$B$13)</f>
        <v>65633.0920669227</v>
      </c>
      <c r="AA28" s="21" t="n">
        <f aca="false">AA22*Premissas!$B$18*(1-Premissas!$B$12*Premissas!$B$13)</f>
        <v>73784.965740006</v>
      </c>
      <c r="AB28" s="21" t="n">
        <f aca="false">AB22*Premissas!$B$18*(1-Premissas!$B$12*Premissas!$B$13)</f>
        <v>81682.9182740332</v>
      </c>
      <c r="AC28" s="21" t="n">
        <f aca="false">AC22*Premissas!$B$18*(1-Premissas!$B$12*Premissas!$B$13)</f>
        <v>89335.9867711599</v>
      </c>
      <c r="AD28" s="21" t="n">
        <f aca="false">AD22*Premissas!$B$18*(1-Premissas!$B$12*Premissas!$B$13)</f>
        <v>96752.8639730571</v>
      </c>
      <c r="AE28" s="21" t="n">
        <f aca="false">AE22*Premissas!$B$18*(1-Premissas!$B$12*Premissas!$B$13)</f>
        <v>103941.911792822</v>
      </c>
      <c r="AF28" s="21" t="n">
        <f aca="false">AF22*Premissas!$B$18*(1-Premissas!$B$12*Premissas!$B$13)</f>
        <v>110911.174308057</v>
      </c>
      <c r="AG28" s="21" t="n">
        <f aca="false">AG22*Premissas!$B$18*(1-Premissas!$B$12*Premissas!$B$13)</f>
        <v>117668.390236689</v>
      </c>
      <c r="AH28" s="21" t="n">
        <f aca="false">AH22*Premissas!$B$18*(1-Premissas!$B$12*Premissas!$B$13)</f>
        <v>124221.004916247</v>
      </c>
      <c r="AI28" s="21" t="n">
        <f aca="false">AI22*Premissas!$B$18*(1-Premissas!$B$12*Premissas!$B$13)</f>
        <v>130576.18180648</v>
      </c>
      <c r="AJ28" s="21" t="n">
        <f aca="false">AJ22*Premissas!$B$18*(1-Premissas!$B$12*Premissas!$B$13)</f>
        <v>136740.81353439</v>
      </c>
      <c r="AK28" s="21" t="n">
        <f aca="false">AK22*Premissas!$B$18*(1-Premissas!$B$12*Premissas!$B$13)</f>
        <v>142721.532500002</v>
      </c>
      <c r="AL28" s="21" t="n">
        <f aca="false">AL22*Premissas!$B$18*(1-Premissas!$B$12*Premissas!$B$13)</f>
        <v>148524.721060455</v>
      </c>
      <c r="AM28" s="21" t="n">
        <f aca="false">AM22*Premissas!$B$18*(1-Premissas!$B$12*Premissas!$B$13)</f>
        <v>160568.819715395</v>
      </c>
      <c r="AN28" s="21" t="n">
        <f aca="false">AN22*Premissas!$B$18*(1-Premissas!$B$12*Premissas!$B$13)</f>
        <v>172282.489408553</v>
      </c>
      <c r="AO28" s="21" t="n">
        <f aca="false">AO22*Premissas!$B$18*(1-Premissas!$B$12*Premissas!$B$13)</f>
        <v>183676.388410347</v>
      </c>
      <c r="AP28" s="21" t="n">
        <f aca="false">AP22*Premissas!$B$18*(1-Premissas!$B$12*Premissas!$B$13)</f>
        <v>194760.802425918</v>
      </c>
      <c r="AQ28" s="21" t="n">
        <f aca="false">AQ22*Premissas!$B$18*(1-Premissas!$B$12*Premissas!$B$13)</f>
        <v>205545.658072171</v>
      </c>
      <c r="AR28" s="21" t="n">
        <f aca="false">AR22*Premissas!$B$18*(1-Premissas!$B$12*Premissas!$B$13)</f>
        <v>216040.535860486</v>
      </c>
      <c r="AS28" s="21" t="n">
        <f aca="false">AS22*Premissas!$B$18*(1-Premissas!$B$12*Premissas!$B$13)</f>
        <v>226254.682703326</v>
      </c>
      <c r="AT28" s="21" t="n">
        <f aca="false">AT22*Premissas!$B$18*(1-Premissas!$B$12*Premissas!$B$13)</f>
        <v>236197.023962315</v>
      </c>
      <c r="AU28" s="21" t="n">
        <f aca="false">AU22*Premissas!$B$18*(1-Premissas!$B$12*Premissas!$B$13)</f>
        <v>245876.175054685</v>
      </c>
      <c r="AV28" s="21" t="n">
        <f aca="false">AV22*Premissas!$B$18*(1-Premissas!$B$12*Premissas!$B$13)</f>
        <v>255300.452634381</v>
      </c>
      <c r="AW28" s="21" t="n">
        <f aca="false">AW22*Premissas!$B$18*(1-Premissas!$B$12*Premissas!$B$13)</f>
        <v>264477.885363514</v>
      </c>
      <c r="AX28" s="21" t="n">
        <f aca="false">AX22*Premissas!$B$18*(1-Premissas!$B$12*Premissas!$B$13)</f>
        <v>273416.224289263</v>
      </c>
      <c r="AY28" s="21" t="n">
        <f aca="false">AY22*Premissas!$B$18*(1-Premissas!$B$12*Premissas!$B$13)</f>
        <v>287062.4368063</v>
      </c>
      <c r="AZ28" s="21" t="n">
        <f aca="false">AZ22*Premissas!$B$18*(1-Premissas!$B$12*Premissas!$B$13)</f>
        <v>300389.423490232</v>
      </c>
      <c r="BA28" s="21" t="n">
        <f aca="false">BA22*Premissas!$B$18*(1-Premissas!$B$12*Premissas!$B$13)</f>
        <v>313406.404956698</v>
      </c>
      <c r="BB28" s="21" t="n">
        <f aca="false">BB22*Premissas!$B$18*(1-Premissas!$B$12*Premissas!$B$13)</f>
        <v>326122.306720555</v>
      </c>
      <c r="BC28" s="21" t="n">
        <f aca="false">BC22*Premissas!$B$18*(1-Premissas!$B$12*Premissas!$B$13)</f>
        <v>338545.769034627</v>
      </c>
      <c r="BD28" s="21" t="n">
        <f aca="false">BD22*Premissas!$B$18*(1-Premissas!$B$12*Premissas!$B$13)</f>
        <v>350685.156395363</v>
      </c>
      <c r="BE28" s="21" t="n">
        <f aca="false">BE22*Premissas!$B$18*(1-Premissas!$B$12*Premissas!$B$13)</f>
        <v>362548.566726729</v>
      </c>
      <c r="BF28" s="21" t="n">
        <f aca="false">BF22*Premissas!$B$18*(1-Premissas!$B$12*Premissas!$B$13)</f>
        <v>374143.840253309</v>
      </c>
      <c r="BG28" s="21" t="n">
        <f aca="false">BG22*Premissas!$B$18*(1-Premissas!$B$12*Premissas!$B$13)</f>
        <v>385478.568073182</v>
      </c>
      <c r="BH28" s="21" t="n">
        <f aca="false">BH22*Premissas!$B$18*(1-Premissas!$B$12*Premissas!$B$13)</f>
        <v>396560.100440804</v>
      </c>
      <c r="BI28" s="21" t="n">
        <f aca="false">BI22*Premissas!$B$18*(1-Premissas!$B$12*Premissas!$B$13)</f>
        <v>407395.554769764</v>
      </c>
      <c r="BJ28" s="21" t="n">
        <f aca="false">BJ22*Premissas!$B$18*(1-Premissas!$B$12*Premissas!$B$13)</f>
        <v>417991.823364951</v>
      </c>
    </row>
    <row r="29" customFormat="false" ht="15" hidden="false" customHeight="false" outlineLevel="0" collapsed="false">
      <c r="A29" s="5" t="s">
        <v>234</v>
      </c>
      <c r="C29" s="21" t="n">
        <f aca="false">C23*Premissas!$C$18*(1-Premissas!$B$12*Premissas!$B$13)</f>
        <v>5953.73527777778</v>
      </c>
      <c r="D29" s="21" t="n">
        <f aca="false">D23*Premissas!$C$18*(1-Premissas!$B$12*Premissas!$B$13)</f>
        <v>11788.39585</v>
      </c>
      <c r="E29" s="21" t="n">
        <f aca="false">E23*Premissas!$C$18*(1-Premissas!$B$12*Premissas!$B$13)</f>
        <v>17505.9166806319</v>
      </c>
      <c r="F29" s="21" t="n">
        <f aca="false">F23*Premissas!$C$18*(1-Premissas!$B$12*Premissas!$B$13)</f>
        <v>23108.2260356867</v>
      </c>
      <c r="G29" s="21" t="n">
        <f aca="false">G23*Premissas!$C$18*(1-Premissas!$B$12*Premissas!$B$13)</f>
        <v>28597.2438385058</v>
      </c>
      <c r="H29" s="21" t="n">
        <f aca="false">H23*Premissas!$C$18*(1-Premissas!$B$12*Premissas!$B$13)</f>
        <v>33974.8801484496</v>
      </c>
      <c r="I29" s="21" t="n">
        <f aca="false">I23*Premissas!$C$18*(1-Premissas!$B$12*Premissas!$B$13)</f>
        <v>39243.0337560991</v>
      </c>
      <c r="J29" s="21" t="n">
        <f aca="false">J23*Premissas!$C$18*(1-Premissas!$B$12*Premissas!$B$13)</f>
        <v>44403.5908884212</v>
      </c>
      <c r="K29" s="21" t="n">
        <f aca="false">K23*Premissas!$C$18*(1-Premissas!$B$12*Premissas!$B$13)</f>
        <v>49458.4240176836</v>
      </c>
      <c r="L29" s="21" t="n">
        <f aca="false">L23*Premissas!$C$18*(1-Premissas!$B$12*Premissas!$B$13)</f>
        <v>54409.3907682225</v>
      </c>
      <c r="M29" s="21" t="n">
        <f aca="false">M23*Premissas!$C$18*(1-Premissas!$B$12*Premissas!$B$13)</f>
        <v>59258.3329154673</v>
      </c>
      <c r="N29" s="21" t="n">
        <f aca="false">N23*Premissas!$C$18*(1-Premissas!$B$12*Premissas!$B$13)</f>
        <v>64007.0754719155</v>
      </c>
      <c r="O29" s="21" t="n">
        <f aca="false">O23*Premissas!$C$18*(1-Premissas!$B$12*Premissas!$B$13)</f>
        <v>80768.2173194271</v>
      </c>
      <c r="P29" s="21" t="n">
        <f aca="false">P23*Premissas!$C$18*(1-Premissas!$B$12*Premissas!$B$13)</f>
        <v>97231.0546600387</v>
      </c>
      <c r="Q29" s="21" t="n">
        <f aca="false">Q23*Premissas!$C$18*(1-Premissas!$B$12*Premissas!$B$13)</f>
        <v>113400.069313317</v>
      </c>
      <c r="R29" s="21" t="n">
        <f aca="false">R23*Premissas!$C$18*(1-Premissas!$B$12*Premissas!$B$13)</f>
        <v>129279.719002054</v>
      </c>
      <c r="S29" s="21" t="n">
        <f aca="false">S23*Premissas!$C$18*(1-Premissas!$B$12*Premissas!$B$13)</f>
        <v>144874.434890753</v>
      </c>
      <c r="T29" s="21" t="n">
        <f aca="false">T23*Premissas!$C$18*(1-Premissas!$B$12*Premissas!$B$13)</f>
        <v>160188.61930484</v>
      </c>
      <c r="U29" s="21" t="n">
        <f aca="false">U23*Premissas!$C$18*(1-Premissas!$B$12*Premissas!$B$13)</f>
        <v>175226.643621144</v>
      </c>
      <c r="V29" s="21" t="n">
        <f aca="false">V23*Premissas!$C$18*(1-Premissas!$B$12*Premissas!$B$13)</f>
        <v>189992.846320675</v>
      </c>
      <c r="W29" s="21" t="n">
        <f aca="false">W23*Premissas!$C$18*(1-Premissas!$B$12*Premissas!$B$13)</f>
        <v>204491.53119511</v>
      </c>
      <c r="X29" s="21" t="n">
        <f aca="false">X23*Premissas!$C$18*(1-Premissas!$B$12*Premissas!$B$13)</f>
        <v>218726.965698838</v>
      </c>
      <c r="Y29" s="21" t="n">
        <f aca="false">Y23*Premissas!$C$18*(1-Premissas!$B$12*Premissas!$B$13)</f>
        <v>232703.37943878</v>
      </c>
      <c r="Z29" s="21" t="n">
        <f aca="false">Z23*Premissas!$C$18*(1-Premissas!$B$12*Premissas!$B$13)</f>
        <v>246424.962794587</v>
      </c>
      <c r="AA29" s="21" t="n">
        <f aca="false">AA23*Premissas!$C$18*(1-Premissas!$B$12*Premissas!$B$13)</f>
        <v>282916.549859625</v>
      </c>
      <c r="AB29" s="21" t="n">
        <f aca="false">AB23*Premissas!$C$18*(1-Premissas!$B$12*Premissas!$B$13)</f>
        <v>318837.732837086</v>
      </c>
      <c r="AC29" s="21" t="n">
        <f aca="false">AC23*Premissas!$C$18*(1-Premissas!$B$12*Premissas!$B$13)</f>
        <v>354196.311579113</v>
      </c>
      <c r="AD29" s="21" t="n">
        <f aca="false">AD23*Premissas!$C$18*(1-Premissas!$B$12*Premissas!$B$13)</f>
        <v>389000.036865523</v>
      </c>
      <c r="AE29" s="21" t="n">
        <f aca="false">AE23*Premissas!$C$18*(1-Premissas!$B$12*Premissas!$B$13)</f>
        <v>423256.607576483</v>
      </c>
      <c r="AF29" s="21" t="n">
        <f aca="false">AF23*Premissas!$C$18*(1-Premissas!$B$12*Premissas!$B$13)</f>
        <v>456973.668069337</v>
      </c>
      <c r="AG29" s="21" t="n">
        <f aca="false">AG23*Premissas!$C$18*(1-Premissas!$B$12*Premissas!$B$13)</f>
        <v>490158.805749585</v>
      </c>
      <c r="AH29" s="21" t="n">
        <f aca="false">AH23*Premissas!$C$18*(1-Premissas!$B$12*Premissas!$B$13)</f>
        <v>522819.54882649</v>
      </c>
      <c r="AI29" s="21" t="n">
        <f aca="false">AI23*Premissas!$C$18*(1-Premissas!$B$12*Premissas!$B$13)</f>
        <v>554963.364244188</v>
      </c>
      <c r="AJ29" s="21" t="n">
        <f aca="false">AJ23*Premissas!$C$18*(1-Premissas!$B$12*Premissas!$B$13)</f>
        <v>586597.655779581</v>
      </c>
      <c r="AK29" s="21" t="n">
        <f aca="false">AK23*Premissas!$C$18*(1-Premissas!$B$12*Premissas!$B$13)</f>
        <v>617729.762298685</v>
      </c>
      <c r="AL29" s="21" t="n">
        <f aca="false">AL23*Premissas!$C$18*(1-Premissas!$B$12*Premissas!$B$13)</f>
        <v>648366.956163452</v>
      </c>
      <c r="AM29" s="21" t="n">
        <f aca="false">AM23*Premissas!$C$18*(1-Premissas!$B$12*Premissas!$B$13)</f>
        <v>707927.839362459</v>
      </c>
      <c r="AN29" s="21" t="n">
        <f aca="false">AN23*Premissas!$C$18*(1-Premissas!$B$12*Premissas!$B$13)</f>
        <v>766677.759795413</v>
      </c>
      <c r="AO29" s="21" t="n">
        <f aca="false">AO23*Premissas!$C$18*(1-Premissas!$B$12*Premissas!$B$13)</f>
        <v>824626.414069394</v>
      </c>
      <c r="AP29" s="21" t="n">
        <f aca="false">AP23*Premissas!$C$18*(1-Premissas!$B$12*Premissas!$B$13)</f>
        <v>881783.449992813</v>
      </c>
      <c r="AQ29" s="21" t="n">
        <f aca="false">AQ23*Premissas!$C$18*(1-Premissas!$B$12*Premissas!$B$13)</f>
        <v>938158.463404959</v>
      </c>
      <c r="AR29" s="21" t="n">
        <f aca="false">AR23*Premissas!$C$18*(1-Premissas!$B$12*Premissas!$B$13)</f>
        <v>993760.995206961</v>
      </c>
      <c r="AS29" s="21" t="n">
        <f aca="false">AS23*Premissas!$C$18*(1-Premissas!$B$12*Premissas!$B$13)</f>
        <v>1048600.52858521</v>
      </c>
      <c r="AT29" s="21" t="n">
        <f aca="false">AT23*Premissas!$C$18*(1-Premissas!$B$12*Premissas!$B$13)</f>
        <v>1102686.48641867</v>
      </c>
      <c r="AU29" s="21" t="n">
        <f aca="false">AU23*Premissas!$C$18*(1-Premissas!$B$12*Premissas!$B$13)</f>
        <v>1156028.22886181</v>
      </c>
      <c r="AV29" s="21" t="n">
        <f aca="false">AV23*Premissas!$C$18*(1-Premissas!$B$12*Premissas!$B$13)</f>
        <v>1208635.05109528</v>
      </c>
      <c r="AW29" s="21" t="n">
        <f aca="false">AW23*Premissas!$C$18*(1-Premissas!$B$12*Premissas!$B$13)</f>
        <v>1260516.18123672</v>
      </c>
      <c r="AX29" s="21" t="n">
        <f aca="false">AX23*Premissas!$C$18*(1-Premissas!$B$12*Premissas!$B$13)</f>
        <v>1311680.77840442</v>
      </c>
      <c r="AY29" s="21" t="n">
        <f aca="false">AY23*Premissas!$C$18*(1-Premissas!$B$12*Premissas!$B$13)</f>
        <v>1393507.9215272</v>
      </c>
      <c r="AZ29" s="21" t="n">
        <f aca="false">AZ23*Premissas!$C$18*(1-Premissas!$B$12*Premissas!$B$13)</f>
        <v>1474372.37860799</v>
      </c>
      <c r="BA29" s="21" t="n">
        <f aca="false">BA23*Premissas!$C$18*(1-Premissas!$B$12*Premissas!$B$13)</f>
        <v>1554284.4481309</v>
      </c>
      <c r="BB29" s="21" t="n">
        <f aca="false">BB23*Premissas!$C$18*(1-Premissas!$B$12*Premissas!$B$13)</f>
        <v>1633254.37236068</v>
      </c>
      <c r="BC29" s="21" t="n">
        <f aca="false">BC23*Premissas!$C$18*(1-Premissas!$B$12*Premissas!$B$13)</f>
        <v>1711292.33511699</v>
      </c>
      <c r="BD29" s="21" t="n">
        <f aca="false">BD23*Premissas!$C$18*(1-Premissas!$B$12*Premissas!$B$13)</f>
        <v>1788408.459687</v>
      </c>
      <c r="BE29" s="21" t="n">
        <f aca="false">BE23*Premissas!$C$18*(1-Premissas!$B$12*Premissas!$B$13)</f>
        <v>1864612.80687091</v>
      </c>
      <c r="BF29" s="21" t="n">
        <f aca="false">BF23*Premissas!$C$18*(1-Premissas!$B$12*Premissas!$B$13)</f>
        <v>1939915.37315467</v>
      </c>
      <c r="BG29" s="21" t="n">
        <f aca="false">BG23*Premissas!$C$18*(1-Premissas!$B$12*Premissas!$B$13)</f>
        <v>2014326.08900464</v>
      </c>
      <c r="BH29" s="21" t="n">
        <f aca="false">BH23*Premissas!$C$18*(1-Premissas!$B$12*Premissas!$B$13)</f>
        <v>2087854.81727909</v>
      </c>
      <c r="BI29" s="21" t="n">
        <f aca="false">BI23*Premissas!$C$18*(1-Premissas!$B$12*Premissas!$B$13)</f>
        <v>2160511.3517516</v>
      </c>
      <c r="BJ29" s="21" t="n">
        <f aca="false">BJ23*Premissas!$C$18*(1-Premissas!$B$12*Premissas!$B$13)</f>
        <v>2232305.41574151</v>
      </c>
    </row>
    <row r="30" customFormat="false" ht="15" hidden="false" customHeight="false" outlineLevel="0" collapsed="false">
      <c r="A30" s="5" t="s">
        <v>235</v>
      </c>
      <c r="C30" s="21" t="n">
        <f aca="false">C24*Premissas!$D$18*(1-Premissas!$B$12*Premissas!$B$13)</f>
        <v>2557.45816666667</v>
      </c>
      <c r="D30" s="21" t="n">
        <f aca="false">D24*Premissas!$D$18*(1-Premissas!$B$12*Premissas!$B$13)</f>
        <v>5076.55446083333</v>
      </c>
      <c r="E30" s="21" t="n">
        <f aca="false">E24*Premissas!$D$18*(1-Premissas!$B$12*Premissas!$B$13)</f>
        <v>7557.54462831667</v>
      </c>
      <c r="F30" s="21" t="n">
        <f aca="false">F24*Premissas!$D$18*(1-Premissas!$B$12*Premissas!$B$13)</f>
        <v>10000.7000793646</v>
      </c>
      <c r="G30" s="21" t="n">
        <f aca="false">G24*Premissas!$D$18*(1-Premissas!$B$12*Premissas!$B$13)</f>
        <v>12406.3067042335</v>
      </c>
      <c r="H30" s="21" t="n">
        <f aca="false">H24*Premissas!$D$18*(1-Premissas!$B$12*Premissas!$B$13)</f>
        <v>14774.6637501925</v>
      </c>
      <c r="I30" s="21" t="n">
        <f aca="false">I24*Premissas!$D$18*(1-Premissas!$B$12*Premissas!$B$13)</f>
        <v>17106.0827570454</v>
      </c>
      <c r="J30" s="21" t="n">
        <f aca="false">J24*Premissas!$D$18*(1-Premissas!$B$12*Premissas!$B$13)</f>
        <v>19400.8865483984</v>
      </c>
      <c r="K30" s="21" t="n">
        <f aca="false">K24*Premissas!$D$18*(1-Premissas!$B$12*Premissas!$B$13)</f>
        <v>21659.4082760241</v>
      </c>
      <c r="L30" s="21" t="n">
        <f aca="false">L24*Premissas!$D$18*(1-Premissas!$B$12*Premissas!$B$13)</f>
        <v>23881.9905148024</v>
      </c>
      <c r="M30" s="21" t="n">
        <f aca="false">M24*Premissas!$D$18*(1-Premissas!$B$12*Premissas!$B$13)</f>
        <v>26068.9844058279</v>
      </c>
      <c r="N30" s="21" t="n">
        <f aca="false">N24*Premissas!$D$18*(1-Premissas!$B$12*Premissas!$B$13)</f>
        <v>28220.7488453915</v>
      </c>
      <c r="O30" s="21" t="n">
        <f aca="false">O24*Premissas!$D$18*(1-Premissas!$B$12*Premissas!$B$13)</f>
        <v>37917.9640838519</v>
      </c>
      <c r="P30" s="21" t="n">
        <f aca="false">P24*Premissas!$D$18*(1-Premissas!$B$12*Premissas!$B$13)</f>
        <v>47483.8937546245</v>
      </c>
      <c r="Q30" s="21" t="n">
        <f aca="false">Q24*Premissas!$D$18*(1-Premissas!$B$12*Premissas!$B$13)</f>
        <v>56919.4625706713</v>
      </c>
      <c r="R30" s="21" t="n">
        <f aca="false">R24*Premissas!$D$18*(1-Premissas!$B$12*Premissas!$B$13)</f>
        <v>66225.6295961749</v>
      </c>
      <c r="S30" s="21" t="n">
        <f aca="false">S24*Premissas!$D$18*(1-Premissas!$B$12*Premissas!$B$13)</f>
        <v>75403.3857105088</v>
      </c>
      <c r="T30" s="21" t="n">
        <f aca="false">T24*Premissas!$D$18*(1-Premissas!$B$12*Premissas!$B$13)</f>
        <v>84453.7511935149</v>
      </c>
      <c r="U30" s="21" t="n">
        <f aca="false">U24*Premissas!$D$18*(1-Premissas!$B$12*Premissas!$B$13)</f>
        <v>93377.7734268141</v>
      </c>
      <c r="V30" s="21" t="n">
        <f aca="false">V24*Premissas!$D$18*(1-Premissas!$B$12*Premissas!$B$13)</f>
        <v>102176.524706097</v>
      </c>
      <c r="W30" s="21" t="n">
        <f aca="false">W24*Premissas!$D$18*(1-Premissas!$B$12*Premissas!$B$13)</f>
        <v>110851.100159561</v>
      </c>
      <c r="X30" s="21" t="n">
        <f aca="false">X24*Premissas!$D$18*(1-Premissas!$B$12*Premissas!$B$13)</f>
        <v>119402.615767859</v>
      </c>
      <c r="Y30" s="21" t="n">
        <f aca="false">Y24*Premissas!$D$18*(1-Premissas!$B$12*Premissas!$B$13)</f>
        <v>127832.206481131</v>
      </c>
      <c r="Z30" s="21" t="n">
        <f aca="false">Z24*Premissas!$D$18*(1-Premissas!$B$12*Premissas!$B$13)</f>
        <v>136141.024428871</v>
      </c>
      <c r="AA30" s="21" t="n">
        <f aca="false">AA24*Premissas!$D$18*(1-Premissas!$B$12*Premissas!$B$13)</f>
        <v>160804.742970887</v>
      </c>
      <c r="AB30" s="21" t="n">
        <f aca="false">AB24*Premissas!$D$18*(1-Premissas!$B$12*Premissas!$B$13)</f>
        <v>185176.082335825</v>
      </c>
      <c r="AC30" s="21" t="n">
        <f aca="false">AC24*Premissas!$D$18*(1-Premissas!$B$12*Premissas!$B$13)</f>
        <v>209256.922643919</v>
      </c>
      <c r="AD30" s="21" t="n">
        <f aca="false">AD24*Premissas!$D$18*(1-Premissas!$B$12*Premissas!$B$13)</f>
        <v>233049.200225745</v>
      </c>
      <c r="AE30" s="21" t="n">
        <f aca="false">AE24*Premissas!$D$18*(1-Premissas!$B$12*Premissas!$B$13)</f>
        <v>256554.903808208</v>
      </c>
      <c r="AF30" s="21" t="n">
        <f aca="false">AF24*Premissas!$D$18*(1-Premissas!$B$12*Premissas!$B$13)</f>
        <v>279776.070866511</v>
      </c>
      <c r="AG30" s="21" t="n">
        <f aca="false">AG24*Premissas!$D$18*(1-Premissas!$B$12*Premissas!$B$13)</f>
        <v>302714.784135506</v>
      </c>
      <c r="AH30" s="21" t="n">
        <f aca="false">AH24*Premissas!$D$18*(1-Premissas!$B$12*Premissas!$B$13)</f>
        <v>325373.168274072</v>
      </c>
      <c r="AI30" s="21" t="n">
        <f aca="false">AI24*Premissas!$D$18*(1-Premissas!$B$12*Premissas!$B$13)</f>
        <v>347753.386676454</v>
      </c>
      <c r="AJ30" s="21" t="n">
        <f aca="false">AJ24*Premissas!$D$18*(1-Premissas!$B$12*Premissas!$B$13)</f>
        <v>369857.638424674</v>
      </c>
      <c r="AK30" s="21" t="n">
        <f aca="false">AK24*Premissas!$D$18*(1-Premissas!$B$12*Premissas!$B$13)</f>
        <v>391688.155376413</v>
      </c>
      <c r="AL30" s="21" t="n">
        <f aca="false">AL24*Premissas!$D$18*(1-Premissas!$B$12*Premissas!$B$13)</f>
        <v>413247.199382944</v>
      </c>
      <c r="AM30" s="21" t="n">
        <f aca="false">AM24*Premissas!$D$18*(1-Premissas!$B$12*Premissas!$B$13)</f>
        <v>456547.789680566</v>
      </c>
      <c r="AN30" s="21" t="n">
        <f aca="false">AN24*Premissas!$D$18*(1-Premissas!$B$12*Premissas!$B$13)</f>
        <v>499404.352987364</v>
      </c>
      <c r="AO30" s="21" t="n">
        <f aca="false">AO24*Premissas!$D$18*(1-Premissas!$B$12*Premissas!$B$13)</f>
        <v>541819.177221168</v>
      </c>
      <c r="AP30" s="21" t="n">
        <f aca="false">AP24*Premissas!$D$18*(1-Premissas!$B$12*Premissas!$B$13)</f>
        <v>583794.627905536</v>
      </c>
      <c r="AQ30" s="21" t="n">
        <f aca="false">AQ24*Premissas!$D$18*(1-Premissas!$B$12*Premissas!$B$13)</f>
        <v>625333.143696488</v>
      </c>
      <c r="AR30" s="21" t="n">
        <f aca="false">AR24*Premissas!$D$18*(1-Premissas!$B$12*Premissas!$B$13)</f>
        <v>666437.232083839</v>
      </c>
      <c r="AS30" s="21" t="n">
        <f aca="false">AS24*Premissas!$D$18*(1-Premissas!$B$12*Premissas!$B$13)</f>
        <v>707109.465260837</v>
      </c>
      <c r="AT30" s="21" t="n">
        <f aca="false">AT24*Premissas!$D$18*(1-Premissas!$B$12*Premissas!$B$13)</f>
        <v>747352.476155997</v>
      </c>
      <c r="AU30" s="21" t="n">
        <f aca="false">AU24*Premissas!$D$18*(1-Premissas!$B$12*Premissas!$B$13)</f>
        <v>787168.954621275</v>
      </c>
      <c r="AV30" s="21" t="n">
        <f aca="false">AV24*Premissas!$D$18*(1-Premissas!$B$12*Premissas!$B$13)</f>
        <v>826561.643770917</v>
      </c>
      <c r="AW30" s="21" t="n">
        <f aca="false">AW24*Premissas!$D$18*(1-Premissas!$B$12*Premissas!$B$13)</f>
        <v>865533.336465524</v>
      </c>
      <c r="AX30" s="21" t="n">
        <f aca="false">AX24*Premissas!$D$18*(1-Premissas!$B$12*Premissas!$B$13)</f>
        <v>904086.871936079</v>
      </c>
      <c r="AY30" s="21" t="n">
        <f aca="false">AY24*Premissas!$D$18*(1-Premissas!$B$12*Premissas!$B$13)</f>
        <v>972960.31029794</v>
      </c>
      <c r="AZ30" s="21" t="n">
        <f aca="false">AZ24*Premissas!$D$18*(1-Premissas!$B$12*Premissas!$B$13)</f>
        <v>1041215.64674554</v>
      </c>
      <c r="BA30" s="21" t="n">
        <f aca="false">BA24*Premissas!$D$18*(1-Premissas!$B$12*Premissas!$B$13)</f>
        <v>1108855.91678102</v>
      </c>
      <c r="BB30" s="21" t="n">
        <f aca="false">BB24*Premissas!$D$18*(1-Premissas!$B$12*Premissas!$B$13)</f>
        <v>1175884.22920688</v>
      </c>
      <c r="BC30" s="21" t="n">
        <f aca="false">BC24*Premissas!$D$18*(1-Premissas!$B$12*Premissas!$B$13)</f>
        <v>1242303.76215799</v>
      </c>
      <c r="BD30" s="21" t="n">
        <f aca="false">BD24*Premissas!$D$18*(1-Premissas!$B$12*Premissas!$B$13)</f>
        <v>1308117.75927471</v>
      </c>
      <c r="BE30" s="21" t="n">
        <f aca="false">BE24*Premissas!$D$18*(1-Premissas!$B$12*Premissas!$B$13)</f>
        <v>1373329.5260126</v>
      </c>
      <c r="BF30" s="21" t="n">
        <f aca="false">BF24*Premissas!$D$18*(1-Premissas!$B$12*Premissas!$B$13)</f>
        <v>1437942.42608406</v>
      </c>
      <c r="BG30" s="21" t="n">
        <f aca="false">BG24*Premissas!$D$18*(1-Premissas!$B$12*Premissas!$B$13)</f>
        <v>1501959.8780277</v>
      </c>
      <c r="BH30" s="21" t="n">
        <f aca="false">BH24*Premissas!$D$18*(1-Premissas!$B$12*Premissas!$B$13)</f>
        <v>1565385.35190106</v>
      </c>
      <c r="BI30" s="21" t="n">
        <f aca="false">BI24*Premissas!$D$18*(1-Premissas!$B$12*Premissas!$B$13)</f>
        <v>1628222.36609277</v>
      </c>
      <c r="BJ30" s="21" t="n">
        <f aca="false">BJ24*Premissas!$D$18*(1-Premissas!$B$12*Premissas!$B$13)</f>
        <v>1690474.48425001</v>
      </c>
    </row>
    <row r="31" customFormat="false" ht="15" hidden="false" customHeight="false" outlineLevel="0" collapsed="false">
      <c r="A31" s="5" t="s">
        <v>236</v>
      </c>
      <c r="C31" s="21" t="n">
        <f aca="false">C25*Premissas!$E$18*(1-Premissas!$B$12*Premissas!$B$13)</f>
        <v>0</v>
      </c>
      <c r="D31" s="21" t="n">
        <f aca="false">D25*Premissas!$E$18*(1-Premissas!$B$12*Premissas!$B$13)</f>
        <v>0</v>
      </c>
      <c r="E31" s="21" t="n">
        <f aca="false">E25*Premissas!$E$18*(1-Premissas!$B$12*Premissas!$B$13)</f>
        <v>0</v>
      </c>
      <c r="F31" s="21" t="n">
        <f aca="false">F25*Premissas!$E$18*(1-Premissas!$B$12*Premissas!$B$13)</f>
        <v>0</v>
      </c>
      <c r="G31" s="21" t="n">
        <f aca="false">G25*Premissas!$E$18*(1-Premissas!$B$12*Premissas!$B$13)</f>
        <v>0</v>
      </c>
      <c r="H31" s="21" t="n">
        <f aca="false">H25*Premissas!$E$18*(1-Premissas!$B$12*Premissas!$B$13)</f>
        <v>0</v>
      </c>
      <c r="I31" s="21" t="n">
        <f aca="false">I25*Premissas!$E$18*(1-Premissas!$B$12*Premissas!$B$13)</f>
        <v>0</v>
      </c>
      <c r="J31" s="21" t="n">
        <f aca="false">J25*Premissas!$E$18*(1-Premissas!$B$12*Premissas!$B$13)</f>
        <v>0</v>
      </c>
      <c r="K31" s="21" t="n">
        <f aca="false">K25*Premissas!$E$18*(1-Premissas!$B$12*Premissas!$B$13)</f>
        <v>0</v>
      </c>
      <c r="L31" s="21" t="n">
        <f aca="false">L25*Premissas!$E$18*(1-Premissas!$B$12*Premissas!$B$13)</f>
        <v>0</v>
      </c>
      <c r="M31" s="21" t="n">
        <f aca="false">M25*Premissas!$E$18*(1-Premissas!$B$12*Premissas!$B$13)</f>
        <v>0</v>
      </c>
      <c r="N31" s="21" t="n">
        <f aca="false">N25*Premissas!$E$18*(1-Premissas!$B$12*Premissas!$B$13)</f>
        <v>0</v>
      </c>
      <c r="O31" s="21" t="n">
        <f aca="false">O25*Premissas!$E$18*(1-Premissas!$B$12*Premissas!$B$13)</f>
        <v>4146.81060597374</v>
      </c>
      <c r="P31" s="21" t="n">
        <f aca="false">P25*Premissas!$E$18*(1-Premissas!$B$12*Premissas!$B$13)</f>
        <v>8254.09359731727</v>
      </c>
      <c r="Q31" s="21" t="n">
        <f aca="false">Q25*Premissas!$E$18*(1-Premissas!$B$12*Premissas!$B$13)</f>
        <v>12321.7366608594</v>
      </c>
      <c r="R31" s="21" t="n">
        <f aca="false">R25*Premissas!$E$18*(1-Premissas!$B$12*Premissas!$B$13)</f>
        <v>16349.6518424234</v>
      </c>
      <c r="S31" s="21" t="n">
        <f aca="false">S25*Premissas!$E$18*(1-Premissas!$B$12*Premissas!$B$13)</f>
        <v>20337.7743988418</v>
      </c>
      <c r="T31" s="21" t="n">
        <f aca="false">T25*Premissas!$E$18*(1-Premissas!$B$12*Premissas!$B$13)</f>
        <v>24286.0616963351</v>
      </c>
      <c r="U31" s="21" t="n">
        <f aca="false">U25*Premissas!$E$18*(1-Premissas!$B$12*Premissas!$B$13)</f>
        <v>28194.4921534072</v>
      </c>
      <c r="V31" s="21" t="n">
        <f aca="false">V25*Premissas!$E$18*(1-Premissas!$B$12*Premissas!$B$13)</f>
        <v>32063.0642264819</v>
      </c>
      <c r="W31" s="21" t="n">
        <f aca="false">W25*Premissas!$E$18*(1-Premissas!$B$12*Premissas!$B$13)</f>
        <v>35891.79543658</v>
      </c>
      <c r="X31" s="21" t="n">
        <f aca="false">X25*Premissas!$E$18*(1-Premissas!$B$12*Premissas!$B$13)</f>
        <v>39680.7214354037</v>
      </c>
      <c r="Y31" s="21" t="n">
        <f aca="false">Y25*Premissas!$E$18*(1-Premissas!$B$12*Premissas!$B$13)</f>
        <v>43429.8951092617</v>
      </c>
      <c r="Z31" s="21" t="n">
        <f aca="false">Z25*Premissas!$E$18*(1-Premissas!$B$12*Premissas!$B$13)</f>
        <v>47139.385719334</v>
      </c>
      <c r="AA31" s="21" t="n">
        <f aca="false">AA25*Premissas!$E$18*(1-Premissas!$B$12*Premissas!$B$13)</f>
        <v>70261.117214985</v>
      </c>
      <c r="AB31" s="21" t="n">
        <f aca="false">AB25*Premissas!$E$18*(1-Premissas!$B$12*Premissas!$B$13)</f>
        <v>93190.7470722437</v>
      </c>
      <c r="AC31" s="21" t="n">
        <f aca="false">AC25*Premissas!$E$18*(1-Premissas!$B$12*Premissas!$B$13)</f>
        <v>115927.78730114</v>
      </c>
      <c r="AD31" s="21" t="n">
        <f aca="false">AD25*Premissas!$E$18*(1-Premissas!$B$12*Premissas!$B$13)</f>
        <v>138471.841533646</v>
      </c>
      <c r="AE31" s="21" t="n">
        <f aca="false">AE25*Premissas!$E$18*(1-Premissas!$B$12*Premissas!$B$13)</f>
        <v>160822.601193492</v>
      </c>
      <c r="AF31" s="21" t="n">
        <f aca="false">AF25*Premissas!$E$18*(1-Premissas!$B$12*Premissas!$B$13)</f>
        <v>182979.841804865</v>
      </c>
      <c r="AG31" s="21" t="n">
        <f aca="false">AG25*Premissas!$E$18*(1-Premissas!$B$12*Premissas!$B$13)</f>
        <v>204943.419434969</v>
      </c>
      <c r="AH31" s="21" t="n">
        <f aca="false">AH25*Premissas!$E$18*(1-Premissas!$B$12*Premissas!$B$13)</f>
        <v>226713.2672656</v>
      </c>
      <c r="AI31" s="21" t="n">
        <f aca="false">AI25*Premissas!$E$18*(1-Premissas!$B$12*Premissas!$B$13)</f>
        <v>248289.392289072</v>
      </c>
      <c r="AJ31" s="21" t="n">
        <f aca="false">AJ25*Premissas!$E$18*(1-Premissas!$B$12*Premissas!$B$13)</f>
        <v>269671.872123992</v>
      </c>
      <c r="AK31" s="21" t="n">
        <f aca="false">AK25*Premissas!$E$18*(1-Premissas!$B$12*Premissas!$B$13)</f>
        <v>290860.851946589</v>
      </c>
      <c r="AL31" s="21" t="n">
        <f aca="false">AL25*Premissas!$E$18*(1-Premissas!$B$12*Premissas!$B$13)</f>
        <v>311856.541533405</v>
      </c>
      <c r="AM31" s="21" t="n">
        <f aca="false">AM25*Premissas!$E$18*(1-Premissas!$B$12*Premissas!$B$13)</f>
        <v>357161.808966878</v>
      </c>
      <c r="AN31" s="21" t="n">
        <f aca="false">AN25*Premissas!$E$18*(1-Premissas!$B$12*Premissas!$B$13)</f>
        <v>402151.2238844</v>
      </c>
      <c r="AO31" s="21" t="n">
        <f aca="false">AO25*Premissas!$E$18*(1-Premissas!$B$12*Premissas!$B$13)</f>
        <v>446823.495734831</v>
      </c>
      <c r="AP31" s="21" t="n">
        <f aca="false">AP25*Premissas!$E$18*(1-Premissas!$B$12*Premissas!$B$13)</f>
        <v>491177.473395877</v>
      </c>
      <c r="AQ31" s="21" t="n">
        <f aca="false">AQ25*Premissas!$E$18*(1-Premissas!$B$12*Premissas!$B$13)</f>
        <v>535212.140108436</v>
      </c>
      <c r="AR31" s="21" t="n">
        <f aca="false">AR25*Premissas!$E$18*(1-Premissas!$B$12*Premissas!$B$13)</f>
        <v>578926.608575334</v>
      </c>
      <c r="AS31" s="21" t="n">
        <f aca="false">AS25*Premissas!$E$18*(1-Premissas!$B$12*Premissas!$B$13)</f>
        <v>622320.116219059</v>
      </c>
      <c r="AT31" s="21" t="n">
        <f aca="false">AT25*Premissas!$E$18*(1-Premissas!$B$12*Premissas!$B$13)</f>
        <v>665392.02059326</v>
      </c>
      <c r="AU31" s="21" t="n">
        <f aca="false">AU25*Premissas!$E$18*(1-Premissas!$B$12*Premissas!$B$13)</f>
        <v>708141.794942969</v>
      </c>
      <c r="AV31" s="21" t="n">
        <f aca="false">AV25*Premissas!$E$18*(1-Premissas!$B$12*Premissas!$B$13)</f>
        <v>750569.023908679</v>
      </c>
      <c r="AW31" s="21" t="n">
        <f aca="false">AW25*Premissas!$E$18*(1-Premissas!$B$12*Premissas!$B$13)</f>
        <v>792673.399369566</v>
      </c>
      <c r="AX31" s="21" t="n">
        <f aca="false">AX25*Premissas!$E$18*(1-Premissas!$B$12*Premissas!$B$13)</f>
        <v>834454.716421305</v>
      </c>
      <c r="AY31" s="21" t="n">
        <f aca="false">AY25*Premissas!$E$18*(1-Premissas!$B$12*Premissas!$B$13)</f>
        <v>908681.779826539</v>
      </c>
      <c r="AZ31" s="21" t="n">
        <f aca="false">AZ25*Premissas!$E$18*(1-Premissas!$B$12*Premissas!$B$13)</f>
        <v>982468.82243228</v>
      </c>
      <c r="BA31" s="21" t="n">
        <f aca="false">BA25*Premissas!$E$18*(1-Premissas!$B$12*Premissas!$B$13)</f>
        <v>1055814.00864665</v>
      </c>
      <c r="BB31" s="21" t="n">
        <f aca="false">BB25*Premissas!$E$18*(1-Premissas!$B$12*Premissas!$B$13)</f>
        <v>1128715.65852077</v>
      </c>
      <c r="BC31" s="21" t="n">
        <f aca="false">BC25*Premissas!$E$18*(1-Premissas!$B$12*Premissas!$B$13)</f>
        <v>1201172.24282858</v>
      </c>
      <c r="BD31" s="21" t="n">
        <f aca="false">BD25*Premissas!$E$18*(1-Premissas!$B$12*Premissas!$B$13)</f>
        <v>1273182.37828826</v>
      </c>
      <c r="BE31" s="21" t="n">
        <f aca="false">BE25*Premissas!$E$18*(1-Premissas!$B$12*Premissas!$B$13)</f>
        <v>1344744.82292095</v>
      </c>
      <c r="BF31" s="21" t="n">
        <f aca="false">BF25*Premissas!$E$18*(1-Premissas!$B$12*Premissas!$B$13)</f>
        <v>1415858.47154273</v>
      </c>
      <c r="BG31" s="21" t="n">
        <f aca="false">BG25*Premissas!$E$18*(1-Premissas!$B$12*Premissas!$B$13)</f>
        <v>1486522.35138602</v>
      </c>
      <c r="BH31" s="21" t="n">
        <f aca="false">BH25*Premissas!$E$18*(1-Premissas!$B$12*Premissas!$B$13)</f>
        <v>1556735.61784647</v>
      </c>
      <c r="BI31" s="21" t="n">
        <f aca="false">BI25*Premissas!$E$18*(1-Premissas!$B$12*Premissas!$B$13)</f>
        <v>1626497.55035167</v>
      </c>
      <c r="BJ31" s="21" t="n">
        <f aca="false">BJ25*Premissas!$E$18*(1-Premissas!$B$12*Premissas!$B$13)</f>
        <v>1695807.54834821</v>
      </c>
    </row>
    <row r="32" customFormat="false" ht="15" hidden="false" customHeight="false" outlineLevel="0" collapsed="false">
      <c r="A32" s="18" t="s">
        <v>237</v>
      </c>
      <c r="C32" s="30" t="n">
        <f aca="false">SUM(C28:C31)</f>
        <v>10540.7594444444</v>
      </c>
      <c r="D32" s="30" t="n">
        <f aca="false">SUM(D28:D31)</f>
        <v>20842.8996708333</v>
      </c>
      <c r="E32" s="30" t="n">
        <f aca="false">SUM(E28:E31)</f>
        <v>30912.1123902986</v>
      </c>
      <c r="F32" s="30" t="n">
        <f aca="false">SUM(F28:F31)</f>
        <v>40753.9407353906</v>
      </c>
      <c r="G32" s="30" t="n">
        <f aca="false">SUM(G28:G31)</f>
        <v>50373.7836790232</v>
      </c>
      <c r="H32" s="30" t="n">
        <f aca="false">SUM(H28:H31)</f>
        <v>59776.900301101</v>
      </c>
      <c r="I32" s="30" t="n">
        <f aca="false">SUM(I28:I31)</f>
        <v>68968.4139087885</v>
      </c>
      <c r="J32" s="30" t="n">
        <f aca="false">SUM(J28:J31)</f>
        <v>77953.3160161293</v>
      </c>
      <c r="K32" s="30" t="n">
        <f aca="false">SUM(K28:K31)</f>
        <v>86736.4701884786</v>
      </c>
      <c r="L32" s="30" t="n">
        <f aca="false">SUM(L28:L31)</f>
        <v>95322.6157569827</v>
      </c>
      <c r="M32" s="30" t="n">
        <f aca="false">SUM(M28:M31)</f>
        <v>103716.371408114</v>
      </c>
      <c r="N32" s="30" t="n">
        <f aca="false">SUM(N28:N31)</f>
        <v>111922.238653061</v>
      </c>
      <c r="O32" s="30" t="n">
        <f aca="false">SUM(O28:O31)</f>
        <v>147147.8858816</v>
      </c>
      <c r="P32" s="30" t="n">
        <f aca="false">SUM(P28:P31)</f>
        <v>181740.881390046</v>
      </c>
      <c r="Q32" s="30" t="n">
        <f aca="false">SUM(Q28:Q31)</f>
        <v>215712.923006354</v>
      </c>
      <c r="R32" s="30" t="n">
        <f aca="false">SUM(R28:R31)</f>
        <v>249075.478314879</v>
      </c>
      <c r="S32" s="30" t="n">
        <f aca="false">SUM(S28:S31)</f>
        <v>281839.789761676</v>
      </c>
      <c r="T32" s="30" t="n">
        <f aca="false">SUM(T28:T31)</f>
        <v>314016.879624301</v>
      </c>
      <c r="U32" s="30" t="n">
        <f aca="false">SUM(U28:U31)</f>
        <v>345617.554850471</v>
      </c>
      <c r="V32" s="30" t="n">
        <f aca="false">SUM(V28:V31)</f>
        <v>376652.411769784</v>
      </c>
      <c r="W32" s="30" t="n">
        <f aca="false">SUM(W28:W31)</f>
        <v>407131.840682565</v>
      </c>
      <c r="X32" s="30" t="n">
        <f aca="false">SUM(X28:X31)</f>
        <v>437066.030329713</v>
      </c>
      <c r="Y32" s="30" t="n">
        <f aca="false">SUM(Y28:Y31)</f>
        <v>466464.972247327</v>
      </c>
      <c r="Z32" s="30" t="n">
        <f aca="false">SUM(Z28:Z31)</f>
        <v>495338.465009715</v>
      </c>
      <c r="AA32" s="30" t="n">
        <f aca="false">SUM(AA28:AA31)</f>
        <v>587767.375785504</v>
      </c>
      <c r="AB32" s="30" t="n">
        <f aca="false">SUM(AB28:AB31)</f>
        <v>678887.480519188</v>
      </c>
      <c r="AC32" s="30" t="n">
        <f aca="false">SUM(AC28:AC31)</f>
        <v>768717.008295332</v>
      </c>
      <c r="AD32" s="30" t="n">
        <f aca="false">SUM(AD28:AD31)</f>
        <v>857273.942597971</v>
      </c>
      <c r="AE32" s="30" t="n">
        <f aca="false">SUM(AE28:AE31)</f>
        <v>944576.024371005</v>
      </c>
      <c r="AF32" s="30" t="n">
        <f aca="false">SUM(AF28:AF31)</f>
        <v>1030640.75504877</v>
      </c>
      <c r="AG32" s="30" t="n">
        <f aca="false">SUM(AG28:AG31)</f>
        <v>1115485.39955675</v>
      </c>
      <c r="AH32" s="30" t="n">
        <f aca="false">SUM(AH28:AH31)</f>
        <v>1199126.98928241</v>
      </c>
      <c r="AI32" s="30" t="n">
        <f aca="false">SUM(AI28:AI31)</f>
        <v>1281582.32501619</v>
      </c>
      <c r="AJ32" s="30" t="n">
        <f aca="false">SUM(AJ28:AJ31)</f>
        <v>1362867.97986264</v>
      </c>
      <c r="AK32" s="30" t="n">
        <f aca="false">SUM(AK28:AK31)</f>
        <v>1443000.30212169</v>
      </c>
      <c r="AL32" s="30" t="n">
        <f aca="false">SUM(AL28:AL31)</f>
        <v>1521995.41814026</v>
      </c>
      <c r="AM32" s="30" t="n">
        <f aca="false">SUM(AM28:AM31)</f>
        <v>1682206.2577253</v>
      </c>
      <c r="AN32" s="30" t="n">
        <f aca="false">SUM(AN28:AN31)</f>
        <v>1840515.82607573</v>
      </c>
      <c r="AO32" s="30" t="n">
        <f aca="false">SUM(AO28:AO31)</f>
        <v>1996945.47543574</v>
      </c>
      <c r="AP32" s="30" t="n">
        <f aca="false">SUM(AP28:AP31)</f>
        <v>2151516.35372014</v>
      </c>
      <c r="AQ32" s="30" t="n">
        <f aca="false">SUM(AQ28:AQ31)</f>
        <v>2304249.40528205</v>
      </c>
      <c r="AR32" s="30" t="n">
        <f aca="false">SUM(AR28:AR31)</f>
        <v>2455165.37172662</v>
      </c>
      <c r="AS32" s="30" t="n">
        <f aca="false">SUM(AS28:AS31)</f>
        <v>2604284.79276843</v>
      </c>
      <c r="AT32" s="30" t="n">
        <f aca="false">SUM(AT28:AT31)</f>
        <v>2751628.00713024</v>
      </c>
      <c r="AU32" s="30" t="n">
        <f aca="false">SUM(AU28:AU31)</f>
        <v>2897215.15348074</v>
      </c>
      <c r="AV32" s="30" t="n">
        <f aca="false">SUM(AV28:AV31)</f>
        <v>3041066.17140925</v>
      </c>
      <c r="AW32" s="30" t="n">
        <f aca="false">SUM(AW28:AW31)</f>
        <v>3183200.80243532</v>
      </c>
      <c r="AX32" s="30" t="n">
        <f aca="false">SUM(AX28:AX31)</f>
        <v>3323638.59105107</v>
      </c>
      <c r="AY32" s="30" t="n">
        <f aca="false">SUM(AY28:AY31)</f>
        <v>3562212.44845798</v>
      </c>
      <c r="AZ32" s="30" t="n">
        <f aca="false">SUM(AZ28:AZ31)</f>
        <v>3798446.27127605</v>
      </c>
      <c r="BA32" s="30" t="n">
        <f aca="false">SUM(BA28:BA31)</f>
        <v>4032360.77851526</v>
      </c>
      <c r="BB32" s="30" t="n">
        <f aca="false">SUM(BB28:BB31)</f>
        <v>4263976.56680888</v>
      </c>
      <c r="BC32" s="30" t="n">
        <f aca="false">SUM(BC28:BC31)</f>
        <v>4493314.10913818</v>
      </c>
      <c r="BD32" s="30" t="n">
        <f aca="false">SUM(BD28:BD31)</f>
        <v>4720393.75364534</v>
      </c>
      <c r="BE32" s="30" t="n">
        <f aca="false">SUM(BE28:BE31)</f>
        <v>4945235.72253119</v>
      </c>
      <c r="BF32" s="30" t="n">
        <f aca="false">SUM(BF28:BF31)</f>
        <v>5167860.11103477</v>
      </c>
      <c r="BG32" s="30" t="n">
        <f aca="false">SUM(BG28:BG31)</f>
        <v>5388286.88649154</v>
      </c>
      <c r="BH32" s="30" t="n">
        <f aca="false">SUM(BH28:BH31)</f>
        <v>5606535.88746742</v>
      </c>
      <c r="BI32" s="30" t="n">
        <f aca="false">SUM(BI28:BI31)</f>
        <v>5822626.8229658</v>
      </c>
      <c r="BJ32" s="30" t="n">
        <f aca="false">SUM(BJ28:BJ31)</f>
        <v>6036579.27170468</v>
      </c>
    </row>
    <row r="33" customFormat="false" ht="15" hidden="false" customHeight="false" outlineLevel="0" collapsed="false">
      <c r="A33" s="5" t="s">
        <v>124</v>
      </c>
      <c r="C33" s="21" t="n">
        <f aca="false">C14*Premissas!$B$19+C15*Premissas!$C$19+C16*Premissas!$D$19+C17*Premissas!$E$19</f>
        <v>6153.77777777778</v>
      </c>
      <c r="D33" s="21" t="n">
        <f aca="false">D14*Premissas!$B$19+D15*Premissas!$C$19+D16*Premissas!$D$19+D17*Premissas!$E$19</f>
        <v>6215.31555555556</v>
      </c>
      <c r="E33" s="21" t="n">
        <f aca="false">E14*Premissas!$B$19+E15*Premissas!$C$19+E16*Premissas!$D$19+E17*Premissas!$E$19</f>
        <v>6275.16104444445</v>
      </c>
      <c r="F33" s="21" t="n">
        <f aca="false">F14*Premissas!$B$19+F15*Premissas!$C$19+F16*Premissas!$D$19+F17*Premissas!$E$19</f>
        <v>6333.36732077778</v>
      </c>
      <c r="G33" s="21" t="n">
        <f aca="false">G14*Premissas!$B$19+G15*Premissas!$C$19+G16*Premissas!$D$19+G17*Premissas!$E$19</f>
        <v>6389.98555321778</v>
      </c>
      <c r="H33" s="21" t="n">
        <f aca="false">H14*Premissas!$B$19+H15*Premissas!$C$19+H16*Premissas!$D$19+H17*Premissas!$E$19</f>
        <v>6445.0650793124</v>
      </c>
      <c r="I33" s="21" t="n">
        <f aca="false">I14*Premissas!$B$19+I15*Premissas!$C$19+I16*Premissas!$D$19+I17*Premissas!$E$19</f>
        <v>6498.65347874864</v>
      </c>
      <c r="J33" s="21" t="n">
        <f aca="false">J14*Premissas!$B$19+J15*Premissas!$C$19+J16*Premissas!$D$19+J17*Premissas!$E$19</f>
        <v>6550.79664345095</v>
      </c>
      <c r="K33" s="21" t="n">
        <f aca="false">K14*Premissas!$B$19+K15*Premissas!$C$19+K16*Premissas!$D$19+K17*Premissas!$E$19</f>
        <v>6601.53884466645</v>
      </c>
      <c r="L33" s="21" t="n">
        <f aca="false">L14*Premissas!$B$19+L15*Premissas!$C$19+L16*Premissas!$D$19+L17*Premissas!$E$19</f>
        <v>6650.9227971722</v>
      </c>
      <c r="M33" s="21" t="n">
        <f aca="false">M14*Premissas!$B$19+M15*Premissas!$C$19+M16*Premissas!$D$19+M17*Premissas!$E$19</f>
        <v>6698.98972073365</v>
      </c>
      <c r="N33" s="21" t="n">
        <f aca="false">N14*Premissas!$B$19+N15*Premissas!$C$19+N16*Premissas!$D$19+N17*Premissas!$E$19</f>
        <v>6745.77939893725</v>
      </c>
      <c r="O33" s="21" t="n">
        <f aca="false">O14*Premissas!$B$19+O15*Premissas!$C$19+O16*Premissas!$D$19+O17*Premissas!$E$19</f>
        <v>24032.4625936215</v>
      </c>
      <c r="P33" s="21" t="n">
        <f aca="false">P14*Premissas!$B$19+P15*Premissas!$C$19+P16*Premissas!$D$19+P17*Premissas!$E$19</f>
        <v>24245.5812204755</v>
      </c>
      <c r="Q33" s="21" t="n">
        <f aca="false">Q14*Premissas!$B$19+Q15*Premissas!$C$19+Q16*Premissas!$D$19+Q17*Premissas!$E$19</f>
        <v>24453.8338987894</v>
      </c>
      <c r="R33" s="21" t="n">
        <f aca="false">R14*Premissas!$B$19+R15*Premissas!$C$19+R16*Premissas!$D$19+R17*Premissas!$E$19</f>
        <v>24657.3498223208</v>
      </c>
      <c r="S33" s="21" t="n">
        <f aca="false">S14*Premissas!$B$19+S15*Premissas!$C$19+S16*Premissas!$D$19+S17*Premissas!$E$19</f>
        <v>24856.2541293154</v>
      </c>
      <c r="T33" s="21" t="n">
        <f aca="false">T14*Premissas!$B$19+T15*Premissas!$C$19+T16*Premissas!$D$19+T17*Premissas!$E$19</f>
        <v>25050.6680487943</v>
      </c>
      <c r="U33" s="21" t="n">
        <f aca="false">U14*Premissas!$B$19+U15*Premissas!$C$19+U16*Premissas!$D$19+U17*Premissas!$E$19</f>
        <v>25240.7090410695</v>
      </c>
      <c r="V33" s="21" t="n">
        <f aca="false">V14*Premissas!$B$19+V15*Premissas!$C$19+V16*Premissas!$D$19+V17*Premissas!$E$19</f>
        <v>25426.4909327246</v>
      </c>
      <c r="W33" s="21" t="n">
        <f aca="false">W14*Premissas!$B$19+W15*Premissas!$C$19+W16*Premissas!$D$19+W17*Premissas!$E$19</f>
        <v>25608.124046292</v>
      </c>
      <c r="X33" s="21" t="n">
        <f aca="false">X14*Premissas!$B$19+X15*Premissas!$C$19+X16*Premissas!$D$19+X17*Premissas!$E$19</f>
        <v>25785.7153248443</v>
      </c>
      <c r="Y33" s="21" t="n">
        <f aca="false">Y14*Premissas!$B$19+Y15*Premissas!$C$19+Y16*Premissas!$D$19+Y17*Premissas!$E$19</f>
        <v>25959.368451711</v>
      </c>
      <c r="Z33" s="21" t="n">
        <f aca="false">Z14*Premissas!$B$19+Z15*Premissas!$C$19+Z16*Premissas!$D$19+Z17*Premissas!$E$19</f>
        <v>26129.1839655212</v>
      </c>
      <c r="AA33" s="21" t="n">
        <f aca="false">AA14*Premissas!$B$19+AA15*Premissas!$C$19+AA16*Premissas!$D$19+AA17*Premissas!$E$19</f>
        <v>69167.7391795549</v>
      </c>
      <c r="AB33" s="21" t="n">
        <f aca="false">AB14*Premissas!$B$19+AB15*Premissas!$C$19+AB16*Premissas!$D$19+AB17*Premissas!$E$19</f>
        <v>69744.0564459217</v>
      </c>
      <c r="AC33" s="21" t="n">
        <f aca="false">AC14*Premissas!$B$19+AC15*Premissas!$C$19+AC16*Premissas!$D$19+AC17*Premissas!$E$19</f>
        <v>70309.5592196958</v>
      </c>
      <c r="AD33" s="21" t="n">
        <f aca="false">AD14*Premissas!$B$19+AD15*Premissas!$C$19+AD16*Premissas!$D$19+AD17*Premissas!$E$19</f>
        <v>70864.4885535441</v>
      </c>
      <c r="AE33" s="21" t="n">
        <f aca="false">AE14*Premissas!$B$19+AE15*Premissas!$C$19+AE16*Premissas!$D$19+AE17*Premissas!$E$19</f>
        <v>71409.0789094207</v>
      </c>
      <c r="AF33" s="21" t="n">
        <f aca="false">AF14*Premissas!$B$19+AF15*Premissas!$C$19+AF16*Premissas!$D$19+AF17*Premissas!$E$19</f>
        <v>71943.558372702</v>
      </c>
      <c r="AG33" s="21" t="n">
        <f aca="false">AG14*Premissas!$B$19+AG15*Premissas!$C$19+AG16*Premissas!$D$19+AG17*Premissas!$E$19</f>
        <v>72468.1488585698</v>
      </c>
      <c r="AH33" s="21" t="n">
        <f aca="false">AH14*Premissas!$B$19+AH15*Premissas!$C$19+AH16*Premissas!$D$19+AH17*Premissas!$E$19</f>
        <v>72983.0663109376</v>
      </c>
      <c r="AI33" s="21" t="n">
        <f aca="false">AI14*Premissas!$B$19+AI15*Premissas!$C$19+AI16*Premissas!$D$19+AI17*Premissas!$E$19</f>
        <v>73488.5208942072</v>
      </c>
      <c r="AJ33" s="21" t="n">
        <f aca="false">AJ14*Premissas!$B$19+AJ15*Premissas!$C$19+AJ16*Premissas!$D$19+AJ17*Premissas!$E$19</f>
        <v>73984.7171781284</v>
      </c>
      <c r="AK33" s="21" t="n">
        <f aca="false">AK14*Premissas!$B$19+AK15*Premissas!$C$19+AK16*Premissas!$D$19+AK17*Premissas!$E$19</f>
        <v>74471.8543160247</v>
      </c>
      <c r="AL33" s="21" t="n">
        <f aca="false">AL14*Premissas!$B$19+AL15*Premissas!$C$19+AL16*Premissas!$D$19+AL17*Premissas!$E$19</f>
        <v>74950.1262166392</v>
      </c>
      <c r="AM33" s="21" t="n">
        <f aca="false">AM14*Premissas!$B$19+AM15*Premissas!$C$19+AM16*Premissas!$D$19+AM17*Premissas!$E$19</f>
        <v>129608.294498505</v>
      </c>
      <c r="AN33" s="21" t="n">
        <f aca="false">AN14*Premissas!$B$19+AN15*Premissas!$C$19+AN16*Premissas!$D$19+AN17*Premissas!$E$19</f>
        <v>130615.25210517</v>
      </c>
      <c r="AO33" s="21" t="n">
        <f aca="false">AO14*Premissas!$B$19+AO15*Premissas!$C$19+AO16*Premissas!$D$19+AO17*Premissas!$E$19</f>
        <v>131606.165494082</v>
      </c>
      <c r="AP33" s="21" t="n">
        <f aca="false">AP14*Premissas!$B$19+AP15*Premissas!$C$19+AP16*Premissas!$D$19+AP17*Premissas!$E$19</f>
        <v>132581.342989438</v>
      </c>
      <c r="AQ33" s="21" t="n">
        <f aca="false">AQ14*Premissas!$B$19+AQ15*Premissas!$C$19+AQ16*Premissas!$D$19+AQ17*Premissas!$E$19</f>
        <v>133541.085437353</v>
      </c>
      <c r="AR33" s="21" t="n">
        <f aca="false">AR14*Premissas!$B$19+AR15*Premissas!$C$19+AR16*Premissas!$D$19+AR17*Premissas!$E$19</f>
        <v>134485.686426794</v>
      </c>
      <c r="AS33" s="21" t="n">
        <f aca="false">AS14*Premissas!$B$19+AS15*Premissas!$C$19+AS16*Premissas!$D$19+AS17*Premissas!$E$19</f>
        <v>135415.432503157</v>
      </c>
      <c r="AT33" s="21" t="n">
        <f aca="false">AT14*Premissas!$B$19+AT15*Premissas!$C$19+AT16*Premissas!$D$19+AT17*Premissas!$E$19</f>
        <v>136330.603374746</v>
      </c>
      <c r="AU33" s="21" t="n">
        <f aca="false">AU14*Premissas!$B$19+AU15*Premissas!$C$19+AU16*Premissas!$D$19+AU17*Premissas!$E$19</f>
        <v>137231.472112408</v>
      </c>
      <c r="AV33" s="21" t="n">
        <f aca="false">AV14*Premissas!$B$19+AV15*Premissas!$C$19+AV16*Premissas!$D$19+AV17*Premissas!$E$19</f>
        <v>138118.305342562</v>
      </c>
      <c r="AW33" s="21" t="n">
        <f aca="false">AW14*Premissas!$B$19+AW15*Premissas!$C$19+AW16*Premissas!$D$19+AW17*Premissas!$E$19</f>
        <v>138991.363433858</v>
      </c>
      <c r="AX33" s="21" t="n">
        <f aca="false">AX14*Premissas!$B$19+AX15*Premissas!$C$19+AX16*Premissas!$D$19+AX17*Premissas!$E$19</f>
        <v>139850.900677684</v>
      </c>
      <c r="AY33" s="21" t="n">
        <f aca="false">AY14*Premissas!$B$19+AY15*Premissas!$C$19+AY16*Premissas!$D$19+AY17*Premissas!$E$19</f>
        <v>206999.224430962</v>
      </c>
      <c r="AZ33" s="21" t="n">
        <f aca="false">AZ14*Premissas!$B$19+AZ15*Premissas!$C$19+AZ16*Premissas!$D$19+AZ17*Premissas!$E$19</f>
        <v>208496.767779313</v>
      </c>
      <c r="BA33" s="21" t="n">
        <f aca="false">BA14*Premissas!$B$19+BA15*Premissas!$C$19+BA16*Premissas!$D$19+BA17*Premissas!$E$19</f>
        <v>209974.759660978</v>
      </c>
      <c r="BB33" s="21" t="n">
        <f aca="false">BB14*Premissas!$B$19+BB15*Premissas!$C$19+BB16*Premissas!$D$19+BB17*Premissas!$E$19</f>
        <v>211433.510738999</v>
      </c>
      <c r="BC33" s="21" t="n">
        <f aca="false">BC14*Premissas!$B$19+BC15*Premissas!$C$19+BC16*Premissas!$D$19+BC17*Premissas!$E$19</f>
        <v>212873.325215142</v>
      </c>
      <c r="BD33" s="21" t="n">
        <f aca="false">BD14*Premissas!$B$19+BD15*Premissas!$C$19+BD16*Premissas!$D$19+BD17*Premissas!$E$19</f>
        <v>214294.50100052</v>
      </c>
      <c r="BE33" s="21" t="n">
        <f aca="false">BE14*Premissas!$B$19+BE15*Premissas!$C$19+BE16*Premissas!$D$19+BE17*Premissas!$E$19</f>
        <v>215697.329881025</v>
      </c>
      <c r="BF33" s="21" t="n">
        <f aca="false">BF14*Premissas!$B$19+BF15*Premissas!$C$19+BF16*Premissas!$D$19+BF17*Premissas!$E$19</f>
        <v>217082.097677733</v>
      </c>
      <c r="BG33" s="21" t="n">
        <f aca="false">BG14*Premissas!$B$19+BG15*Premissas!$C$19+BG16*Premissas!$D$19+BG17*Premissas!$E$19</f>
        <v>218449.084402442</v>
      </c>
      <c r="BH33" s="21" t="n">
        <f aca="false">BH14*Premissas!$B$19+BH15*Premissas!$C$19+BH16*Premissas!$D$19+BH17*Premissas!$E$19</f>
        <v>219798.564408513</v>
      </c>
      <c r="BI33" s="21" t="n">
        <f aca="false">BI14*Premissas!$B$19+BI15*Premissas!$C$19+BI16*Premissas!$D$19+BI17*Premissas!$E$19</f>
        <v>221130.806537155</v>
      </c>
      <c r="BJ33" s="21" t="n">
        <f aca="false">BJ14*Premissas!$B$19+BJ15*Premissas!$C$19+BJ16*Premissas!$D$19+BJ17*Premissas!$E$19</f>
        <v>222446.074259307</v>
      </c>
    </row>
    <row r="34" customFormat="false" ht="15" hidden="false" customHeight="false" outlineLevel="0" collapsed="false">
      <c r="A34" s="5" t="s">
        <v>125</v>
      </c>
      <c r="C34" s="21" t="n">
        <f aca="false">C32*INDEX(Premissas!$B$39:$F$39,C$4)*INDEX(Premissas!$B$50:$D$50,$B$2)</f>
        <v>527.037972222222</v>
      </c>
      <c r="D34" s="21" t="n">
        <f aca="false">D32*INDEX(Premissas!$B$39:$F$39,D$4)*INDEX(Premissas!$B$50:$D$50,$B$2)</f>
        <v>1042.14498354167</v>
      </c>
      <c r="E34" s="21" t="n">
        <f aca="false">E32*INDEX(Premissas!$B$39:$F$39,E$4)*INDEX(Premissas!$B$50:$D$50,$B$2)</f>
        <v>1545.60561951493</v>
      </c>
      <c r="F34" s="21" t="n">
        <f aca="false">F32*INDEX(Premissas!$B$39:$F$39,F$4)*INDEX(Premissas!$B$50:$D$50,$B$2)</f>
        <v>2037.69703676953</v>
      </c>
      <c r="G34" s="21" t="n">
        <f aca="false">G32*INDEX(Premissas!$B$39:$F$39,G$4)*INDEX(Premissas!$B$50:$D$50,$B$2)</f>
        <v>2518.68918395116</v>
      </c>
      <c r="H34" s="21" t="n">
        <f aca="false">H32*INDEX(Premissas!$B$39:$F$39,H$4)*INDEX(Premissas!$B$50:$D$50,$B$2)</f>
        <v>2988.84501505505</v>
      </c>
      <c r="I34" s="21" t="n">
        <f aca="false">I32*INDEX(Premissas!$B$39:$F$39,I$4)*INDEX(Premissas!$B$50:$D$50,$B$2)</f>
        <v>3448.42069543943</v>
      </c>
      <c r="J34" s="21" t="n">
        <f aca="false">J32*INDEX(Premissas!$B$39:$F$39,J$4)*INDEX(Premissas!$B$50:$D$50,$B$2)</f>
        <v>3897.66580080646</v>
      </c>
      <c r="K34" s="21" t="n">
        <f aca="false">K32*INDEX(Premissas!$B$39:$F$39,K$4)*INDEX(Premissas!$B$50:$D$50,$B$2)</f>
        <v>4336.82350942393</v>
      </c>
      <c r="L34" s="21" t="n">
        <f aca="false">L32*INDEX(Premissas!$B$39:$F$39,L$4)*INDEX(Premissas!$B$50:$D$50,$B$2)</f>
        <v>4766.13078784913</v>
      </c>
      <c r="M34" s="21" t="n">
        <f aca="false">M32*INDEX(Premissas!$B$39:$F$39,M$4)*INDEX(Premissas!$B$50:$D$50,$B$2)</f>
        <v>5185.81857040568</v>
      </c>
      <c r="N34" s="21" t="n">
        <f aca="false">N32*INDEX(Premissas!$B$39:$F$39,N$4)*INDEX(Premissas!$B$50:$D$50,$B$2)</f>
        <v>5596.11193265303</v>
      </c>
      <c r="O34" s="21" t="n">
        <f aca="false">O32*INDEX(Premissas!$B$39:$F$39,O$4)*INDEX(Premissas!$B$50:$D$50,$B$2)</f>
        <v>11771.830870528</v>
      </c>
      <c r="P34" s="21" t="n">
        <f aca="false">P32*INDEX(Premissas!$B$39:$F$39,P$4)*INDEX(Premissas!$B$50:$D$50,$B$2)</f>
        <v>14539.2705112037</v>
      </c>
      <c r="Q34" s="21" t="n">
        <f aca="false">Q32*INDEX(Premissas!$B$39:$F$39,Q$4)*INDEX(Premissas!$B$50:$D$50,$B$2)</f>
        <v>17257.0338405084</v>
      </c>
      <c r="R34" s="21" t="n">
        <f aca="false">R32*INDEX(Premissas!$B$39:$F$39,R$4)*INDEX(Premissas!$B$50:$D$50,$B$2)</f>
        <v>19926.0382651903</v>
      </c>
      <c r="S34" s="21" t="n">
        <f aca="false">S32*INDEX(Premissas!$B$39:$F$39,S$4)*INDEX(Premissas!$B$50:$D$50,$B$2)</f>
        <v>22547.1831809341</v>
      </c>
      <c r="T34" s="21" t="n">
        <f aca="false">T32*INDEX(Premissas!$B$39:$F$39,T$4)*INDEX(Premissas!$B$50:$D$50,$B$2)</f>
        <v>25121.3503699441</v>
      </c>
      <c r="U34" s="21" t="n">
        <f aca="false">U32*INDEX(Premissas!$B$39:$F$39,U$4)*INDEX(Premissas!$B$50:$D$50,$B$2)</f>
        <v>27649.4043880377</v>
      </c>
      <c r="V34" s="21" t="n">
        <f aca="false">V32*INDEX(Premissas!$B$39:$F$39,V$4)*INDEX(Premissas!$B$50:$D$50,$B$2)</f>
        <v>30132.1929415828</v>
      </c>
      <c r="W34" s="21" t="n">
        <f aca="false">W32*INDEX(Premissas!$B$39:$F$39,W$4)*INDEX(Premissas!$B$50:$D$50,$B$2)</f>
        <v>32570.5472546052</v>
      </c>
      <c r="X34" s="21" t="n">
        <f aca="false">X32*INDEX(Premissas!$B$39:$F$39,X$4)*INDEX(Premissas!$B$50:$D$50,$B$2)</f>
        <v>34965.282426377</v>
      </c>
      <c r="Y34" s="21" t="n">
        <f aca="false">Y32*INDEX(Premissas!$B$39:$F$39,Y$4)*INDEX(Premissas!$B$50:$D$50,$B$2)</f>
        <v>37317.1977797862</v>
      </c>
      <c r="Z34" s="21" t="n">
        <f aca="false">Z32*INDEX(Premissas!$B$39:$F$39,Z$4)*INDEX(Premissas!$B$50:$D$50,$B$2)</f>
        <v>39627.0772007772</v>
      </c>
      <c r="AA34" s="21" t="n">
        <f aca="false">AA32*INDEX(Premissas!$B$39:$F$39,AA$4)*INDEX(Premissas!$B$50:$D$50,$B$2)</f>
        <v>64654.4113364054</v>
      </c>
      <c r="AB34" s="21" t="n">
        <f aca="false">AB32*INDEX(Premissas!$B$39:$F$39,AB$4)*INDEX(Premissas!$B$50:$D$50,$B$2)</f>
        <v>74677.6228571107</v>
      </c>
      <c r="AC34" s="21" t="n">
        <f aca="false">AC32*INDEX(Premissas!$B$39:$F$39,AC$4)*INDEX(Premissas!$B$50:$D$50,$B$2)</f>
        <v>84558.8709124866</v>
      </c>
      <c r="AD34" s="21" t="n">
        <f aca="false">AD32*INDEX(Premissas!$B$39:$F$39,AD$4)*INDEX(Premissas!$B$50:$D$50,$B$2)</f>
        <v>94300.1336857768</v>
      </c>
      <c r="AE34" s="21" t="n">
        <f aca="false">AE32*INDEX(Premissas!$B$39:$F$39,AE$4)*INDEX(Premissas!$B$50:$D$50,$B$2)</f>
        <v>103903.362680811</v>
      </c>
      <c r="AF34" s="21" t="n">
        <f aca="false">AF32*INDEX(Premissas!$B$39:$F$39,AF$4)*INDEX(Premissas!$B$50:$D$50,$B$2)</f>
        <v>113370.483055365</v>
      </c>
      <c r="AG34" s="21" t="n">
        <f aca="false">AG32*INDEX(Premissas!$B$39:$F$39,AG$4)*INDEX(Premissas!$B$50:$D$50,$B$2)</f>
        <v>122703.393951242</v>
      </c>
      <c r="AH34" s="21" t="n">
        <f aca="false">AH32*INDEX(Premissas!$B$39:$F$39,AH$4)*INDEX(Premissas!$B$50:$D$50,$B$2)</f>
        <v>131903.968821065</v>
      </c>
      <c r="AI34" s="21" t="n">
        <f aca="false">AI32*INDEX(Premissas!$B$39:$F$39,AI$4)*INDEX(Premissas!$B$50:$D$50,$B$2)</f>
        <v>140974.055751781</v>
      </c>
      <c r="AJ34" s="21" t="n">
        <f aca="false">AJ32*INDEX(Premissas!$B$39:$F$39,AJ$4)*INDEX(Premissas!$B$50:$D$50,$B$2)</f>
        <v>149915.47778489</v>
      </c>
      <c r="AK34" s="21" t="n">
        <f aca="false">AK32*INDEX(Premissas!$B$39:$F$39,AK$4)*INDEX(Premissas!$B$50:$D$50,$B$2)</f>
        <v>158730.033233386</v>
      </c>
      <c r="AL34" s="21" t="n">
        <f aca="false">AL32*INDEX(Premissas!$B$39:$F$39,AL$4)*INDEX(Premissas!$B$50:$D$50,$B$2)</f>
        <v>167419.495995428</v>
      </c>
      <c r="AM34" s="21" t="n">
        <f aca="false">AM32*INDEX(Premissas!$B$39:$F$39,AM$4)*INDEX(Premissas!$B$50:$D$50,$B$2)</f>
        <v>218686.813504289</v>
      </c>
      <c r="AN34" s="21" t="n">
        <f aca="false">AN32*INDEX(Premissas!$B$39:$F$39,AN$4)*INDEX(Premissas!$B$50:$D$50,$B$2)</f>
        <v>239267.057389845</v>
      </c>
      <c r="AO34" s="21" t="n">
        <f aca="false">AO32*INDEX(Premissas!$B$39:$F$39,AO$4)*INDEX(Premissas!$B$50:$D$50,$B$2)</f>
        <v>259602.911806646</v>
      </c>
      <c r="AP34" s="21" t="n">
        <f aca="false">AP32*INDEX(Premissas!$B$39:$F$39,AP$4)*INDEX(Premissas!$B$50:$D$50,$B$2)</f>
        <v>279697.125983619</v>
      </c>
      <c r="AQ34" s="21" t="n">
        <f aca="false">AQ32*INDEX(Premissas!$B$39:$F$39,AQ$4)*INDEX(Premissas!$B$50:$D$50,$B$2)</f>
        <v>299552.422686667</v>
      </c>
      <c r="AR34" s="21" t="n">
        <f aca="false">AR32*INDEX(Premissas!$B$39:$F$39,AR$4)*INDEX(Premissas!$B$50:$D$50,$B$2)</f>
        <v>319171.498324461</v>
      </c>
      <c r="AS34" s="21" t="n">
        <f aca="false">AS32*INDEX(Premissas!$B$39:$F$39,AS$4)*INDEX(Premissas!$B$50:$D$50,$B$2)</f>
        <v>338557.023059896</v>
      </c>
      <c r="AT34" s="21" t="n">
        <f aca="false">AT32*INDEX(Premissas!$B$39:$F$39,AT$4)*INDEX(Premissas!$B$50:$D$50,$B$2)</f>
        <v>357711.640926931</v>
      </c>
      <c r="AU34" s="21" t="n">
        <f aca="false">AU32*INDEX(Premissas!$B$39:$F$39,AU$4)*INDEX(Premissas!$B$50:$D$50,$B$2)</f>
        <v>376637.969952496</v>
      </c>
      <c r="AV34" s="21" t="n">
        <f aca="false">AV32*INDEX(Premissas!$B$39:$F$39,AV$4)*INDEX(Premissas!$B$50:$D$50,$B$2)</f>
        <v>395338.602283203</v>
      </c>
      <c r="AW34" s="21" t="n">
        <f aca="false">AW32*INDEX(Premissas!$B$39:$F$39,AW$4)*INDEX(Premissas!$B$50:$D$50,$B$2)</f>
        <v>413816.104316592</v>
      </c>
      <c r="AX34" s="21" t="n">
        <f aca="false">AX32*INDEX(Premissas!$B$39:$F$39,AX$4)*INDEX(Premissas!$B$50:$D$50,$B$2)</f>
        <v>432073.016836639</v>
      </c>
      <c r="AY34" s="21" t="n">
        <f aca="false">AY32*INDEX(Premissas!$B$39:$F$39,AY$4)*INDEX(Premissas!$B$50:$D$50,$B$2)</f>
        <v>534331.867268697</v>
      </c>
      <c r="AZ34" s="21" t="n">
        <f aca="false">AZ32*INDEX(Premissas!$B$39:$F$39,AZ$4)*INDEX(Premissas!$B$50:$D$50,$B$2)</f>
        <v>569766.940691407</v>
      </c>
      <c r="BA34" s="21" t="n">
        <f aca="false">BA32*INDEX(Premissas!$B$39:$F$39,BA$4)*INDEX(Premissas!$B$50:$D$50,$B$2)</f>
        <v>604854.116777289</v>
      </c>
      <c r="BB34" s="21" t="n">
        <f aca="false">BB32*INDEX(Premissas!$B$39:$F$39,BB$4)*INDEX(Premissas!$B$50:$D$50,$B$2)</f>
        <v>639596.485021332</v>
      </c>
      <c r="BC34" s="21" t="n">
        <f aca="false">BC32*INDEX(Premissas!$B$39:$F$39,BC$4)*INDEX(Premissas!$B$50:$D$50,$B$2)</f>
        <v>673997.116370727</v>
      </c>
      <c r="BD34" s="21" t="n">
        <f aca="false">BD32*INDEX(Premissas!$B$39:$F$39,BD$4)*INDEX(Premissas!$B$50:$D$50,$B$2)</f>
        <v>708059.063046801</v>
      </c>
      <c r="BE34" s="21" t="n">
        <f aca="false">BE32*INDEX(Premissas!$B$39:$F$39,BE$4)*INDEX(Premissas!$B$50:$D$50,$B$2)</f>
        <v>741785.358379678</v>
      </c>
      <c r="BF34" s="21" t="n">
        <f aca="false">BF32*INDEX(Premissas!$B$39:$F$39,BF$4)*INDEX(Premissas!$B$50:$D$50,$B$2)</f>
        <v>775179.016655215</v>
      </c>
      <c r="BG34" s="21" t="n">
        <f aca="false">BG32*INDEX(Premissas!$B$39:$F$39,BG$4)*INDEX(Premissas!$B$50:$D$50,$B$2)</f>
        <v>808243.032973731</v>
      </c>
      <c r="BH34" s="21" t="n">
        <f aca="false">BH32*INDEX(Premissas!$B$39:$F$39,BH$4)*INDEX(Premissas!$B$50:$D$50,$B$2)</f>
        <v>840980.383120114</v>
      </c>
      <c r="BI34" s="21" t="n">
        <f aca="false">BI32*INDEX(Premissas!$B$39:$F$39,BI$4)*INDEX(Premissas!$B$50:$D$50,$B$2)</f>
        <v>873394.02344487</v>
      </c>
      <c r="BJ34" s="21" t="n">
        <f aca="false">BJ32*INDEX(Premissas!$B$39:$F$39,BJ$4)*INDEX(Premissas!$B$50:$D$50,$B$2)</f>
        <v>905486.890755702</v>
      </c>
    </row>
    <row r="35" customFormat="false" ht="15" hidden="false" customHeight="false" outlineLevel="0" collapsed="false">
      <c r="A35" s="18" t="s">
        <v>126</v>
      </c>
      <c r="C35" s="30" t="n">
        <f aca="false">C32+C33+C34</f>
        <v>17221.5751944444</v>
      </c>
      <c r="D35" s="30" t="n">
        <f aca="false">D32+D33+D34</f>
        <v>28100.3602099306</v>
      </c>
      <c r="E35" s="30" t="n">
        <f aca="false">E32+E33+E34</f>
        <v>38732.879054258</v>
      </c>
      <c r="F35" s="30" t="n">
        <f aca="false">F32+F33+F34</f>
        <v>49125.0050929379</v>
      </c>
      <c r="G35" s="30" t="n">
        <f aca="false">G32+G33+G34</f>
        <v>59282.4584161921</v>
      </c>
      <c r="H35" s="30" t="n">
        <f aca="false">H32+H33+H34</f>
        <v>69210.8103954684</v>
      </c>
      <c r="I35" s="30" t="n">
        <f aca="false">I32+I33+I34</f>
        <v>78915.4880829766</v>
      </c>
      <c r="J35" s="30" t="n">
        <f aca="false">J32+J33+J34</f>
        <v>88401.7784603867</v>
      </c>
      <c r="K35" s="30" t="n">
        <f aca="false">K32+K33+K34</f>
        <v>97674.832542569</v>
      </c>
      <c r="L35" s="30" t="n">
        <f aca="false">L32+L33+L34</f>
        <v>106739.669342004</v>
      </c>
      <c r="M35" s="30" t="n">
        <f aca="false">M32+M33+M34</f>
        <v>115601.179699253</v>
      </c>
      <c r="N35" s="30" t="n">
        <f aca="false">N32+N33+N34</f>
        <v>124264.129984651</v>
      </c>
      <c r="O35" s="30" t="n">
        <f aca="false">O32+O33+O34</f>
        <v>182952.179345749</v>
      </c>
      <c r="P35" s="30" t="n">
        <f aca="false">P32+P33+P34</f>
        <v>220525.733121725</v>
      </c>
      <c r="Q35" s="30" t="n">
        <f aca="false">Q32+Q33+Q34</f>
        <v>257423.790745652</v>
      </c>
      <c r="R35" s="30" t="n">
        <f aca="false">R32+R33+R34</f>
        <v>293658.86640239</v>
      </c>
      <c r="S35" s="30" t="n">
        <f aca="false">S32+S33+S34</f>
        <v>329243.227071926</v>
      </c>
      <c r="T35" s="30" t="n">
        <f aca="false">T32+T33+T34</f>
        <v>364188.89804304</v>
      </c>
      <c r="U35" s="30" t="n">
        <f aca="false">U32+U33+U34</f>
        <v>398507.668279578</v>
      </c>
      <c r="V35" s="30" t="n">
        <f aca="false">V32+V33+V34</f>
        <v>432211.095644092</v>
      </c>
      <c r="W35" s="30" t="n">
        <f aca="false">W32+W33+W34</f>
        <v>465310.511983462</v>
      </c>
      <c r="X35" s="30" t="n">
        <f aca="false">X32+X33+X34</f>
        <v>497817.028080934</v>
      </c>
      <c r="Y35" s="30" t="n">
        <f aca="false">Y32+Y33+Y34</f>
        <v>529741.538478824</v>
      </c>
      <c r="Z35" s="30" t="n">
        <f aca="false">Z32+Z33+Z34</f>
        <v>561094.726176013</v>
      </c>
      <c r="AA35" s="30" t="n">
        <f aca="false">AA32+AA33+AA34</f>
        <v>721589.526301464</v>
      </c>
      <c r="AB35" s="30" t="n">
        <f aca="false">AB32+AB33+AB34</f>
        <v>823309.15982222</v>
      </c>
      <c r="AC35" s="30" t="n">
        <f aca="false">AC32+AC33+AC34</f>
        <v>923585.438427515</v>
      </c>
      <c r="AD35" s="30" t="n">
        <f aca="false">AD32+AD33+AD34</f>
        <v>1022438.56483729</v>
      </c>
      <c r="AE35" s="30" t="n">
        <f aca="false">AE32+AE33+AE34</f>
        <v>1119888.46596124</v>
      </c>
      <c r="AF35" s="30" t="n">
        <f aca="false">AF32+AF33+AF34</f>
        <v>1215954.79647684</v>
      </c>
      <c r="AG35" s="30" t="n">
        <f aca="false">AG32+AG33+AG34</f>
        <v>1310656.94236656</v>
      </c>
      <c r="AH35" s="30" t="n">
        <f aca="false">AH32+AH33+AH34</f>
        <v>1404014.02441441</v>
      </c>
      <c r="AI35" s="30" t="n">
        <f aca="false">AI32+AI33+AI34</f>
        <v>1496044.90166218</v>
      </c>
      <c r="AJ35" s="30" t="n">
        <f aca="false">AJ32+AJ33+AJ34</f>
        <v>1586768.17482566</v>
      </c>
      <c r="AK35" s="30" t="n">
        <f aca="false">AK32+AK33+AK34</f>
        <v>1676202.1896711</v>
      </c>
      <c r="AL35" s="30" t="n">
        <f aca="false">AL32+AL33+AL34</f>
        <v>1764365.04035232</v>
      </c>
      <c r="AM35" s="30" t="n">
        <f aca="false">AM32+AM33+AM34</f>
        <v>2030501.36572809</v>
      </c>
      <c r="AN35" s="30" t="n">
        <f aca="false">AN32+AN33+AN34</f>
        <v>2210398.13557074</v>
      </c>
      <c r="AO35" s="30" t="n">
        <f aca="false">AO32+AO33+AO34</f>
        <v>2388154.55273647</v>
      </c>
      <c r="AP35" s="30" t="n">
        <f aca="false">AP32+AP33+AP34</f>
        <v>2563794.8226932</v>
      </c>
      <c r="AQ35" s="30" t="n">
        <f aca="false">AQ32+AQ33+AQ34</f>
        <v>2737342.91340607</v>
      </c>
      <c r="AR35" s="30" t="n">
        <f aca="false">AR32+AR33+AR34</f>
        <v>2908822.55647788</v>
      </c>
      <c r="AS35" s="30" t="n">
        <f aca="false">AS32+AS33+AS34</f>
        <v>3078257.24833149</v>
      </c>
      <c r="AT35" s="30" t="n">
        <f aca="false">AT32+AT33+AT34</f>
        <v>3245670.25143192</v>
      </c>
      <c r="AU35" s="30" t="n">
        <f aca="false">AU32+AU33+AU34</f>
        <v>3411084.59554564</v>
      </c>
      <c r="AV35" s="30" t="n">
        <f aca="false">AV32+AV33+AV34</f>
        <v>3574523.07903502</v>
      </c>
      <c r="AW35" s="30" t="n">
        <f aca="false">AW32+AW33+AW34</f>
        <v>3736008.27018577</v>
      </c>
      <c r="AX35" s="30" t="n">
        <f aca="false">AX32+AX33+AX34</f>
        <v>3895562.50856539</v>
      </c>
      <c r="AY35" s="30" t="n">
        <f aca="false">AY32+AY33+AY34</f>
        <v>4303543.54015764</v>
      </c>
      <c r="AZ35" s="30" t="n">
        <f aca="false">AZ32+AZ33+AZ34</f>
        <v>4576709.97974677</v>
      </c>
      <c r="BA35" s="30" t="n">
        <f aca="false">BA32+BA33+BA34</f>
        <v>4847189.65495353</v>
      </c>
      <c r="BB35" s="30" t="n">
        <f aca="false">BB32+BB33+BB34</f>
        <v>5115006.56256921</v>
      </c>
      <c r="BC35" s="30" t="n">
        <f aca="false">BC32+BC33+BC34</f>
        <v>5380184.55072405</v>
      </c>
      <c r="BD35" s="30" t="n">
        <f aca="false">BD32+BD33+BD34</f>
        <v>5642747.31769266</v>
      </c>
      <c r="BE35" s="30" t="n">
        <f aca="false">BE32+BE33+BE34</f>
        <v>5902718.41079189</v>
      </c>
      <c r="BF35" s="30" t="n">
        <f aca="false">BF32+BF33+BF34</f>
        <v>6160121.22536772</v>
      </c>
      <c r="BG35" s="30" t="n">
        <f aca="false">BG32+BG33+BG34</f>
        <v>6414979.00386771</v>
      </c>
      <c r="BH35" s="30" t="n">
        <f aca="false">BH32+BH33+BH34</f>
        <v>6667314.83499605</v>
      </c>
      <c r="BI35" s="30" t="n">
        <f aca="false">BI32+BI33+BI34</f>
        <v>6917151.65294782</v>
      </c>
      <c r="BJ35" s="30" t="n">
        <f aca="false">BJ32+BJ33+BJ34</f>
        <v>7164512.23671969</v>
      </c>
    </row>
    <row r="36" customFormat="false" ht="15" hidden="false" customHeight="false" outlineLevel="0" collapsed="false">
      <c r="A36" s="5" t="s">
        <v>238</v>
      </c>
      <c r="C36" s="21" t="n">
        <f aca="false">-C35*IF(SUMIFS($C$35:$BJ$35,$C$4:$BJ$4,C$4-1)&gt;Premissas!$B$8,Premissas!$B$7,Premissas!$B$6)</f>
        <v>-1894.37327138889</v>
      </c>
      <c r="D36" s="21" t="n">
        <f aca="false">-D35*IF(SUMIFS($C$35:$BJ$35,$C$4:$BJ$4,D$4-1)&gt;Premissas!$B$8,Premissas!$B$7,Premissas!$B$6)</f>
        <v>-3091.03962309236</v>
      </c>
      <c r="E36" s="21" t="n">
        <f aca="false">-E35*IF(SUMIFS($C$35:$BJ$35,$C$4:$BJ$4,E$4-1)&gt;Premissas!$B$8,Premissas!$B$7,Premissas!$B$6)</f>
        <v>-4260.61669596838</v>
      </c>
      <c r="F36" s="21" t="n">
        <f aca="false">-F35*IF(SUMIFS($C$35:$BJ$35,$C$4:$BJ$4,F$4-1)&gt;Premissas!$B$8,Premissas!$B$7,Premissas!$B$6)</f>
        <v>-5403.75056022316</v>
      </c>
      <c r="G36" s="21" t="n">
        <f aca="false">-G35*IF(SUMIFS($C$35:$BJ$35,$C$4:$BJ$4,G$4-1)&gt;Premissas!$B$8,Premissas!$B$7,Premissas!$B$6)</f>
        <v>-6521.07042578113</v>
      </c>
      <c r="H36" s="21" t="n">
        <f aca="false">-H35*IF(SUMIFS($C$35:$BJ$35,$C$4:$BJ$4,H$4-1)&gt;Premissas!$B$8,Premissas!$B$7,Premissas!$B$6)</f>
        <v>-7613.18914350153</v>
      </c>
      <c r="I36" s="21" t="n">
        <f aca="false">-I35*IF(SUMIFS($C$35:$BJ$35,$C$4:$BJ$4,I$4-1)&gt;Premissas!$B$8,Premissas!$B$7,Premissas!$B$6)</f>
        <v>-8680.70368912743</v>
      </c>
      <c r="J36" s="21" t="n">
        <f aca="false">-J35*IF(SUMIFS($C$35:$BJ$35,$C$4:$BJ$4,J$4-1)&gt;Premissas!$B$8,Premissas!$B$7,Premissas!$B$6)</f>
        <v>-9724.19563064254</v>
      </c>
      <c r="K36" s="21" t="n">
        <f aca="false">-K35*IF(SUMIFS($C$35:$BJ$35,$C$4:$BJ$4,K$4-1)&gt;Premissas!$B$8,Premissas!$B$7,Premissas!$B$6)</f>
        <v>-10744.2315796826</v>
      </c>
      <c r="L36" s="21" t="n">
        <f aca="false">-L35*IF(SUMIFS($C$35:$BJ$35,$C$4:$BJ$4,L$4-1)&gt;Premissas!$B$8,Premissas!$B$7,Premissas!$B$6)</f>
        <v>-11741.3636276204</v>
      </c>
      <c r="M36" s="21" t="n">
        <f aca="false">-M35*IF(SUMIFS($C$35:$BJ$35,$C$4:$BJ$4,M$4-1)&gt;Premissas!$B$8,Premissas!$B$7,Premissas!$B$6)</f>
        <v>-12716.1297669178</v>
      </c>
      <c r="N36" s="21" t="n">
        <f aca="false">-N35*IF(SUMIFS($C$35:$BJ$35,$C$4:$BJ$4,N$4-1)&gt;Premissas!$B$8,Premissas!$B$7,Premissas!$B$6)</f>
        <v>-13669.0542983116</v>
      </c>
      <c r="O36" s="21" t="n">
        <f aca="false">-O35*IF(SUMIFS($C$35:$BJ$35,$C$4:$BJ$4,O$4-1)&gt;Premissas!$B$8,Premissas!$B$7,Premissas!$B$6)</f>
        <v>-20124.7397280324</v>
      </c>
      <c r="P36" s="21" t="n">
        <f aca="false">-P35*IF(SUMIFS($C$35:$BJ$35,$C$4:$BJ$4,P$4-1)&gt;Premissas!$B$8,Premissas!$B$7,Premissas!$B$6)</f>
        <v>-24257.8306433897</v>
      </c>
      <c r="Q36" s="21" t="n">
        <f aca="false">-Q35*IF(SUMIFS($C$35:$BJ$35,$C$4:$BJ$4,Q$4-1)&gt;Premissas!$B$8,Premissas!$B$7,Premissas!$B$6)</f>
        <v>-28316.6169820217</v>
      </c>
      <c r="R36" s="21" t="n">
        <f aca="false">-R35*IF(SUMIFS($C$35:$BJ$35,$C$4:$BJ$4,R$4-1)&gt;Premissas!$B$8,Premissas!$B$7,Premissas!$B$6)</f>
        <v>-32302.4753042629</v>
      </c>
      <c r="S36" s="21" t="n">
        <f aca="false">-S35*IF(SUMIFS($C$35:$BJ$35,$C$4:$BJ$4,S$4-1)&gt;Premissas!$B$8,Premissas!$B$7,Premissas!$B$6)</f>
        <v>-36216.7549779118</v>
      </c>
      <c r="T36" s="21" t="n">
        <f aca="false">-T35*IF(SUMIFS($C$35:$BJ$35,$C$4:$BJ$4,T$4-1)&gt;Premissas!$B$8,Premissas!$B$7,Premissas!$B$6)</f>
        <v>-40060.7787847344</v>
      </c>
      <c r="U36" s="21" t="n">
        <f aca="false">-U35*IF(SUMIFS($C$35:$BJ$35,$C$4:$BJ$4,U$4-1)&gt;Premissas!$B$8,Premissas!$B$7,Premissas!$B$6)</f>
        <v>-43835.8435107536</v>
      </c>
      <c r="V36" s="21" t="n">
        <f aca="false">-V35*IF(SUMIFS($C$35:$BJ$35,$C$4:$BJ$4,V$4-1)&gt;Premissas!$B$8,Premissas!$B$7,Premissas!$B$6)</f>
        <v>-47543.2205208501</v>
      </c>
      <c r="W36" s="21" t="n">
        <f aca="false">-W35*IF(SUMIFS($C$35:$BJ$35,$C$4:$BJ$4,W$4-1)&gt;Premissas!$B$8,Premissas!$B$7,Premissas!$B$6)</f>
        <v>-51184.1563181808</v>
      </c>
      <c r="X36" s="21" t="n">
        <f aca="false">-X35*IF(SUMIFS($C$35:$BJ$35,$C$4:$BJ$4,X$4-1)&gt;Premissas!$B$8,Premissas!$B$7,Premissas!$B$6)</f>
        <v>-54759.8730889027</v>
      </c>
      <c r="Y36" s="21" t="n">
        <f aca="false">-Y35*IF(SUMIFS($C$35:$BJ$35,$C$4:$BJ$4,Y$4-1)&gt;Premissas!$B$8,Premissas!$B$7,Premissas!$B$6)</f>
        <v>-58271.5692326707</v>
      </c>
      <c r="Z36" s="21" t="n">
        <f aca="false">-Z35*IF(SUMIFS($C$35:$BJ$35,$C$4:$BJ$4,Z$4-1)&gt;Premissas!$B$8,Premissas!$B$7,Premissas!$B$6)</f>
        <v>-61720.4198793614</v>
      </c>
      <c r="AA36" s="21" t="n">
        <f aca="false">-AA35*IF(SUMIFS($C$35:$BJ$35,$C$4:$BJ$4,AA$4-1)&gt;Premissas!$B$8,Premissas!$B$7,Premissas!$B$6)</f>
        <v>-79374.847893161</v>
      </c>
      <c r="AB36" s="21" t="n">
        <f aca="false">-AB35*IF(SUMIFS($C$35:$BJ$35,$C$4:$BJ$4,AB$4-1)&gt;Premissas!$B$8,Premissas!$B$7,Premissas!$B$6)</f>
        <v>-90564.0075804442</v>
      </c>
      <c r="AC36" s="21" t="n">
        <f aca="false">-AC35*IF(SUMIFS($C$35:$BJ$35,$C$4:$BJ$4,AC$4-1)&gt;Premissas!$B$8,Premissas!$B$7,Premissas!$B$6)</f>
        <v>-101594.398227027</v>
      </c>
      <c r="AD36" s="21" t="n">
        <f aca="false">-AD35*IF(SUMIFS($C$35:$BJ$35,$C$4:$BJ$4,AD$4-1)&gt;Premissas!$B$8,Premissas!$B$7,Premissas!$B$6)</f>
        <v>-112468.242132102</v>
      </c>
      <c r="AE36" s="21" t="n">
        <f aca="false">-AE35*IF(SUMIFS($C$35:$BJ$35,$C$4:$BJ$4,AE$4-1)&gt;Premissas!$B$8,Premissas!$B$7,Premissas!$B$6)</f>
        <v>-123187.731255736</v>
      </c>
      <c r="AF36" s="21" t="n">
        <f aca="false">-AF35*IF(SUMIFS($C$35:$BJ$35,$C$4:$BJ$4,AF$4-1)&gt;Premissas!$B$8,Premissas!$B$7,Premissas!$B$6)</f>
        <v>-133755.027612452</v>
      </c>
      <c r="AG36" s="21" t="n">
        <f aca="false">-AG35*IF(SUMIFS($C$35:$BJ$35,$C$4:$BJ$4,AG$4-1)&gt;Premissas!$B$8,Premissas!$B$7,Premissas!$B$6)</f>
        <v>-144172.263660322</v>
      </c>
      <c r="AH36" s="21" t="n">
        <f aca="false">-AH35*IF(SUMIFS($C$35:$BJ$35,$C$4:$BJ$4,AH$4-1)&gt;Premissas!$B$8,Premissas!$B$7,Premissas!$B$6)</f>
        <v>-154441.542685585</v>
      </c>
      <c r="AI36" s="21" t="n">
        <f aca="false">-AI35*IF(SUMIFS($C$35:$BJ$35,$C$4:$BJ$4,AI$4-1)&gt;Premissas!$B$8,Premissas!$B$7,Premissas!$B$6)</f>
        <v>-164564.93918284</v>
      </c>
      <c r="AJ36" s="21" t="n">
        <f aca="false">-AJ35*IF(SUMIFS($C$35:$BJ$35,$C$4:$BJ$4,AJ$4-1)&gt;Premissas!$B$8,Premissas!$B$7,Premissas!$B$6)</f>
        <v>-174544.499230822</v>
      </c>
      <c r="AK36" s="21" t="n">
        <f aca="false">-AK35*IF(SUMIFS($C$35:$BJ$35,$C$4:$BJ$4,AK$4-1)&gt;Premissas!$B$8,Premissas!$B$7,Premissas!$B$6)</f>
        <v>-184382.240863821</v>
      </c>
      <c r="AL36" s="21" t="n">
        <f aca="false">-AL35*IF(SUMIFS($C$35:$BJ$35,$C$4:$BJ$4,AL$4-1)&gt;Premissas!$B$8,Premissas!$B$7,Premissas!$B$6)</f>
        <v>-194080.154438756</v>
      </c>
      <c r="AM36" s="21" t="n">
        <f aca="false">-AM35*IF(SUMIFS($C$35:$BJ$35,$C$4:$BJ$4,AM$4-1)&gt;Premissas!$B$8,Premissas!$B$7,Premissas!$B$6)</f>
        <v>-331580.873023397</v>
      </c>
      <c r="AN36" s="21" t="n">
        <f aca="false">-AN35*IF(SUMIFS($C$35:$BJ$35,$C$4:$BJ$4,AN$4-1)&gt;Premissas!$B$8,Premissas!$B$7,Premissas!$B$6)</f>
        <v>-360958.015538702</v>
      </c>
      <c r="AO36" s="21" t="n">
        <f aca="false">-AO35*IF(SUMIFS($C$35:$BJ$35,$C$4:$BJ$4,AO$4-1)&gt;Premissas!$B$8,Premissas!$B$7,Premissas!$B$6)</f>
        <v>-389985.638461865</v>
      </c>
      <c r="AP36" s="21" t="n">
        <f aca="false">-AP35*IF(SUMIFS($C$35:$BJ$35,$C$4:$BJ$4,AP$4-1)&gt;Premissas!$B$8,Premissas!$B$7,Premissas!$B$6)</f>
        <v>-418667.6945458</v>
      </c>
      <c r="AQ36" s="21" t="n">
        <f aca="false">-AQ35*IF(SUMIFS($C$35:$BJ$35,$C$4:$BJ$4,AQ$4-1)&gt;Premissas!$B$8,Premissas!$B$7,Premissas!$B$6)</f>
        <v>-447008.097759212</v>
      </c>
      <c r="AR36" s="21" t="n">
        <f aca="false">-AR35*IF(SUMIFS($C$35:$BJ$35,$C$4:$BJ$4,AR$4-1)&gt;Premissas!$B$8,Premissas!$B$7,Premissas!$B$6)</f>
        <v>-475010.723472837</v>
      </c>
      <c r="AS36" s="21" t="n">
        <f aca="false">-AS35*IF(SUMIFS($C$35:$BJ$35,$C$4:$BJ$4,AS$4-1)&gt;Premissas!$B$8,Premissas!$B$7,Premissas!$B$6)</f>
        <v>-502679.408652532</v>
      </c>
      <c r="AT36" s="21" t="n">
        <f aca="false">-AT35*IF(SUMIFS($C$35:$BJ$35,$C$4:$BJ$4,AT$4-1)&gt;Premissas!$B$8,Premissas!$B$7,Premissas!$B$6)</f>
        <v>-530017.952058832</v>
      </c>
      <c r="AU36" s="21" t="n">
        <f aca="false">-AU35*IF(SUMIFS($C$35:$BJ$35,$C$4:$BJ$4,AU$4-1)&gt;Premissas!$B$8,Premissas!$B$7,Premissas!$B$6)</f>
        <v>-557030.114452603</v>
      </c>
      <c r="AV36" s="21" t="n">
        <f aca="false">-AV35*IF(SUMIFS($C$35:$BJ$35,$C$4:$BJ$4,AV$4-1)&gt;Premissas!$B$8,Premissas!$B$7,Premissas!$B$6)</f>
        <v>-583719.618806419</v>
      </c>
      <c r="AW36" s="21" t="n">
        <f aca="false">-AW35*IF(SUMIFS($C$35:$BJ$35,$C$4:$BJ$4,AW$4-1)&gt;Premissas!$B$8,Premissas!$B$7,Premissas!$B$6)</f>
        <v>-610090.150521337</v>
      </c>
      <c r="AX36" s="21" t="n">
        <f aca="false">-AX35*IF(SUMIFS($C$35:$BJ$35,$C$4:$BJ$4,AX$4-1)&gt;Premissas!$B$8,Premissas!$B$7,Premissas!$B$6)</f>
        <v>-636145.357648728</v>
      </c>
      <c r="AY36" s="21" t="n">
        <f aca="false">-AY35*IF(SUMIFS($C$35:$BJ$35,$C$4:$BJ$4,AY$4-1)&gt;Premissas!$B$8,Premissas!$B$7,Premissas!$B$6)</f>
        <v>-702768.660107742</v>
      </c>
      <c r="AZ36" s="21" t="n">
        <f aca="false">-AZ35*IF(SUMIFS($C$35:$BJ$35,$C$4:$BJ$4,AZ$4-1)&gt;Premissas!$B$8,Premissas!$B$7,Premissas!$B$6)</f>
        <v>-747376.739692647</v>
      </c>
      <c r="BA36" s="21" t="n">
        <f aca="false">-BA35*IF(SUMIFS($C$35:$BJ$35,$C$4:$BJ$4,BA$4-1)&gt;Premissas!$B$8,Premissas!$B$7,Premissas!$B$6)</f>
        <v>-791546.070653911</v>
      </c>
      <c r="BB36" s="21" t="n">
        <f aca="false">-BB35*IF(SUMIFS($C$35:$BJ$35,$C$4:$BJ$4,BB$4-1)&gt;Premissas!$B$8,Premissas!$B$7,Premissas!$B$6)</f>
        <v>-835280.571667553</v>
      </c>
      <c r="BC36" s="21" t="n">
        <f aca="false">-BC35*IF(SUMIFS($C$35:$BJ$35,$C$4:$BJ$4,BC$4-1)&gt;Premissas!$B$8,Premissas!$B$7,Premissas!$B$6)</f>
        <v>-878584.137133238</v>
      </c>
      <c r="BD36" s="21" t="n">
        <f aca="false">-BD35*IF(SUMIFS($C$35:$BJ$35,$C$4:$BJ$4,BD$4-1)&gt;Premissas!$B$8,Premissas!$B$7,Premissas!$B$6)</f>
        <v>-921460.636979211</v>
      </c>
      <c r="BE36" s="21" t="n">
        <f aca="false">-BE35*IF(SUMIFS($C$35:$BJ$35,$C$4:$BJ$4,BE$4-1)&gt;Premissas!$B$8,Premissas!$B$7,Premissas!$B$6)</f>
        <v>-963913.916482316</v>
      </c>
      <c r="BF36" s="21" t="n">
        <f aca="false">-BF35*IF(SUMIFS($C$35:$BJ$35,$C$4:$BJ$4,BF$4-1)&gt;Premissas!$B$8,Premissas!$B$7,Premissas!$B$6)</f>
        <v>-1005947.79610255</v>
      </c>
      <c r="BG36" s="21" t="n">
        <f aca="false">-BG35*IF(SUMIFS($C$35:$BJ$35,$C$4:$BJ$4,BG$4-1)&gt;Premissas!$B$8,Premissas!$B$7,Premissas!$B$6)</f>
        <v>-1047566.0713316</v>
      </c>
      <c r="BH36" s="21" t="n">
        <f aca="false">-BH35*IF(SUMIFS($C$35:$BJ$35,$C$4:$BJ$4,BH$4-1)&gt;Premissas!$B$8,Premissas!$B$7,Premissas!$B$6)</f>
        <v>-1088772.51255486</v>
      </c>
      <c r="BI36" s="21" t="n">
        <f aca="false">-BI35*IF(SUMIFS($C$35:$BJ$35,$C$4:$BJ$4,BI$4-1)&gt;Premissas!$B$8,Premissas!$B$7,Premissas!$B$6)</f>
        <v>-1129570.86492638</v>
      </c>
      <c r="BJ36" s="21" t="n">
        <f aca="false">-BJ35*IF(SUMIFS($C$35:$BJ$35,$C$4:$BJ$4,BJ$4-1)&gt;Premissas!$B$8,Premissas!$B$7,Premissas!$B$6)</f>
        <v>-1169964.84825633</v>
      </c>
    </row>
    <row r="37" customFormat="false" ht="15" hidden="false" customHeight="false" outlineLevel="0" collapsed="false">
      <c r="A37" s="18" t="s">
        <v>128</v>
      </c>
      <c r="C37" s="30" t="n">
        <f aca="false">C35+C36</f>
        <v>15327.2019230556</v>
      </c>
      <c r="D37" s="30" t="n">
        <f aca="false">D35+D36</f>
        <v>25009.3205868382</v>
      </c>
      <c r="E37" s="30" t="n">
        <f aca="false">E35+E36</f>
        <v>34472.2623582896</v>
      </c>
      <c r="F37" s="30" t="n">
        <f aca="false">F35+F36</f>
        <v>43721.2545327147</v>
      </c>
      <c r="G37" s="30" t="n">
        <f aca="false">G35+G36</f>
        <v>52761.387990411</v>
      </c>
      <c r="H37" s="30" t="n">
        <f aca="false">H35+H36</f>
        <v>61597.6212519669</v>
      </c>
      <c r="I37" s="30" t="n">
        <f aca="false">I35+I36</f>
        <v>70234.7843938492</v>
      </c>
      <c r="J37" s="30" t="n">
        <f aca="false">J35+J36</f>
        <v>78677.5828297442</v>
      </c>
      <c r="K37" s="30" t="n">
        <f aca="false">K35+K36</f>
        <v>86930.6009628864</v>
      </c>
      <c r="L37" s="30" t="n">
        <f aca="false">L35+L36</f>
        <v>94998.3057143836</v>
      </c>
      <c r="M37" s="30" t="n">
        <f aca="false">M35+M36</f>
        <v>102885.049932335</v>
      </c>
      <c r="N37" s="30" t="n">
        <f aca="false">N35+N36</f>
        <v>110595.075686339</v>
      </c>
      <c r="O37" s="30" t="n">
        <f aca="false">O35+O36</f>
        <v>162827.439617717</v>
      </c>
      <c r="P37" s="30" t="n">
        <f aca="false">P35+P36</f>
        <v>196267.902478335</v>
      </c>
      <c r="Q37" s="30" t="n">
        <f aca="false">Q35+Q36</f>
        <v>229107.17376363</v>
      </c>
      <c r="R37" s="30" t="n">
        <f aca="false">R35+R36</f>
        <v>261356.391098127</v>
      </c>
      <c r="S37" s="30" t="n">
        <f aca="false">S35+S36</f>
        <v>293026.472094014</v>
      </c>
      <c r="T37" s="30" t="n">
        <f aca="false">T35+T36</f>
        <v>324128.119258305</v>
      </c>
      <c r="U37" s="30" t="n">
        <f aca="false">U35+U36</f>
        <v>354671.824768825</v>
      </c>
      <c r="V37" s="30" t="n">
        <f aca="false">V35+V36</f>
        <v>384667.875123242</v>
      </c>
      <c r="W37" s="30" t="n">
        <f aca="false">W35+W36</f>
        <v>414126.355665281</v>
      </c>
      <c r="X37" s="30" t="n">
        <f aca="false">X35+X36</f>
        <v>443057.154992031</v>
      </c>
      <c r="Y37" s="30" t="n">
        <f aca="false">Y35+Y36</f>
        <v>471469.969246154</v>
      </c>
      <c r="Z37" s="30" t="n">
        <f aca="false">Z35+Z36</f>
        <v>499374.306296652</v>
      </c>
      <c r="AA37" s="30" t="n">
        <f aca="false">AA35+AA36</f>
        <v>642214.678408303</v>
      </c>
      <c r="AB37" s="30" t="n">
        <f aca="false">AB35+AB36</f>
        <v>732745.152241776</v>
      </c>
      <c r="AC37" s="30" t="n">
        <f aca="false">AC35+AC36</f>
        <v>821991.040200488</v>
      </c>
      <c r="AD37" s="30" t="n">
        <f aca="false">AD35+AD36</f>
        <v>909970.32270519</v>
      </c>
      <c r="AE37" s="30" t="n">
        <f aca="false">AE35+AE36</f>
        <v>996700.7347055</v>
      </c>
      <c r="AF37" s="30" t="n">
        <f aca="false">AF35+AF36</f>
        <v>1082199.76886438</v>
      </c>
      <c r="AG37" s="30" t="n">
        <f aca="false">AG35+AG36</f>
        <v>1166484.67870624</v>
      </c>
      <c r="AH37" s="30" t="n">
        <f aca="false">AH35+AH36</f>
        <v>1249572.48172883</v>
      </c>
      <c r="AI37" s="30" t="n">
        <f aca="false">AI35+AI36</f>
        <v>1331479.96247934</v>
      </c>
      <c r="AJ37" s="30" t="n">
        <f aca="false">AJ35+AJ36</f>
        <v>1412223.67559483</v>
      </c>
      <c r="AK37" s="30" t="n">
        <f aca="false">AK35+AK36</f>
        <v>1491819.94880728</v>
      </c>
      <c r="AL37" s="30" t="n">
        <f aca="false">AL35+AL36</f>
        <v>1570284.88591357</v>
      </c>
      <c r="AM37" s="30" t="n">
        <f aca="false">AM35+AM36</f>
        <v>1698920.49270469</v>
      </c>
      <c r="AN37" s="30" t="n">
        <f aca="false">AN35+AN36</f>
        <v>1849440.12003204</v>
      </c>
      <c r="AO37" s="30" t="n">
        <f aca="false">AO35+AO36</f>
        <v>1998168.9142746</v>
      </c>
      <c r="AP37" s="30" t="n">
        <f aca="false">AP35+AP36</f>
        <v>2145127.1281474</v>
      </c>
      <c r="AQ37" s="30" t="n">
        <f aca="false">AQ35+AQ36</f>
        <v>2290334.81564686</v>
      </c>
      <c r="AR37" s="30" t="n">
        <f aca="false">AR35+AR36</f>
        <v>2433811.83300504</v>
      </c>
      <c r="AS37" s="30" t="n">
        <f aca="false">AS35+AS36</f>
        <v>2575577.83967896</v>
      </c>
      <c r="AT37" s="30" t="n">
        <f aca="false">AT35+AT36</f>
        <v>2715652.29937309</v>
      </c>
      <c r="AU37" s="30" t="n">
        <f aca="false">AU35+AU36</f>
        <v>2854054.48109304</v>
      </c>
      <c r="AV37" s="30" t="n">
        <f aca="false">AV35+AV36</f>
        <v>2990803.4602286</v>
      </c>
      <c r="AW37" s="30" t="n">
        <f aca="false">AW35+AW36</f>
        <v>3125918.11966444</v>
      </c>
      <c r="AX37" s="30" t="n">
        <f aca="false">AX35+AX36</f>
        <v>3259417.15091666</v>
      </c>
      <c r="AY37" s="30" t="n">
        <f aca="false">AY35+AY36</f>
        <v>3600774.88004989</v>
      </c>
      <c r="AZ37" s="30" t="n">
        <f aca="false">AZ35+AZ36</f>
        <v>3829333.24005412</v>
      </c>
      <c r="BA37" s="30" t="n">
        <f aca="false">BA35+BA36</f>
        <v>4055643.58429962</v>
      </c>
      <c r="BB37" s="30" t="n">
        <f aca="false">BB35+BB36</f>
        <v>4279725.99090166</v>
      </c>
      <c r="BC37" s="30" t="n">
        <f aca="false">BC35+BC36</f>
        <v>4501600.41359081</v>
      </c>
      <c r="BD37" s="30" t="n">
        <f aca="false">BD35+BD36</f>
        <v>4721286.68071345</v>
      </c>
      <c r="BE37" s="30" t="n">
        <f aca="false">BE35+BE36</f>
        <v>4938804.49430958</v>
      </c>
      <c r="BF37" s="30" t="n">
        <f aca="false">BF35+BF36</f>
        <v>5154173.42926517</v>
      </c>
      <c r="BG37" s="30" t="n">
        <f aca="false">BG35+BG36</f>
        <v>5367412.93253611</v>
      </c>
      <c r="BH37" s="30" t="n">
        <f aca="false">BH35+BH36</f>
        <v>5578542.3224412</v>
      </c>
      <c r="BI37" s="30" t="n">
        <f aca="false">BI35+BI36</f>
        <v>5787580.78802145</v>
      </c>
      <c r="BJ37" s="30" t="n">
        <f aca="false">BJ35+BJ36</f>
        <v>5994547.38846337</v>
      </c>
    </row>
    <row r="38" customFormat="false" ht="15" hidden="false" customHeight="false" outlineLevel="0" collapsed="false">
      <c r="A38" s="3" t="s">
        <v>239</v>
      </c>
      <c r="B38" s="4"/>
    </row>
    <row r="39" customFormat="false" ht="15" hidden="false" customHeight="false" outlineLevel="0" collapsed="false">
      <c r="A39" s="5" t="s">
        <v>240</v>
      </c>
      <c r="C39" s="21" t="n">
        <f aca="false">-(C22*Premissas!$B$21+C23*Premissas!$C$21+C24*Premissas!$D$21+C25*Premissas!$E$21)*Premissas!$B$5</f>
        <v>-763.14</v>
      </c>
      <c r="D39" s="21" t="n">
        <f aca="false">-(D22*Premissas!$B$21+D23*Premissas!$C$21+D24*Premissas!$D$21+D25*Premissas!$E$21)*Premissas!$B$5</f>
        <v>-1508.7954</v>
      </c>
      <c r="E39" s="21" t="n">
        <f aca="false">-(E22*Premissas!$B$21+E23*Premissas!$C$21+E24*Premissas!$D$21+E25*Premissas!$E$21)*Premissas!$B$5</f>
        <v>-2237.3914815</v>
      </c>
      <c r="F39" s="21" t="n">
        <f aca="false">-(F22*Premissas!$B$21+F23*Premissas!$C$21+F24*Premissas!$D$21+F25*Premissas!$E$21)*Premissas!$B$5</f>
        <v>-2949.3421042575</v>
      </c>
      <c r="G39" s="21" t="n">
        <f aca="false">-(G22*Premissas!$B$21+G23*Premissas!$C$21+G24*Premissas!$D$21+G25*Premissas!$E$21)*Premissas!$B$5</f>
        <v>-3645.05005764585</v>
      </c>
      <c r="H39" s="21" t="n">
        <f aca="false">-(H22*Premissas!$B$21+H23*Premissas!$C$21+H24*Premissas!$D$21+H25*Premissas!$E$21)*Premissas!$B$5</f>
        <v>-4324.9073995237</v>
      </c>
      <c r="I39" s="21" t="n">
        <f aca="false">-(I22*Premissas!$B$21+I23*Premissas!$C$21+I24*Premissas!$D$21+I25*Premissas!$E$21)*Premissas!$B$5</f>
        <v>-4989.29578311493</v>
      </c>
      <c r="J39" s="21" t="n">
        <f aca="false">-(J22*Premissas!$B$21+J23*Premissas!$C$21+J24*Premissas!$D$21+J25*Premissas!$E$21)*Premissas!$B$5</f>
        <v>-5638.58677237694</v>
      </c>
      <c r="K39" s="21" t="n">
        <f aca="false">-(K22*Premissas!$B$21+K23*Premissas!$C$21+K24*Premissas!$D$21+K25*Premissas!$E$21)*Premissas!$B$5</f>
        <v>-6273.1421463144</v>
      </c>
      <c r="L39" s="21" t="n">
        <f aca="false">-(L22*Premissas!$B$21+L23*Premissas!$C$21+L24*Premissas!$D$21+L25*Premissas!$E$21)*Premissas!$B$5</f>
        <v>-6893.3141926763</v>
      </c>
      <c r="M39" s="21" t="n">
        <f aca="false">-(M22*Premissas!$B$21+M23*Premissas!$C$21+M24*Premissas!$D$21+M25*Premissas!$E$21)*Premissas!$B$5</f>
        <v>-7499.44599145476</v>
      </c>
      <c r="N39" s="21" t="n">
        <f aca="false">-(N22*Premissas!$B$21+N23*Premissas!$C$21+N24*Premissas!$D$21+N25*Premissas!$E$21)*Premissas!$B$5</f>
        <v>-8091.87168858684</v>
      </c>
      <c r="O39" s="21" t="n">
        <f aca="false">-(O22*Premissas!$B$21+O23*Premissas!$C$21+O24*Premissas!$D$21+O25*Premissas!$E$21)*Premissas!$B$5</f>
        <v>-10597.3824684289</v>
      </c>
      <c r="P39" s="21" t="n">
        <f aca="false">-(P22*Premissas!$B$21+P23*Premissas!$C$21+P24*Premissas!$D$21+P25*Premissas!$E$21)*Premissas!$B$5</f>
        <v>-13057.15438898</v>
      </c>
      <c r="Q39" s="21" t="n">
        <f aca="false">-(Q22*Premissas!$B$21+Q23*Premissas!$C$21+Q24*Premissas!$D$21+Q25*Premissas!$E$21)*Premissas!$B$5</f>
        <v>-15472.0578859859</v>
      </c>
      <c r="R39" s="21" t="n">
        <f aca="false">-(R22*Premissas!$B$21+R23*Premissas!$C$21+R24*Premissas!$D$21+R25*Premissas!$E$21)*Premissas!$B$5</f>
        <v>-17842.9453906235</v>
      </c>
      <c r="S39" s="21" t="n">
        <f aca="false">-(S22*Premissas!$B$21+S23*Premissas!$C$21+S24*Premissas!$D$21+S25*Premissas!$E$21)*Premissas!$B$5</f>
        <v>-20170.6517592548</v>
      </c>
      <c r="T39" s="21" t="n">
        <f aca="false">-(T22*Premissas!$B$21+T23*Premissas!$C$21+T24*Premissas!$D$21+T25*Premissas!$E$21)*Premissas!$B$5</f>
        <v>-22455.9946907979</v>
      </c>
      <c r="U39" s="21" t="n">
        <f aca="false">-(U22*Premissas!$B$21+U23*Premissas!$C$21+U24*Premissas!$D$21+U25*Premissas!$E$21)*Premissas!$B$5</f>
        <v>-24699.7751321392</v>
      </c>
      <c r="V39" s="21" t="n">
        <f aca="false">-(V22*Premissas!$B$21+V23*Premissas!$C$21+V24*Premissas!$D$21+V25*Premissas!$E$21)*Premissas!$B$5</f>
        <v>-26902.7776719976</v>
      </c>
      <c r="W39" s="21" t="n">
        <f aca="false">-(W22*Premissas!$B$21+W23*Premissas!$C$21+W24*Premissas!$D$21+W25*Premissas!$E$21)*Premissas!$B$5</f>
        <v>-29065.7709236329</v>
      </c>
      <c r="X39" s="21" t="n">
        <f aca="false">-(X22*Premissas!$B$21+X23*Premissas!$C$21+X24*Premissas!$D$21+X25*Premissas!$E$21)*Premissas!$B$5</f>
        <v>-31189.5078967769</v>
      </c>
      <c r="Y39" s="21" t="n">
        <f aca="false">-(Y22*Premissas!$B$21+Y23*Premissas!$C$21+Y24*Premissas!$D$21+Y25*Premissas!$E$21)*Premissas!$B$5</f>
        <v>-33274.7263591506</v>
      </c>
      <c r="Z39" s="21" t="n">
        <f aca="false">-(Z22*Premissas!$B$21+Z23*Premissas!$C$21+Z24*Premissas!$D$21+Z25*Premissas!$E$21)*Premissas!$B$5</f>
        <v>-35322.149187918</v>
      </c>
      <c r="AA39" s="21" t="n">
        <f aca="false">-(AA22*Premissas!$B$21+AA23*Premissas!$C$21+AA24*Premissas!$D$21+AA25*Premissas!$E$21)*Premissas!$B$5</f>
        <v>-41792.7257949398</v>
      </c>
      <c r="AB39" s="21" t="n">
        <f aca="false">-(AB22*Premissas!$B$21+AB23*Premissas!$C$21+AB24*Premissas!$D$21+AB25*Premissas!$E$21)*Premissas!$B$5</f>
        <v>-48169.9062381529</v>
      </c>
      <c r="AC39" s="21" t="n">
        <f aca="false">-(AC22*Premissas!$B$21+AC23*Premissas!$C$21+AC24*Premissas!$D$21+AC25*Premissas!$E$21)*Premissas!$B$5</f>
        <v>-54455.0442114236</v>
      </c>
      <c r="AD39" s="21" t="n">
        <f aca="false">-(AD22*Premissas!$B$21+AD23*Premissas!$C$21+AD24*Premissas!$D$21+AD25*Premissas!$E$21)*Premissas!$B$5</f>
        <v>-60649.4734006565</v>
      </c>
      <c r="AE39" s="21" t="n">
        <f aca="false">-(AE22*Premissas!$B$21+AE23*Premissas!$C$21+AE24*Premissas!$D$21+AE25*Premissas!$E$21)*Premissas!$B$5</f>
        <v>-66754.5077986677</v>
      </c>
      <c r="AF39" s="21" t="n">
        <f aca="false">-(AF22*Premissas!$B$21+AF23*Premissas!$C$21+AF24*Premissas!$D$21+AF25*Premissas!$E$21)*Premissas!$B$5</f>
        <v>-72771.4420142751</v>
      </c>
      <c r="AG39" s="21" t="n">
        <f aca="false">-(AG22*Premissas!$B$21+AG23*Premissas!$C$21+AG24*Premissas!$D$21+AG25*Premissas!$E$21)*Premissas!$B$5</f>
        <v>-78701.5515757435</v>
      </c>
      <c r="AH39" s="21" t="n">
        <f aca="false">-(AH22*Premissas!$B$21+AH23*Premissas!$C$21+AH24*Premissas!$D$21+AH25*Premissas!$E$21)*Premissas!$B$5</f>
        <v>-84546.0932287173</v>
      </c>
      <c r="AI39" s="21" t="n">
        <f aca="false">-(AI22*Premissas!$B$21+AI23*Premissas!$C$21+AI24*Premissas!$D$21+AI25*Premissas!$E$21)*Premissas!$B$5</f>
        <v>-90306.3052287719</v>
      </c>
      <c r="AJ39" s="21" t="n">
        <f aca="false">-(AJ22*Premissas!$B$21+AJ23*Premissas!$C$21+AJ24*Premissas!$D$21+AJ25*Premissas!$E$21)*Premissas!$B$5</f>
        <v>-95983.4076287075</v>
      </c>
      <c r="AK39" s="21" t="n">
        <f aca="false">-(AK22*Premissas!$B$21+AK23*Premissas!$C$21+AK24*Premissas!$D$21+AK25*Premissas!$E$21)*Premissas!$B$5</f>
        <v>-101578.602560709</v>
      </c>
      <c r="AL39" s="21" t="n">
        <f aca="false">-(AL22*Premissas!$B$21+AL23*Premissas!$C$21+AL24*Premissas!$D$21+AL25*Premissas!$E$21)*Premissas!$B$5</f>
        <v>-107093.07451349</v>
      </c>
      <c r="AM39" s="21" t="n">
        <f aca="false">-(AM22*Premissas!$B$21+AM23*Premissas!$C$21+AM24*Premissas!$D$21+AM25*Premissas!$E$21)*Premissas!$B$5</f>
        <v>-118258.863078679</v>
      </c>
      <c r="AN39" s="21" t="n">
        <f aca="false">-(AN22*Premissas!$B$21+AN23*Premissas!$C$21+AN24*Premissas!$D$21+AN25*Premissas!$E$21)*Premissas!$B$5</f>
        <v>-129289.480778362</v>
      </c>
      <c r="AO39" s="21" t="n">
        <f aca="false">-(AO22*Premissas!$B$21+AO23*Premissas!$C$21+AO24*Premissas!$D$21+AO25*Premissas!$E$21)*Premissas!$B$5</f>
        <v>-140186.518616823</v>
      </c>
      <c r="AP39" s="21" t="n">
        <f aca="false">-(AP22*Premissas!$B$21+AP23*Premissas!$C$21+AP24*Premissas!$D$21+AP25*Premissas!$E$21)*Premissas!$B$5</f>
        <v>-150951.550036207</v>
      </c>
      <c r="AQ39" s="21" t="n">
        <f aca="false">-(AQ22*Premissas!$B$21+AQ23*Premissas!$C$21+AQ24*Premissas!$D$21+AQ25*Premissas!$E$21)*Premissas!$B$5</f>
        <v>-161586.131076733</v>
      </c>
      <c r="AR39" s="21" t="n">
        <f aca="false">-(AR22*Premissas!$B$21+AR23*Premissas!$C$21+AR24*Premissas!$D$21+AR25*Premissas!$E$21)*Premissas!$B$5</f>
        <v>-172091.800536565</v>
      </c>
      <c r="AS39" s="21" t="n">
        <f aca="false">-(AS22*Premissas!$B$21+AS23*Premissas!$C$21+AS24*Premissas!$D$21+AS25*Premissas!$E$21)*Premissas!$B$5</f>
        <v>-182470.080131292</v>
      </c>
      <c r="AT39" s="21" t="n">
        <f aca="false">-(AT22*Premissas!$B$21+AT23*Premissas!$C$21+AT24*Premissas!$D$21+AT25*Premissas!$E$21)*Premissas!$B$5</f>
        <v>-192722.474652976</v>
      </c>
      <c r="AU39" s="21" t="n">
        <f aca="false">-(AU22*Premissas!$B$21+AU23*Premissas!$C$21+AU24*Premissas!$D$21+AU25*Premissas!$E$21)*Premissas!$B$5</f>
        <v>-202850.472128722</v>
      </c>
      <c r="AV39" s="21" t="n">
        <f aca="false">-(AV22*Premissas!$B$21+AV23*Premissas!$C$21+AV24*Premissas!$D$21+AV25*Premissas!$E$21)*Premissas!$B$5</f>
        <v>-212855.543978739</v>
      </c>
      <c r="AW39" s="21" t="n">
        <f aca="false">-(AW22*Premissas!$B$21+AW23*Premissas!$C$21+AW24*Premissas!$D$21+AW25*Premissas!$E$21)*Premissas!$B$5</f>
        <v>-222739.145173842</v>
      </c>
      <c r="AX39" s="21" t="n">
        <f aca="false">-(AX22*Premissas!$B$21+AX23*Premissas!$C$21+AX24*Premissas!$D$21+AX25*Premissas!$E$21)*Premissas!$B$5</f>
        <v>-232502.714392365</v>
      </c>
      <c r="AY39" s="21" t="n">
        <f aca="false">-(AY22*Premissas!$B$21+AY23*Premissas!$C$21+AY24*Premissas!$D$21+AY25*Premissas!$E$21)*Premissas!$B$5</f>
        <v>-249041.882702173</v>
      </c>
      <c r="AZ39" s="21" t="n">
        <f aca="false">-(AZ22*Premissas!$B$21+AZ23*Premissas!$C$21+AZ24*Premissas!$D$21+AZ25*Premissas!$E$21)*Premissas!$B$5</f>
        <v>-265415.719102915</v>
      </c>
      <c r="BA39" s="21" t="n">
        <f aca="false">-(BA22*Premissas!$B$21+BA23*Premissas!$C$21+BA24*Premissas!$D$21+BA25*Premissas!$E$21)*Premissas!$B$5</f>
        <v>-281625.764327591</v>
      </c>
      <c r="BB39" s="21" t="n">
        <f aca="false">-(BB22*Premissas!$B$21+BB23*Premissas!$C$21+BB24*Premissas!$D$21+BB25*Premissas!$E$21)*Premissas!$B$5</f>
        <v>-297673.547669658</v>
      </c>
      <c r="BC39" s="21" t="n">
        <f aca="false">-(BC22*Premissas!$B$21+BC23*Premissas!$C$21+BC24*Premissas!$D$21+BC25*Premissas!$E$21)*Premissas!$B$5</f>
        <v>-313560.586978986</v>
      </c>
      <c r="BD39" s="21" t="n">
        <f aca="false">-(BD22*Premissas!$B$21+BD23*Premissas!$C$21+BD24*Premissas!$D$21+BD25*Premissas!$E$21)*Premissas!$B$5</f>
        <v>-329288.388661393</v>
      </c>
      <c r="BE39" s="21" t="n">
        <f aca="false">-(BE22*Premissas!$B$21+BE23*Premissas!$C$21+BE24*Premissas!$D$21+BE25*Premissas!$E$21)*Premissas!$B$5</f>
        <v>-344858.447681617</v>
      </c>
      <c r="BF39" s="21" t="n">
        <f aca="false">-(BF22*Premissas!$B$21+BF23*Premissas!$C$21+BF24*Premissas!$D$21+BF25*Premissas!$E$21)*Premissas!$B$5</f>
        <v>-360272.247569578</v>
      </c>
      <c r="BG39" s="21" t="n">
        <f aca="false">-(BG22*Premissas!$B$21+BG23*Premissas!$C$21+BG24*Premissas!$D$21+BG25*Premissas!$E$21)*Premissas!$B$5</f>
        <v>-375531.260429799</v>
      </c>
      <c r="BH39" s="21" t="n">
        <f aca="false">-(BH22*Premissas!$B$21+BH23*Premissas!$C$21+BH24*Premissas!$D$21+BH25*Premissas!$E$21)*Premissas!$B$5</f>
        <v>-390636.946953859</v>
      </c>
      <c r="BI39" s="21" t="n">
        <f aca="false">-(BI22*Premissas!$B$21+BI23*Premissas!$C$21+BI24*Premissas!$D$21+BI25*Premissas!$E$21)*Premissas!$B$5</f>
        <v>-405590.75643574</v>
      </c>
      <c r="BJ39" s="21" t="n">
        <f aca="false">-(BJ22*Premissas!$B$21+BJ23*Premissas!$C$21+BJ24*Premissas!$D$21+BJ25*Premissas!$E$21)*Premissas!$B$5</f>
        <v>-420394.126789956</v>
      </c>
    </row>
    <row r="40" customFormat="false" ht="15" hidden="false" customHeight="false" outlineLevel="0" collapsed="false">
      <c r="A40" s="5" t="s">
        <v>241</v>
      </c>
      <c r="C40" s="21" t="n">
        <f aca="false">-(C22*Premissas!$B$22+C23*Premissas!$C$22+C24*Premissas!$D$22+C25*Premissas!$E$22)</f>
        <v>-196.777777777778</v>
      </c>
      <c r="D40" s="21" t="n">
        <f aca="false">-(D22*Premissas!$B$22+D23*Premissas!$C$22+D24*Premissas!$D$22+D25*Premissas!$E$22)</f>
        <v>-388.636111111111</v>
      </c>
      <c r="E40" s="21" t="n">
        <f aca="false">-(E22*Premissas!$B$22+E23*Premissas!$C$22+E24*Premissas!$D$22+E25*Premissas!$E$22)</f>
        <v>-575.71185</v>
      </c>
      <c r="F40" s="21" t="n">
        <f aca="false">-(F22*Premissas!$B$22+F23*Premissas!$C$22+F24*Premissas!$D$22+F25*Premissas!$E$22)</f>
        <v>-758.137477319444</v>
      </c>
      <c r="G40" s="21" t="n">
        <f aca="false">-(G22*Premissas!$B$22+G23*Premissas!$C$22+G24*Premissas!$D$22+G25*Premissas!$E$22)</f>
        <v>-936.041268690208</v>
      </c>
      <c r="H40" s="21" t="n">
        <f aca="false">-(H22*Premissas!$B$22+H23*Premissas!$C$22+H24*Premissas!$D$22+H25*Premissas!$E$22)</f>
        <v>-1109.54744583825</v>
      </c>
      <c r="I40" s="21" t="n">
        <f aca="false">-(I22*Premissas!$B$22+I23*Premissas!$C$22+I24*Premissas!$D$22+I25*Premissas!$E$22)</f>
        <v>-1278.77632372659</v>
      </c>
      <c r="J40" s="21" t="n">
        <f aca="false">-(J22*Premissas!$B$22+J23*Premissas!$C$22+J24*Premissas!$D$22+J25*Premissas!$E$22)</f>
        <v>-1443.84445173052</v>
      </c>
      <c r="K40" s="21" t="n">
        <f aca="false">-(K22*Premissas!$B$22+K23*Premissas!$C$22+K24*Premissas!$D$22+K25*Premissas!$E$22)</f>
        <v>-1604.86474911484</v>
      </c>
      <c r="L40" s="21" t="n">
        <f aca="false">-(L22*Premissas!$B$22+L23*Premissas!$C$22+L24*Premissas!$D$22+L25*Premissas!$E$22)</f>
        <v>-1761.94663506016</v>
      </c>
      <c r="M40" s="21" t="n">
        <f aca="false">-(M22*Premissas!$B$22+M23*Premissas!$C$22+M24*Premissas!$D$22+M25*Premissas!$E$22)</f>
        <v>-1915.19615347397</v>
      </c>
      <c r="N40" s="21" t="n">
        <f aca="false">-(N22*Premissas!$B$22+N23*Premissas!$C$22+N24*Premissas!$D$22+N25*Premissas!$E$22)</f>
        <v>-2064.71609281194</v>
      </c>
      <c r="O40" s="21" t="n">
        <f aca="false">-(O22*Premissas!$B$22+O23*Premissas!$C$22+O24*Premissas!$D$22+O25*Premissas!$E$22)</f>
        <v>-2663.83559633106</v>
      </c>
      <c r="P40" s="21" t="n">
        <f aca="false">-(P22*Premissas!$B$22+P23*Premissas!$C$22+P24*Premissas!$D$22+P25*Premissas!$E$22)</f>
        <v>-3250.88729398595</v>
      </c>
      <c r="Q40" s="21" t="n">
        <f aca="false">-(Q22*Premissas!$B$22+Q23*Premissas!$C$22+Q24*Premissas!$D$22+Q25*Premissas!$E$22)</f>
        <v>-3826.14303553916</v>
      </c>
      <c r="R40" s="21" t="n">
        <f aca="false">-(R22*Premissas!$B$22+R23*Premissas!$C$22+R24*Premissas!$D$22+R25*Premissas!$E$22)</f>
        <v>-4389.86746008788</v>
      </c>
      <c r="S40" s="21" t="n">
        <f aca="false">-(S22*Premissas!$B$22+S23*Premissas!$C$22+S24*Premissas!$D$22+S25*Premissas!$E$22)</f>
        <v>-4942.3182247615</v>
      </c>
      <c r="T40" s="21" t="n">
        <f aca="false">-(T22*Premissas!$B$22+T23*Premissas!$C$22+T24*Premissas!$D$22+T25*Premissas!$E$22)</f>
        <v>-5483.74622505399</v>
      </c>
      <c r="U40" s="21" t="n">
        <f aca="false">-(U22*Premissas!$B$22+U23*Premissas!$C$22+U24*Premissas!$D$22+U25*Premissas!$E$22)</f>
        <v>-6014.395807125</v>
      </c>
      <c r="V40" s="21" t="n">
        <f aca="false">-(V22*Premissas!$B$22+V23*Premissas!$C$22+V24*Premissas!$D$22+V25*Premissas!$E$22)</f>
        <v>-6534.50497238964</v>
      </c>
      <c r="W40" s="21" t="n">
        <f aca="false">-(W22*Premissas!$B$22+W23*Premissas!$C$22+W24*Premissas!$D$22+W25*Premissas!$E$22)</f>
        <v>-7044.30557470366</v>
      </c>
      <c r="X40" s="21" t="n">
        <f aca="false">-(X22*Premissas!$B$22+X23*Premissas!$C$22+X24*Premissas!$D$22+X25*Premissas!$E$22)</f>
        <v>-7544.02351043777</v>
      </c>
      <c r="Y40" s="21" t="n">
        <f aca="false">-(Y22*Premissas!$B$22+Y23*Premissas!$C$22+Y24*Premissas!$D$22+Y25*Premissas!$E$22)</f>
        <v>-8033.87890172293</v>
      </c>
      <c r="Z40" s="21" t="n">
        <f aca="false">-(Z22*Premissas!$B$22+Z23*Premissas!$C$22+Z24*Premissas!$D$22+Z25*Premissas!$E$22)</f>
        <v>-8514.08627313629</v>
      </c>
      <c r="AA40" s="21" t="n">
        <f aca="false">-(AA22*Premissas!$B$22+AA23*Premissas!$C$22+AA24*Premissas!$D$22+AA25*Premissas!$E$22)</f>
        <v>-9960.7306803874</v>
      </c>
      <c r="AB40" s="21" t="n">
        <f aca="false">-(AB22*Premissas!$B$22+AB23*Premissas!$C$22+AB24*Premissas!$D$22+AB25*Premissas!$E$22)</f>
        <v>-11384.1856378535</v>
      </c>
      <c r="AC40" s="21" t="n">
        <f aca="false">-(AC22*Premissas!$B$22+AC23*Premissas!$C$22+AC24*Premissas!$D$22+AC25*Premissas!$E$22)</f>
        <v>-12784.8650853523</v>
      </c>
      <c r="AD40" s="21" t="n">
        <f aca="false">-(AD22*Premissas!$B$22+AD23*Premissas!$C$22+AD24*Premissas!$D$22+AD25*Premissas!$E$22)</f>
        <v>-14163.1740569672</v>
      </c>
      <c r="AE40" s="21" t="n">
        <f aca="false">-(AE22*Premissas!$B$22+AE23*Premissas!$C$22+AE24*Premissas!$D$22+AE25*Premissas!$E$22)</f>
        <v>-15519.5089225925</v>
      </c>
      <c r="AF40" s="21" t="n">
        <f aca="false">-(AF22*Premissas!$B$22+AF23*Premissas!$C$22+AF24*Premissas!$D$22+AF25*Premissas!$E$22)</f>
        <v>-16854.2576215416</v>
      </c>
      <c r="AG40" s="21" t="n">
        <f aca="false">-(AG22*Premissas!$B$22+AG23*Premissas!$C$22+AG24*Premissas!$D$22+AG25*Premissas!$E$22)</f>
        <v>-18167.7998885105</v>
      </c>
      <c r="AH40" s="21" t="n">
        <f aca="false">-(AH22*Premissas!$B$22+AH23*Premissas!$C$22+AH24*Premissas!$D$22+AH25*Premissas!$E$22)</f>
        <v>-19460.5074721771</v>
      </c>
      <c r="AI40" s="21" t="n">
        <f aca="false">-(AI22*Premissas!$B$22+AI23*Premissas!$C$22+AI24*Premissas!$D$22+AI25*Premissas!$E$22)</f>
        <v>-20732.7443467056</v>
      </c>
      <c r="AJ40" s="21" t="n">
        <f aca="false">-(AJ22*Premissas!$B$22+AJ23*Premissas!$C$22+AJ24*Premissas!$D$22+AJ25*Premissas!$E$22)</f>
        <v>-21984.8669164153</v>
      </c>
      <c r="AK40" s="21" t="n">
        <f aca="false">-(AK22*Premissas!$B$22+AK23*Premissas!$C$22+AK24*Premissas!$D$22+AK25*Premissas!$E$22)</f>
        <v>-23217.2242138622</v>
      </c>
      <c r="AL40" s="21" t="n">
        <f aca="false">-(AL22*Premissas!$B$22+AL23*Premissas!$C$22+AL24*Premissas!$D$22+AL25*Premissas!$E$22)</f>
        <v>-24430.1580915746</v>
      </c>
      <c r="AM40" s="21" t="n">
        <f aca="false">-(AM22*Premissas!$B$22+AM23*Premissas!$C$22+AM24*Premissas!$D$22+AM25*Premissas!$E$22)</f>
        <v>-26875.3689856954</v>
      </c>
      <c r="AN40" s="21" t="n">
        <f aca="false">-(AN22*Premissas!$B$22+AN23*Premissas!$C$22+AN24*Premissas!$D$22+AN25*Premissas!$E$22)</f>
        <v>-29287.6573515196</v>
      </c>
      <c r="AO40" s="21" t="n">
        <f aca="false">-(AO22*Premissas!$B$22+AO23*Premissas!$C$22+AO24*Premissas!$D$22+AO25*Premissas!$E$22)</f>
        <v>-31667.5135640117</v>
      </c>
      <c r="AP40" s="21" t="n">
        <f aca="false">-(AP22*Premissas!$B$22+AP23*Premissas!$C$22+AP24*Premissas!$D$22+AP25*Premissas!$E$22)</f>
        <v>-34015.4190846253</v>
      </c>
      <c r="AQ40" s="21" t="n">
        <f aca="false">-(AQ22*Premissas!$B$22+AQ23*Premissas!$C$22+AQ24*Premissas!$D$22+AQ25*Premissas!$E$22)</f>
        <v>-36331.8466735447</v>
      </c>
      <c r="AR40" s="21" t="n">
        <f aca="false">-(AR22*Premissas!$B$22+AR23*Premissas!$C$22+AR24*Premissas!$D$22+AR25*Premissas!$E$22)</f>
        <v>-38617.2605955796</v>
      </c>
      <c r="AS40" s="21" t="n">
        <f aca="false">-(AS22*Premissas!$B$22+AS23*Premissas!$C$22+AS24*Premissas!$D$22+AS25*Premissas!$E$22)</f>
        <v>-40872.1168199267</v>
      </c>
      <c r="AT40" s="21" t="n">
        <f aca="false">-(AT22*Premissas!$B$22+AT23*Premissas!$C$22+AT24*Premissas!$D$22+AT25*Premissas!$E$22)</f>
        <v>-43096.8632140077</v>
      </c>
      <c r="AU40" s="21" t="n">
        <f aca="false">-(AU22*Premissas!$B$22+AU23*Premissas!$C$22+AU24*Premissas!$D$22+AU25*Premissas!$E$22)</f>
        <v>-45291.9397315823</v>
      </c>
      <c r="AV40" s="21" t="n">
        <f aca="false">-(AV22*Premissas!$B$22+AV23*Premissas!$C$22+AV24*Premissas!$D$22+AV25*Premissas!$E$22)</f>
        <v>-47457.7785953306</v>
      </c>
      <c r="AW40" s="21" t="n">
        <f aca="false">-(AW22*Premissas!$B$22+AW23*Premissas!$C$22+AW24*Premissas!$D$22+AW25*Premissas!$E$22)</f>
        <v>-49594.8044740905</v>
      </c>
      <c r="AX40" s="21" t="n">
        <f aca="false">-(AX22*Premissas!$B$22+AX23*Premissas!$C$22+AX24*Premissas!$D$22+AX25*Premissas!$E$22)</f>
        <v>-51703.4346549302</v>
      </c>
      <c r="AY40" s="21" t="n">
        <f aca="false">-(AY22*Premissas!$B$22+AY23*Premissas!$C$22+AY24*Premissas!$D$22+AY25*Premissas!$E$22)</f>
        <v>-55227.836946594</v>
      </c>
      <c r="AZ40" s="21" t="n">
        <f aca="false">-(AZ22*Premissas!$B$22+AZ23*Premissas!$C$22+AZ24*Premissas!$D$22+AZ25*Premissas!$E$22)</f>
        <v>-58713.3722033937</v>
      </c>
      <c r="BA40" s="21" t="n">
        <f aca="false">-(BA22*Premissas!$B$22+BA23*Premissas!$C$22+BA24*Premissas!$D$22+BA25*Premissas!$E$22)</f>
        <v>-62160.5046604215</v>
      </c>
      <c r="BB40" s="21" t="n">
        <f aca="false">-(BB22*Premissas!$B$22+BB23*Premissas!$C$22+BB24*Premissas!$D$22+BB25*Premissas!$E$22)</f>
        <v>-65569.6918103141</v>
      </c>
      <c r="BC40" s="21" t="n">
        <f aca="false">-(BC22*Premissas!$B$22+BC23*Premissas!$C$22+BC24*Premissas!$D$22+BC25*Premissas!$E$22)</f>
        <v>-68941.3845378297</v>
      </c>
      <c r="BD40" s="21" t="n">
        <f aca="false">-(BD22*Premissas!$B$22+BD23*Premissas!$C$22+BD24*Premissas!$D$22+BD25*Premissas!$E$22)</f>
        <v>-72276.0272508244</v>
      </c>
      <c r="BE40" s="21" t="n">
        <f aca="false">-(BE22*Premissas!$B$22+BE23*Premissas!$C$22+BE24*Premissas!$D$22+BE25*Premissas!$E$22)</f>
        <v>-75574.0580077407</v>
      </c>
      <c r="BF40" s="21" t="n">
        <f aca="false">-(BF22*Premissas!$B$22+BF23*Premissas!$C$22+BF24*Premissas!$D$22+BF25*Premissas!$E$22)</f>
        <v>-78835.9086417179</v>
      </c>
      <c r="BG40" s="21" t="n">
        <f aca="false">-(BG22*Premissas!$B$22+BG23*Premissas!$C$22+BG24*Premissas!$D$22+BG25*Premissas!$E$22)</f>
        <v>-82062.0048814296</v>
      </c>
      <c r="BH40" s="21" t="n">
        <f aca="false">-(BH22*Premissas!$B$22+BH23*Premissas!$C$22+BH24*Premissas!$D$22+BH25*Premissas!$E$22)</f>
        <v>-85252.7664687499</v>
      </c>
      <c r="BI40" s="21" t="n">
        <f aca="false">-(BI22*Premissas!$B$22+BI23*Premissas!$C$22+BI24*Premissas!$D$22+BI25*Premissas!$E$22)</f>
        <v>-88408.6072733462</v>
      </c>
      <c r="BJ40" s="21" t="n">
        <f aca="false">-(BJ22*Premissas!$B$22+BJ23*Premissas!$C$22+BJ24*Premissas!$D$22+BJ25*Premissas!$E$22)</f>
        <v>-91529.935404296</v>
      </c>
    </row>
    <row r="41" customFormat="false" ht="15" hidden="false" customHeight="false" outlineLevel="0" collapsed="false">
      <c r="A41" s="5" t="s">
        <v>242</v>
      </c>
      <c r="C41" s="21" t="n">
        <f aca="false">-(IFERROR(C22/Premissas!$B$23,0)+IFERROR(C23/Premissas!$C$23,0)+IFERROR(C24/Premissas!$D$23,0)+IFERROR(C25/Premissas!$E$23,0))*Premissas!$B$24*(1+Premissas!$B$10)</f>
        <v>-532.194444444445</v>
      </c>
      <c r="D41" s="21" t="n">
        <f aca="false">-(IFERROR(D22/Premissas!$B$23,0)+IFERROR(D23/Premissas!$C$23,0)+IFERROR(D24/Premissas!$D$23,0)+IFERROR(D25/Premissas!$E$23,0))*Premissas!$B$24*(1+Premissas!$B$10)</f>
        <v>-1056.40597222222</v>
      </c>
      <c r="E41" s="21" t="n">
        <f aca="false">-(IFERROR(E22/Premissas!$B$23,0)+IFERROR(E23/Premissas!$C$23,0)+IFERROR(E24/Premissas!$D$23,0)+IFERROR(E25/Premissas!$E$23,0))*Premissas!$B$24*(1+Premissas!$B$10)</f>
        <v>-1572.68780277778</v>
      </c>
      <c r="F41" s="21" t="n">
        <f aca="false">-(IFERROR(F22/Premissas!$B$23,0)+IFERROR(F23/Premissas!$C$23,0)+IFERROR(F24/Premissas!$D$23,0)+IFERROR(F25/Premissas!$E$23,0))*Premissas!$B$24*(1+Premissas!$B$10)</f>
        <v>-2081.09641524653</v>
      </c>
      <c r="G41" s="21" t="n">
        <f aca="false">-(IFERROR(G22/Premissas!$B$23,0)+IFERROR(G23/Premissas!$C$23,0)+IFERROR(G24/Premissas!$D$23,0)+IFERROR(G25/Premissas!$E$23,0))*Premissas!$B$24*(1+Premissas!$B$10)</f>
        <v>-2581.69130198231</v>
      </c>
      <c r="H41" s="21" t="n">
        <f aca="false">-(IFERROR(H22/Premissas!$B$23,0)+IFERROR(H23/Premissas!$C$23,0)+IFERROR(H24/Premissas!$D$23,0)+IFERROR(H25/Premissas!$E$23,0))*Premissas!$B$24*(1+Premissas!$B$10)</f>
        <v>-3074.53473486747</v>
      </c>
      <c r="I41" s="21" t="n">
        <f aca="false">-(IFERROR(I22/Premissas!$B$23,0)+IFERROR(I23/Premissas!$C$23,0)+IFERROR(I24/Premissas!$D$23,0)+IFERROR(I25/Premissas!$E$23,0))*Premissas!$B$24*(1+Premissas!$B$10)</f>
        <v>-3559.69154380036</v>
      </c>
      <c r="J41" s="21" t="n">
        <f aca="false">-(IFERROR(J22/Premissas!$B$23,0)+IFERROR(J23/Premissas!$C$23,0)+IFERROR(J24/Premissas!$D$23,0)+IFERROR(J25/Premissas!$E$23,0))*Premissas!$B$24*(1+Premissas!$B$10)</f>
        <v>-4037.22890678286</v>
      </c>
      <c r="K41" s="21" t="n">
        <f aca="false">-(IFERROR(K22/Premissas!$B$23,0)+IFERROR(K23/Premissas!$C$23,0)+IFERROR(K24/Premissas!$D$23,0)+IFERROR(K25/Premissas!$E$23,0))*Premissas!$B$24*(1+Premissas!$B$10)</f>
        <v>-4507.21615105756</v>
      </c>
      <c r="L41" s="21" t="n">
        <f aca="false">-(IFERROR(L22/Premissas!$B$23,0)+IFERROR(L23/Premissas!$C$23,0)+IFERROR(L24/Premissas!$D$23,0)+IFERROR(L25/Premissas!$E$23,0))*Premissas!$B$24*(1+Premissas!$B$10)</f>
        <v>-4969.72456476912</v>
      </c>
      <c r="M41" s="21" t="n">
        <f aca="false">-(IFERROR(M22/Premissas!$B$23,0)+IFERROR(M23/Premissas!$C$23,0)+IFERROR(M24/Premissas!$D$23,0)+IFERROR(M25/Premissas!$E$23,0))*Premissas!$B$24*(1+Premissas!$B$10)</f>
        <v>-5424.82721864939</v>
      </c>
      <c r="N41" s="21" t="n">
        <f aca="false">-(IFERROR(N22/Premissas!$B$23,0)+IFERROR(N23/Premissas!$C$23,0)+IFERROR(N24/Premissas!$D$23,0)+IFERROR(N25/Premissas!$E$23,0))*Premissas!$B$24*(1+Premissas!$B$10)</f>
        <v>-5872.59879724822</v>
      </c>
      <c r="O41" s="21" t="n">
        <f aca="false">-(IFERROR(O22/Premissas!$B$23,0)+IFERROR(O23/Premissas!$C$23,0)+IFERROR(O24/Premissas!$D$23,0)+IFERROR(O25/Premissas!$E$23,0))*Premissas!$B$24*(1+Premissas!$B$10)</f>
        <v>-8553.00689304309</v>
      </c>
      <c r="P41" s="21" t="n">
        <f aca="false">-(IFERROR(P22/Premissas!$B$23,0)+IFERROR(P23/Premissas!$C$23,0)+IFERROR(P24/Premissas!$D$23,0)+IFERROR(P25/Premissas!$E$23,0))*Premissas!$B$24*(1+Premissas!$B$10)</f>
        <v>-11199.7804545122</v>
      </c>
      <c r="Q41" s="21" t="n">
        <f aca="false">-(IFERROR(Q22/Premissas!$B$23,0)+IFERROR(Q23/Premissas!$C$23,0)+IFERROR(Q24/Premissas!$D$23,0)+IFERROR(Q25/Premissas!$E$23,0))*Premissas!$B$24*(1+Premissas!$B$10)</f>
        <v>-13813.0939675025</v>
      </c>
      <c r="R41" s="21" t="n">
        <f aca="false">-(IFERROR(R22/Premissas!$B$23,0)+IFERROR(R23/Premissas!$C$23,0)+IFERROR(R24/Premissas!$D$23,0)+IFERROR(R25/Premissas!$E$23,0))*Premissas!$B$24*(1+Premissas!$B$10)</f>
        <v>-16393.1329576029</v>
      </c>
      <c r="S41" s="21" t="n">
        <f aca="false">-(IFERROR(S22/Premissas!$B$23,0)+IFERROR(S23/Premissas!$C$23,0)+IFERROR(S24/Premissas!$D$23,0)+IFERROR(S25/Premissas!$E$23,0))*Premissas!$B$24*(1+Premissas!$B$10)</f>
        <v>-18940.0932790147</v>
      </c>
      <c r="T41" s="21" t="n">
        <f aca="false">-(IFERROR(T22/Premissas!$B$23,0)+IFERROR(T23/Premissas!$C$23,0)+IFERROR(T24/Premissas!$D$23,0)+IFERROR(T25/Premissas!$E$23,0))*Premissas!$B$24*(1+Premissas!$B$10)</f>
        <v>-21454.1804360727</v>
      </c>
      <c r="U41" s="21" t="n">
        <f aca="false">-(IFERROR(U22/Premissas!$B$23,0)+IFERROR(U23/Premissas!$C$23,0)+IFERROR(U24/Premissas!$D$23,0)+IFERROR(U25/Premissas!$E$23,0))*Premissas!$B$24*(1+Premissas!$B$10)</f>
        <v>-23935.6089360236</v>
      </c>
      <c r="V41" s="21" t="n">
        <f aca="false">-(IFERROR(V22/Premissas!$B$23,0)+IFERROR(V23/Premissas!$C$23,0)+IFERROR(V24/Premissas!$D$23,0)+IFERROR(V25/Premissas!$E$23,0))*Premissas!$B$24*(1+Premissas!$B$10)</f>
        <v>-26384.6016717267</v>
      </c>
      <c r="W41" s="21" t="n">
        <f aca="false">-(IFERROR(W22/Premissas!$B$23,0)+IFERROR(W23/Premissas!$C$23,0)+IFERROR(W24/Premissas!$D$23,0)+IFERROR(W25/Premissas!$E$23,0))*Premissas!$B$24*(1+Premissas!$B$10)</f>
        <v>-28801.3893329998</v>
      </c>
      <c r="X41" s="21" t="n">
        <f aca="false">-(IFERROR(X22/Premissas!$B$23,0)+IFERROR(X23/Premissas!$C$23,0)+IFERROR(X24/Premissas!$D$23,0)+IFERROR(X25/Premissas!$E$23,0))*Premissas!$B$24*(1+Premissas!$B$10)</f>
        <v>-31186.2098453844</v>
      </c>
      <c r="Y41" s="21" t="n">
        <f aca="false">-(IFERROR(Y22/Premissas!$B$23,0)+IFERROR(Y23/Premissas!$C$23,0)+IFERROR(Y24/Premissas!$D$23,0)+IFERROR(Y25/Premissas!$E$23,0))*Premissas!$B$24*(1+Premissas!$B$10)</f>
        <v>-33539.3078351589</v>
      </c>
      <c r="Z41" s="21" t="n">
        <f aca="false">-(IFERROR(Z22/Premissas!$B$23,0)+IFERROR(Z23/Premissas!$C$23,0)+IFERROR(Z24/Premissas!$D$23,0)+IFERROR(Z25/Premissas!$E$23,0))*Premissas!$B$24*(1+Premissas!$B$10)</f>
        <v>-35860.9341194752</v>
      </c>
      <c r="AA41" s="21" t="n">
        <f aca="false">-(IFERROR(AA22/Premissas!$B$23,0)+IFERROR(AA23/Premissas!$C$23,0)+IFERROR(AA24/Premissas!$D$23,0)+IFERROR(AA25/Premissas!$E$23,0))*Premissas!$B$24*(1+Premissas!$B$10)</f>
        <v>-44687.0981058402</v>
      </c>
      <c r="AB41" s="21" t="n">
        <f aca="false">-(IFERROR(AB22/Premissas!$B$23,0)+IFERROR(AB23/Premissas!$C$23,0)+IFERROR(AB24/Premissas!$D$23,0)+IFERROR(AB25/Premissas!$E$23,0))*Premissas!$B$24*(1+Premissas!$B$10)</f>
        <v>-53421.7306154072</v>
      </c>
      <c r="AC41" s="21" t="n">
        <f aca="false">-(IFERROR(AC22/Premissas!$B$23,0)+IFERROR(AC23/Premissas!$C$23,0)+IFERROR(AC24/Premissas!$D$23,0)+IFERROR(AC25/Premissas!$E$23,0))*Premissas!$B$24*(1+Premissas!$B$10)</f>
        <v>-62065.1449340785</v>
      </c>
      <c r="AD41" s="21" t="n">
        <f aca="false">-(IFERROR(AD22/Premissas!$B$23,0)+IFERROR(AD23/Premissas!$C$23,0)+IFERROR(AD24/Premissas!$D$23,0)+IFERROR(AD25/Premissas!$E$23,0))*Premissas!$B$24*(1+Premissas!$B$10)</f>
        <v>-70617.6806817308</v>
      </c>
      <c r="AE41" s="21" t="n">
        <f aca="false">-(IFERROR(AE22/Premissas!$B$23,0)+IFERROR(AE23/Premissas!$C$23,0)+IFERROR(AE24/Premissas!$D$23,0)+IFERROR(AE25/Premissas!$E$23,0))*Premissas!$B$24*(1+Premissas!$B$10)</f>
        <v>-79079.7024066542</v>
      </c>
      <c r="AF41" s="21" t="n">
        <f aca="false">-(IFERROR(AF22/Premissas!$B$23,0)+IFERROR(AF23/Premissas!$C$23,0)+IFERROR(AF24/Premissas!$D$23,0)+IFERROR(AF25/Premissas!$E$23,0))*Premissas!$B$24*(1+Premissas!$B$10)</f>
        <v>-87451.5982367186</v>
      </c>
      <c r="AG41" s="21" t="n">
        <f aca="false">-(IFERROR(AG22/Premissas!$B$23,0)+IFERROR(AG23/Premissas!$C$23,0)+IFERROR(AG24/Premissas!$D$23,0)+IFERROR(AG25/Premissas!$E$23,0))*Premissas!$B$24*(1+Premissas!$B$10)</f>
        <v>-95733.7785850913</v>
      </c>
      <c r="AH41" s="21" t="n">
        <f aca="false">-(IFERROR(AH22/Premissas!$B$23,0)+IFERROR(AH23/Premissas!$C$23,0)+IFERROR(AH24/Premissas!$D$23,0)+IFERROR(AH25/Premissas!$E$23,0))*Premissas!$B$24*(1+Premissas!$B$10)</f>
        <v>-103926.67490841</v>
      </c>
      <c r="AI41" s="21" t="n">
        <f aca="false">-(IFERROR(AI22/Premissas!$B$23,0)+IFERROR(AI23/Premissas!$C$23,0)+IFERROR(AI24/Premissas!$D$23,0)+IFERROR(AI25/Premissas!$E$23,0))*Premissas!$B$24*(1+Premissas!$B$10)</f>
        <v>-112030.738515401</v>
      </c>
      <c r="AJ41" s="21" t="n">
        <f aca="false">-(IFERROR(AJ22/Premissas!$B$23,0)+IFERROR(AJ23/Premissas!$C$23,0)+IFERROR(AJ24/Premissas!$D$23,0)+IFERROR(AJ25/Premissas!$E$23,0))*Premissas!$B$24*(1+Premissas!$B$10)</f>
        <v>-120046.439424004</v>
      </c>
      <c r="AK41" s="21" t="n">
        <f aca="false">-(IFERROR(AK22/Premissas!$B$23,0)+IFERROR(AK23/Premissas!$C$23,0)+IFERROR(AK24/Premissas!$D$23,0)+IFERROR(AK25/Premissas!$E$23,0))*Premissas!$B$24*(1+Premissas!$B$10)</f>
        <v>-127974.265265141</v>
      </c>
      <c r="AL41" s="21" t="n">
        <f aca="false">-(IFERROR(AL22/Premissas!$B$23,0)+IFERROR(AL23/Premissas!$C$23,0)+IFERROR(AL24/Premissas!$D$23,0)+IFERROR(AL25/Premissas!$E$23,0))*Premissas!$B$24*(1+Premissas!$B$10)</f>
        <v>-135814.72023135</v>
      </c>
      <c r="AM41" s="21" t="n">
        <f aca="false">-(IFERROR(AM22/Premissas!$B$23,0)+IFERROR(AM23/Premissas!$C$23,0)+IFERROR(AM24/Premissas!$D$23,0)+IFERROR(AM25/Premissas!$E$23,0))*Premissas!$B$24*(1+Premissas!$B$10)</f>
        <v>-152063.011538055</v>
      </c>
      <c r="AN41" s="21" t="n">
        <f aca="false">-(IFERROR(AN22/Premissas!$B$23,0)+IFERROR(AN23/Premissas!$C$23,0)+IFERROR(AN24/Premissas!$D$23,0)+IFERROR(AN25/Premissas!$E$23,0))*Premissas!$B$24*(1+Premissas!$B$10)</f>
        <v>-168168.444632727</v>
      </c>
      <c r="AO41" s="21" t="n">
        <f aca="false">-(IFERROR(AO22/Premissas!$B$23,0)+IFERROR(AO23/Premissas!$C$23,0)+IFERROR(AO24/Premissas!$D$23,0)+IFERROR(AO25/Premissas!$E$23,0))*Premissas!$B$24*(1+Premissas!$B$10)</f>
        <v>-184131.289450393</v>
      </c>
      <c r="AP41" s="21" t="n">
        <f aca="false">-(IFERROR(AP22/Premissas!$B$23,0)+IFERROR(AP23/Premissas!$C$23,0)+IFERROR(AP24/Premissas!$D$23,0)+IFERROR(AP25/Premissas!$E$23,0))*Premissas!$B$24*(1+Premissas!$B$10)</f>
        <v>-199951.854349628</v>
      </c>
      <c r="AQ41" s="21" t="n">
        <f aca="false">-(IFERROR(AQ22/Premissas!$B$23,0)+IFERROR(AQ23/Premissas!$C$23,0)+IFERROR(AQ24/Premissas!$D$23,0)+IFERROR(AQ25/Premissas!$E$23,0))*Premissas!$B$24*(1+Premissas!$B$10)</f>
        <v>-215630.48437243</v>
      </c>
      <c r="AR41" s="21" t="n">
        <f aca="false">-(IFERROR(AR22/Premissas!$B$23,0)+IFERROR(AR23/Premissas!$C$23,0)+IFERROR(AR24/Premissas!$D$23,0)+IFERROR(AR25/Premissas!$E$23,0))*Premissas!$B$24*(1+Premissas!$B$10)</f>
        <v>-231167.559566702</v>
      </c>
      <c r="AS41" s="21" t="n">
        <f aca="false">-(IFERROR(AS22/Premissas!$B$23,0)+IFERROR(AS23/Premissas!$C$23,0)+IFERROR(AS24/Premissas!$D$23,0)+IFERROR(AS25/Premissas!$E$23,0))*Premissas!$B$24*(1+Premissas!$B$10)</f>
        <v>-246563.493369151</v>
      </c>
      <c r="AT41" s="21" t="n">
        <f aca="false">-(IFERROR(AT22/Premissas!$B$23,0)+IFERROR(AT23/Premissas!$C$23,0)+IFERROR(AT24/Premissas!$D$23,0)+IFERROR(AT25/Premissas!$E$23,0))*Premissas!$B$24*(1+Premissas!$B$10)</f>
        <v>-261818.731046506</v>
      </c>
      <c r="AU41" s="21" t="n">
        <f aca="false">-(IFERROR(AU22/Premissas!$B$23,0)+IFERROR(AU23/Premissas!$C$23,0)+IFERROR(AU24/Premissas!$D$23,0)+IFERROR(AU25/Premissas!$E$23,0))*Premissas!$B$24*(1+Premissas!$B$10)</f>
        <v>-276933.748193027</v>
      </c>
      <c r="AV41" s="21" t="n">
        <f aca="false">-(IFERROR(AV22/Premissas!$B$23,0)+IFERROR(AV23/Premissas!$C$23,0)+IFERROR(AV24/Premissas!$D$23,0)+IFERROR(AV25/Premissas!$E$23,0))*Premissas!$B$24*(1+Premissas!$B$10)</f>
        <v>-291909.049282352</v>
      </c>
      <c r="AW41" s="21" t="n">
        <f aca="false">-(IFERROR(AW22/Premissas!$B$23,0)+IFERROR(AW23/Premissas!$C$23,0)+IFERROR(AW24/Premissas!$D$23,0)+IFERROR(AW25/Premissas!$E$23,0))*Premissas!$B$24*(1+Premissas!$B$10)</f>
        <v>-306745.16627179</v>
      </c>
      <c r="AX41" s="21" t="n">
        <f aca="false">-(IFERROR(AX22/Premissas!$B$23,0)+IFERROR(AX23/Premissas!$C$23,0)+IFERROR(AX24/Premissas!$D$23,0)+IFERROR(AX25/Premissas!$E$23,0))*Premissas!$B$24*(1+Premissas!$B$10)</f>
        <v>-321442.657257243</v>
      </c>
      <c r="AY41" s="21" t="n">
        <f aca="false">-(IFERROR(AY22/Premissas!$B$23,0)+IFERROR(AY23/Premissas!$C$23,0)+IFERROR(AY24/Premissas!$D$23,0)+IFERROR(AY25/Premissas!$E$23,0))*Premissas!$B$24*(1+Premissas!$B$10)</f>
        <v>-347632.875549529</v>
      </c>
      <c r="AZ41" s="21" t="n">
        <f aca="false">-(IFERROR(AZ22/Premissas!$B$23,0)+IFERROR(AZ23/Premissas!$C$23,0)+IFERROR(AZ24/Premissas!$D$23,0)+IFERROR(AZ25/Premissas!$E$23,0))*Premissas!$B$24*(1+Premissas!$B$10)</f>
        <v>-373624.175241661</v>
      </c>
      <c r="BA41" s="21" t="n">
        <f aca="false">-(IFERROR(BA22/Premissas!$B$23,0)+IFERROR(BA23/Premissas!$C$23,0)+IFERROR(BA24/Premissas!$D$23,0)+IFERROR(BA25/Premissas!$E$23,0))*Premissas!$B$24*(1+Premissas!$B$10)</f>
        <v>-399416.894765389</v>
      </c>
      <c r="BB41" s="21" t="n">
        <f aca="false">-(IFERROR(BB22/Premissas!$B$23,0)+IFERROR(BB23/Premissas!$C$23,0)+IFERROR(BB24/Premissas!$D$23,0)+IFERROR(BB25/Premissas!$E$23,0))*Premissas!$B$24*(1+Premissas!$B$10)</f>
        <v>-425011.41267035</v>
      </c>
      <c r="BC41" s="21" t="n">
        <f aca="false">-(IFERROR(BC22/Premissas!$B$23,0)+IFERROR(BC23/Premissas!$C$23,0)+IFERROR(BC24/Premissas!$D$23,0)+IFERROR(BC25/Premissas!$E$23,0))*Premissas!$B$24*(1+Premissas!$B$10)</f>
        <v>-450408.14601232</v>
      </c>
      <c r="BD41" s="21" t="n">
        <f aca="false">-(IFERROR(BD22/Premissas!$B$23,0)+IFERROR(BD23/Premissas!$C$23,0)+IFERROR(BD24/Premissas!$D$23,0)+IFERROR(BD25/Premissas!$E$23,0))*Premissas!$B$24*(1+Premissas!$B$10)</f>
        <v>-475607.548793477</v>
      </c>
      <c r="BE41" s="21" t="n">
        <f aca="false">-(IFERROR(BE22/Premissas!$B$23,0)+IFERROR(BE23/Premissas!$C$23,0)+IFERROR(BE24/Premissas!$D$23,0)+IFERROR(BE25/Premissas!$E$23,0))*Premissas!$B$24*(1+Premissas!$B$10)</f>
        <v>-500610.110453</v>
      </c>
      <c r="BF41" s="21" t="n">
        <f aca="false">-(IFERROR(BF22/Premissas!$B$23,0)+IFERROR(BF23/Premissas!$C$23,0)+IFERROR(BF24/Premissas!$D$23,0)+IFERROR(BF25/Premissas!$E$23,0))*Premissas!$B$24*(1+Premissas!$B$10)</f>
        <v>-525416.354406439</v>
      </c>
      <c r="BG41" s="21" t="n">
        <f aca="false">-(IFERROR(BG22/Premissas!$B$23,0)+IFERROR(BG23/Premissas!$C$23,0)+IFERROR(BG24/Premissas!$D$23,0)+IFERROR(BG25/Premissas!$E$23,0))*Premissas!$B$24*(1+Premissas!$B$10)</f>
        <v>-550026.836632308</v>
      </c>
      <c r="BH41" s="21" t="n">
        <f aca="false">-(IFERROR(BH22/Premissas!$B$23,0)+IFERROR(BH23/Premissas!$C$23,0)+IFERROR(BH24/Premissas!$D$23,0)+IFERROR(BH25/Premissas!$E$23,0))*Premissas!$B$24*(1+Premissas!$B$10)</f>
        <v>-574442.144304418</v>
      </c>
      <c r="BI41" s="21" t="n">
        <f aca="false">-(IFERROR(BI22/Premissas!$B$23,0)+IFERROR(BI23/Premissas!$C$23,0)+IFERROR(BI24/Premissas!$D$23,0)+IFERROR(BI25/Premissas!$E$23,0))*Premissas!$B$24*(1+Premissas!$B$10)</f>
        <v>-598662.894468514</v>
      </c>
      <c r="BJ41" s="21" t="n">
        <f aca="false">-(IFERROR(BJ22/Premissas!$B$23,0)+IFERROR(BJ23/Premissas!$C$23,0)+IFERROR(BJ24/Premissas!$D$23,0)+IFERROR(BJ25/Premissas!$E$23,0))*Premissas!$B$24*(1+Premissas!$B$10)</f>
        <v>-622689.732761814</v>
      </c>
    </row>
    <row r="42" customFormat="false" ht="15" hidden="false" customHeight="false" outlineLevel="0" collapsed="false">
      <c r="A42" s="5" t="s">
        <v>243</v>
      </c>
      <c r="C42" s="21" t="n">
        <f aca="false">-C35*Premissas!$B$9</f>
        <v>-602.755131805556</v>
      </c>
      <c r="D42" s="21" t="n">
        <f aca="false">-D35*Premissas!$B$9</f>
        <v>-983.51260734757</v>
      </c>
      <c r="E42" s="21" t="n">
        <f aca="false">-E35*Premissas!$B$9</f>
        <v>-1355.65076689903</v>
      </c>
      <c r="F42" s="21" t="n">
        <f aca="false">-F35*Premissas!$B$9</f>
        <v>-1719.37517825283</v>
      </c>
      <c r="G42" s="21" t="n">
        <f aca="false">-G35*Premissas!$B$9</f>
        <v>-2074.88604456672</v>
      </c>
      <c r="H42" s="21" t="n">
        <f aca="false">-H35*Premissas!$B$9</f>
        <v>-2422.3783638414</v>
      </c>
      <c r="I42" s="21" t="n">
        <f aca="false">-I35*Premissas!$B$9</f>
        <v>-2762.04208290418</v>
      </c>
      <c r="J42" s="21" t="n">
        <f aca="false">-J35*Premissas!$B$9</f>
        <v>-3094.06224611353</v>
      </c>
      <c r="K42" s="21" t="n">
        <f aca="false">-K35*Premissas!$B$9</f>
        <v>-3418.61913898991</v>
      </c>
      <c r="L42" s="21" t="n">
        <f aca="false">-L35*Premissas!$B$9</f>
        <v>-3735.88842697014</v>
      </c>
      <c r="M42" s="21" t="n">
        <f aca="false">-M35*Premissas!$B$9</f>
        <v>-4046.04128947385</v>
      </c>
      <c r="N42" s="21" t="n">
        <f aca="false">-N35*Premissas!$B$9</f>
        <v>-4349.24454946278</v>
      </c>
      <c r="O42" s="21" t="n">
        <f aca="false">-O35*Premissas!$B$9</f>
        <v>-6403.32627710123</v>
      </c>
      <c r="P42" s="21" t="n">
        <f aca="false">-P35*Premissas!$B$9</f>
        <v>-7718.40065926037</v>
      </c>
      <c r="Q42" s="21" t="n">
        <f aca="false">-Q35*Premissas!$B$9</f>
        <v>-9009.83267609783</v>
      </c>
      <c r="R42" s="21" t="n">
        <f aca="false">-R35*Premissas!$B$9</f>
        <v>-10278.0603240837</v>
      </c>
      <c r="S42" s="21" t="n">
        <f aca="false">-S35*Premissas!$B$9</f>
        <v>-11523.5129475174</v>
      </c>
      <c r="T42" s="21" t="n">
        <f aca="false">-T35*Premissas!$B$9</f>
        <v>-12746.6114315064</v>
      </c>
      <c r="U42" s="21" t="n">
        <f aca="false">-U35*Premissas!$B$9</f>
        <v>-13947.7683897852</v>
      </c>
      <c r="V42" s="21" t="n">
        <f aca="false">-V35*Premissas!$B$9</f>
        <v>-15127.3883475432</v>
      </c>
      <c r="W42" s="21" t="n">
        <f aca="false">-W35*Premissas!$B$9</f>
        <v>-16285.8679194212</v>
      </c>
      <c r="X42" s="21" t="n">
        <f aca="false">-X35*Premissas!$B$9</f>
        <v>-17423.5959828327</v>
      </c>
      <c r="Y42" s="21" t="n">
        <f aca="false">-Y35*Premissas!$B$9</f>
        <v>-18540.9538467589</v>
      </c>
      <c r="Z42" s="21" t="n">
        <f aca="false">-Z35*Premissas!$B$9</f>
        <v>-19638.3154161605</v>
      </c>
      <c r="AA42" s="21" t="n">
        <f aca="false">-AA35*Premissas!$B$9</f>
        <v>-25255.6334205512</v>
      </c>
      <c r="AB42" s="21" t="n">
        <f aca="false">-AB35*Premissas!$B$9</f>
        <v>-28815.8205937777</v>
      </c>
      <c r="AC42" s="21" t="n">
        <f aca="false">-AC35*Premissas!$B$9</f>
        <v>-32325.490344963</v>
      </c>
      <c r="AD42" s="21" t="n">
        <f aca="false">-AD35*Premissas!$B$9</f>
        <v>-35785.3497693052</v>
      </c>
      <c r="AE42" s="21" t="n">
        <f aca="false">-AE35*Premissas!$B$9</f>
        <v>-39196.0963086433</v>
      </c>
      <c r="AF42" s="21" t="n">
        <f aca="false">-AF35*Premissas!$B$9</f>
        <v>-42558.4178766893</v>
      </c>
      <c r="AG42" s="21" t="n">
        <f aca="false">-AG35*Premissas!$B$9</f>
        <v>-45872.9929828296</v>
      </c>
      <c r="AH42" s="21" t="n">
        <f aca="false">-AH35*Premissas!$B$9</f>
        <v>-49140.4908545044</v>
      </c>
      <c r="AI42" s="21" t="n">
        <f aca="false">-AI35*Premissas!$B$9</f>
        <v>-52361.5715581764</v>
      </c>
      <c r="AJ42" s="21" t="n">
        <f aca="false">-AJ35*Premissas!$B$9</f>
        <v>-55536.8861188979</v>
      </c>
      <c r="AK42" s="21" t="n">
        <f aca="false">-AK35*Premissas!$B$9</f>
        <v>-58667.0766384885</v>
      </c>
      <c r="AL42" s="21" t="n">
        <f aca="false">-AL35*Premissas!$B$9</f>
        <v>-61752.7764123313</v>
      </c>
      <c r="AM42" s="21" t="n">
        <f aca="false">-AM35*Premissas!$B$9</f>
        <v>-71067.5478004832</v>
      </c>
      <c r="AN42" s="21" t="n">
        <f aca="false">-AN35*Premissas!$B$9</f>
        <v>-77363.934744976</v>
      </c>
      <c r="AO42" s="21" t="n">
        <f aca="false">-AO35*Premissas!$B$9</f>
        <v>-83585.4093457764</v>
      </c>
      <c r="AP42" s="21" t="n">
        <f aca="false">-AP35*Premissas!$B$9</f>
        <v>-89732.818794262</v>
      </c>
      <c r="AQ42" s="21" t="n">
        <f aca="false">-AQ35*Premissas!$B$9</f>
        <v>-95807.0019692126</v>
      </c>
      <c r="AR42" s="21" t="n">
        <f aca="false">-AR35*Premissas!$B$9</f>
        <v>-101808.789476726</v>
      </c>
      <c r="AS42" s="21" t="n">
        <f aca="false">-AS35*Premissas!$B$9</f>
        <v>-107739.003691602</v>
      </c>
      <c r="AT42" s="21" t="n">
        <f aca="false">-AT35*Premissas!$B$9</f>
        <v>-113598.458800117</v>
      </c>
      <c r="AU42" s="21" t="n">
        <f aca="false">-AU35*Premissas!$B$9</f>
        <v>-119387.960844097</v>
      </c>
      <c r="AV42" s="21" t="n">
        <f aca="false">-AV35*Premissas!$B$9</f>
        <v>-125108.307766226</v>
      </c>
      <c r="AW42" s="21" t="n">
        <f aca="false">-AW35*Premissas!$B$9</f>
        <v>-130760.289456502</v>
      </c>
      <c r="AX42" s="21" t="n">
        <f aca="false">-AX35*Premissas!$B$9</f>
        <v>-136344.687799789</v>
      </c>
      <c r="AY42" s="21" t="n">
        <f aca="false">-AY35*Premissas!$B$9</f>
        <v>-150624.023905517</v>
      </c>
      <c r="AZ42" s="21" t="n">
        <f aca="false">-AZ35*Premissas!$B$9</f>
        <v>-160184.849291137</v>
      </c>
      <c r="BA42" s="21" t="n">
        <f aca="false">-BA35*Premissas!$B$9</f>
        <v>-169651.637923374</v>
      </c>
      <c r="BB42" s="21" t="n">
        <f aca="false">-BB35*Premissas!$B$9</f>
        <v>-179025.229689923</v>
      </c>
      <c r="BC42" s="21" t="n">
        <f aca="false">-BC35*Premissas!$B$9</f>
        <v>-188306.459275342</v>
      </c>
      <c r="BD42" s="21" t="n">
        <f aca="false">-BD35*Premissas!$B$9</f>
        <v>-197496.156119243</v>
      </c>
      <c r="BE42" s="21" t="n">
        <f aca="false">-BE35*Premissas!$B$9</f>
        <v>-206595.144377716</v>
      </c>
      <c r="BF42" s="21" t="n">
        <f aca="false">-BF35*Premissas!$B$9</f>
        <v>-215604.24288787</v>
      </c>
      <c r="BG42" s="21" t="n">
        <f aca="false">-BG35*Premissas!$B$9</f>
        <v>-224524.26513537</v>
      </c>
      <c r="BH42" s="21" t="n">
        <f aca="false">-BH35*Premissas!$B$9</f>
        <v>-233356.019224862</v>
      </c>
      <c r="BI42" s="21" t="n">
        <f aca="false">-BI35*Premissas!$B$9</f>
        <v>-242100.307853174</v>
      </c>
      <c r="BJ42" s="21" t="n">
        <f aca="false">-BJ35*Premissas!$B$9</f>
        <v>-250757.928285189</v>
      </c>
    </row>
    <row r="43" customFormat="false" ht="15" hidden="false" customHeight="false" outlineLevel="0" collapsed="false">
      <c r="A43" s="18" t="s">
        <v>244</v>
      </c>
      <c r="C43" s="30" t="n">
        <f aca="false">SUM(C39:C42)</f>
        <v>-2094.86735402778</v>
      </c>
      <c r="D43" s="30" t="n">
        <f aca="false">SUM(D39:D42)</f>
        <v>-3937.3500906809</v>
      </c>
      <c r="E43" s="30" t="n">
        <f aca="false">SUM(E39:E42)</f>
        <v>-5741.44190117681</v>
      </c>
      <c r="F43" s="30" t="n">
        <f aca="false">SUM(F39:F42)</f>
        <v>-7507.9511750763</v>
      </c>
      <c r="G43" s="30" t="n">
        <f aca="false">SUM(G39:G42)</f>
        <v>-9237.66867288509</v>
      </c>
      <c r="H43" s="30" t="n">
        <f aca="false">SUM(H39:H42)</f>
        <v>-10931.3679440708</v>
      </c>
      <c r="I43" s="30" t="n">
        <f aca="false">SUM(I39:I42)</f>
        <v>-12589.8057335461</v>
      </c>
      <c r="J43" s="30" t="n">
        <f aca="false">SUM(J39:J42)</f>
        <v>-14213.7223770039</v>
      </c>
      <c r="K43" s="30" t="n">
        <f aca="false">SUM(K39:K42)</f>
        <v>-15803.8421854767</v>
      </c>
      <c r="L43" s="30" t="n">
        <f aca="false">SUM(L39:L42)</f>
        <v>-17360.8738194757</v>
      </c>
      <c r="M43" s="30" t="n">
        <f aca="false">SUM(M39:M42)</f>
        <v>-18885.510653052</v>
      </c>
      <c r="N43" s="30" t="n">
        <f aca="false">SUM(N39:N42)</f>
        <v>-20378.4311281098</v>
      </c>
      <c r="O43" s="30" t="n">
        <f aca="false">SUM(O39:O42)</f>
        <v>-28217.5512349042</v>
      </c>
      <c r="P43" s="30" t="n">
        <f aca="false">SUM(P39:P42)</f>
        <v>-35226.2227967385</v>
      </c>
      <c r="Q43" s="30" t="n">
        <f aca="false">SUM(Q39:Q42)</f>
        <v>-42121.1275651254</v>
      </c>
      <c r="R43" s="30" t="n">
        <f aca="false">SUM(R39:R42)</f>
        <v>-48904.0061323979</v>
      </c>
      <c r="S43" s="30" t="n">
        <f aca="false">SUM(S39:S42)</f>
        <v>-55576.5762105484</v>
      </c>
      <c r="T43" s="30" t="n">
        <f aca="false">SUM(T39:T42)</f>
        <v>-62140.532783431</v>
      </c>
      <c r="U43" s="30" t="n">
        <f aca="false">SUM(U39:U42)</f>
        <v>-68597.548265073</v>
      </c>
      <c r="V43" s="30" t="n">
        <f aca="false">SUM(V39:V42)</f>
        <v>-74949.2726636572</v>
      </c>
      <c r="W43" s="30" t="n">
        <f aca="false">SUM(W39:W42)</f>
        <v>-81197.3337507576</v>
      </c>
      <c r="X43" s="30" t="n">
        <f aca="false">SUM(X39:X42)</f>
        <v>-87343.3372354318</v>
      </c>
      <c r="Y43" s="30" t="n">
        <f aca="false">SUM(Y39:Y42)</f>
        <v>-93388.8669427913</v>
      </c>
      <c r="Z43" s="30" t="n">
        <f aca="false">SUM(Z39:Z42)</f>
        <v>-99335.4849966899</v>
      </c>
      <c r="AA43" s="30" t="n">
        <f aca="false">SUM(AA39:AA42)</f>
        <v>-121696.188001719</v>
      </c>
      <c r="AB43" s="30" t="n">
        <f aca="false">SUM(AB39:AB42)</f>
        <v>-141791.643085191</v>
      </c>
      <c r="AC43" s="30" t="n">
        <f aca="false">SUM(AC39:AC42)</f>
        <v>-161630.544575817</v>
      </c>
      <c r="AD43" s="30" t="n">
        <f aca="false">SUM(AD39:AD42)</f>
        <v>-181215.67790866</v>
      </c>
      <c r="AE43" s="30" t="n">
        <f aca="false">SUM(AE39:AE42)</f>
        <v>-200549.815436558</v>
      </c>
      <c r="AF43" s="30" t="n">
        <f aca="false">SUM(AF39:AF42)</f>
        <v>-219635.715749225</v>
      </c>
      <c r="AG43" s="30" t="n">
        <f aca="false">SUM(AG39:AG42)</f>
        <v>-238476.123032175</v>
      </c>
      <c r="AH43" s="30" t="n">
        <f aca="false">SUM(AH39:AH42)</f>
        <v>-257073.766463809</v>
      </c>
      <c r="AI43" s="30" t="n">
        <f aca="false">SUM(AI39:AI42)</f>
        <v>-275431.359649055</v>
      </c>
      <c r="AJ43" s="30" t="n">
        <f aca="false">SUM(AJ39:AJ42)</f>
        <v>-293551.600088025</v>
      </c>
      <c r="AK43" s="30" t="n">
        <f aca="false">SUM(AK39:AK42)</f>
        <v>-311437.168678202</v>
      </c>
      <c r="AL43" s="30" t="n">
        <f aca="false">SUM(AL39:AL42)</f>
        <v>-329090.729248745</v>
      </c>
      <c r="AM43" s="30" t="n">
        <f aca="false">SUM(AM39:AM42)</f>
        <v>-368264.791402913</v>
      </c>
      <c r="AN43" s="30" t="n">
        <f aca="false">SUM(AN39:AN42)</f>
        <v>-404109.517507584</v>
      </c>
      <c r="AO43" s="30" t="n">
        <f aca="false">SUM(AO39:AO42)</f>
        <v>-439570.730977004</v>
      </c>
      <c r="AP43" s="30" t="n">
        <f aca="false">SUM(AP39:AP42)</f>
        <v>-474651.642264722</v>
      </c>
      <c r="AQ43" s="30" t="n">
        <f aca="false">SUM(AQ39:AQ42)</f>
        <v>-509355.46409192</v>
      </c>
      <c r="AR43" s="30" t="n">
        <f aca="false">SUM(AR39:AR42)</f>
        <v>-543685.410175572</v>
      </c>
      <c r="AS43" s="30" t="n">
        <f aca="false">SUM(AS39:AS42)</f>
        <v>-577644.694011972</v>
      </c>
      <c r="AT43" s="30" t="n">
        <f aca="false">SUM(AT39:AT42)</f>
        <v>-611236.527713607</v>
      </c>
      <c r="AU43" s="30" t="n">
        <f aca="false">SUM(AU39:AU42)</f>
        <v>-644464.120897429</v>
      </c>
      <c r="AV43" s="30" t="n">
        <f aca="false">SUM(AV39:AV42)</f>
        <v>-677330.679622648</v>
      </c>
      <c r="AW43" s="30" t="n">
        <f aca="false">SUM(AW39:AW42)</f>
        <v>-709839.405376226</v>
      </c>
      <c r="AX43" s="30" t="n">
        <f aca="false">SUM(AX39:AX42)</f>
        <v>-741993.494104327</v>
      </c>
      <c r="AY43" s="30" t="n">
        <f aca="false">SUM(AY39:AY42)</f>
        <v>-802526.619103813</v>
      </c>
      <c r="AZ43" s="30" t="n">
        <f aca="false">SUM(AZ39:AZ42)</f>
        <v>-857938.115839106</v>
      </c>
      <c r="BA43" s="30" t="n">
        <f aca="false">SUM(BA39:BA42)</f>
        <v>-912854.801676775</v>
      </c>
      <c r="BB43" s="30" t="n">
        <f aca="false">SUM(BB39:BB42)</f>
        <v>-967279.881840244</v>
      </c>
      <c r="BC43" s="30" t="n">
        <f aca="false">SUM(BC39:BC42)</f>
        <v>-1021216.57680448</v>
      </c>
      <c r="BD43" s="30" t="n">
        <f aca="false">SUM(BD39:BD42)</f>
        <v>-1074668.12082494</v>
      </c>
      <c r="BE43" s="30" t="n">
        <f aca="false">SUM(BE39:BE42)</f>
        <v>-1127637.76052007</v>
      </c>
      <c r="BF43" s="30" t="n">
        <f aca="false">SUM(BF39:BF42)</f>
        <v>-1180128.75350561</v>
      </c>
      <c r="BG43" s="30" t="n">
        <f aca="false">SUM(BG39:BG42)</f>
        <v>-1232144.36707891</v>
      </c>
      <c r="BH43" s="30" t="n">
        <f aca="false">SUM(BH39:BH42)</f>
        <v>-1283687.87695189</v>
      </c>
      <c r="BI43" s="30" t="n">
        <f aca="false">SUM(BI39:BI42)</f>
        <v>-1334762.56603077</v>
      </c>
      <c r="BJ43" s="30" t="n">
        <f aca="false">SUM(BJ39:BJ42)</f>
        <v>-1385371.72324126</v>
      </c>
    </row>
    <row r="44" customFormat="false" ht="15" hidden="false" customHeight="false" outlineLevel="0" collapsed="false">
      <c r="A44" s="18" t="s">
        <v>130</v>
      </c>
      <c r="C44" s="30" t="n">
        <f aca="false">C37+C43</f>
        <v>13232.3345690278</v>
      </c>
      <c r="D44" s="30" t="n">
        <f aca="false">D37+D43</f>
        <v>21071.9704961573</v>
      </c>
      <c r="E44" s="30" t="n">
        <f aca="false">E37+E43</f>
        <v>28730.8204571128</v>
      </c>
      <c r="F44" s="30" t="n">
        <f aca="false">F37+F43</f>
        <v>36213.3033576384</v>
      </c>
      <c r="G44" s="30" t="n">
        <f aca="false">G37+G43</f>
        <v>43523.7193175259</v>
      </c>
      <c r="H44" s="30" t="n">
        <f aca="false">H37+H43</f>
        <v>50666.2533078961</v>
      </c>
      <c r="I44" s="30" t="n">
        <f aca="false">I37+I43</f>
        <v>57644.9786603031</v>
      </c>
      <c r="J44" s="30" t="n">
        <f aca="false">J37+J43</f>
        <v>64463.8604527403</v>
      </c>
      <c r="K44" s="30" t="n">
        <f aca="false">K37+K43</f>
        <v>71126.7587774097</v>
      </c>
      <c r="L44" s="30" t="n">
        <f aca="false">L37+L43</f>
        <v>77637.4318949078</v>
      </c>
      <c r="M44" s="30" t="n">
        <f aca="false">M37+M43</f>
        <v>83999.5392792832</v>
      </c>
      <c r="N44" s="30" t="n">
        <f aca="false">N37+N43</f>
        <v>90216.6445582295</v>
      </c>
      <c r="O44" s="30" t="n">
        <f aca="false">O37+O43</f>
        <v>134609.888382813</v>
      </c>
      <c r="P44" s="30" t="n">
        <f aca="false">P37+P43</f>
        <v>161041.679681597</v>
      </c>
      <c r="Q44" s="30" t="n">
        <f aca="false">Q37+Q43</f>
        <v>186986.046198505</v>
      </c>
      <c r="R44" s="30" t="n">
        <f aca="false">R37+R43</f>
        <v>212452.38496573</v>
      </c>
      <c r="S44" s="30" t="n">
        <f aca="false">S37+S43</f>
        <v>237449.895883465</v>
      </c>
      <c r="T44" s="30" t="n">
        <f aca="false">T37+T43</f>
        <v>261987.586474874</v>
      </c>
      <c r="U44" s="30" t="n">
        <f aca="false">U37+U43</f>
        <v>286074.276503752</v>
      </c>
      <c r="V44" s="30" t="n">
        <f aca="false">V37+V43</f>
        <v>309718.602459584</v>
      </c>
      <c r="W44" s="30" t="n">
        <f aca="false">W37+W43</f>
        <v>332929.021914524</v>
      </c>
      <c r="X44" s="30" t="n">
        <f aca="false">X37+X43</f>
        <v>355713.817756599</v>
      </c>
      <c r="Y44" s="30" t="n">
        <f aca="false">Y37+Y43</f>
        <v>378081.102303362</v>
      </c>
      <c r="Z44" s="30" t="n">
        <f aca="false">Z37+Z43</f>
        <v>400038.821299962</v>
      </c>
      <c r="AA44" s="30" t="n">
        <f aca="false">AA37+AA43</f>
        <v>520518.490406584</v>
      </c>
      <c r="AB44" s="30" t="n">
        <f aca="false">AB37+AB43</f>
        <v>590953.509156585</v>
      </c>
      <c r="AC44" s="30" t="n">
        <f aca="false">AC37+AC43</f>
        <v>660360.495624671</v>
      </c>
      <c r="AD44" s="30" t="n">
        <f aca="false">AD37+AD43</f>
        <v>728754.64479653</v>
      </c>
      <c r="AE44" s="30" t="n">
        <f aca="false">AE37+AE43</f>
        <v>796150.919268943</v>
      </c>
      <c r="AF44" s="30" t="n">
        <f aca="false">AF37+AF43</f>
        <v>862564.05311516</v>
      </c>
      <c r="AG44" s="30" t="n">
        <f aca="false">AG37+AG43</f>
        <v>928008.555674063</v>
      </c>
      <c r="AH44" s="30" t="n">
        <f aca="false">AH37+AH43</f>
        <v>992498.715265018</v>
      </c>
      <c r="AI44" s="30" t="n">
        <f aca="false">AI37+AI43</f>
        <v>1056048.60283029</v>
      </c>
      <c r="AJ44" s="30" t="n">
        <f aca="false">AJ37+AJ43</f>
        <v>1118672.07550681</v>
      </c>
      <c r="AK44" s="30" t="n">
        <f aca="false">AK37+AK43</f>
        <v>1180382.78012908</v>
      </c>
      <c r="AL44" s="30" t="n">
        <f aca="false">AL37+AL43</f>
        <v>1241194.15666482</v>
      </c>
      <c r="AM44" s="30" t="n">
        <f aca="false">AM37+AM43</f>
        <v>1330655.70130178</v>
      </c>
      <c r="AN44" s="30" t="n">
        <f aca="false">AN37+AN43</f>
        <v>1445330.60252446</v>
      </c>
      <c r="AO44" s="30" t="n">
        <f aca="false">AO37+AO43</f>
        <v>1558598.1832976</v>
      </c>
      <c r="AP44" s="30" t="n">
        <f aca="false">AP37+AP43</f>
        <v>1670475.48588268</v>
      </c>
      <c r="AQ44" s="30" t="n">
        <f aca="false">AQ37+AQ43</f>
        <v>1780979.35155494</v>
      </c>
      <c r="AR44" s="30" t="n">
        <f aca="false">AR37+AR43</f>
        <v>1890126.42282947</v>
      </c>
      <c r="AS44" s="30" t="n">
        <f aca="false">AS37+AS43</f>
        <v>1997933.14566698</v>
      </c>
      <c r="AT44" s="30" t="n">
        <f aca="false">AT37+AT43</f>
        <v>2104415.77165948</v>
      </c>
      <c r="AU44" s="30" t="n">
        <f aca="false">AU37+AU43</f>
        <v>2209590.36019561</v>
      </c>
      <c r="AV44" s="30" t="n">
        <f aca="false">AV37+AV43</f>
        <v>2313472.78060595</v>
      </c>
      <c r="AW44" s="30" t="n">
        <f aca="false">AW37+AW43</f>
        <v>2416078.71428821</v>
      </c>
      <c r="AX44" s="30" t="n">
        <f aca="false">AX37+AX43</f>
        <v>2517423.65681234</v>
      </c>
      <c r="AY44" s="30" t="n">
        <f aca="false">AY37+AY43</f>
        <v>2798248.26094608</v>
      </c>
      <c r="AZ44" s="30" t="n">
        <f aca="false">AZ37+AZ43</f>
        <v>2971395.12421501</v>
      </c>
      <c r="BA44" s="30" t="n">
        <f aca="false">BA37+BA43</f>
        <v>3142788.78262284</v>
      </c>
      <c r="BB44" s="30" t="n">
        <f aca="false">BB37+BB43</f>
        <v>3312446.10906142</v>
      </c>
      <c r="BC44" s="30" t="n">
        <f aca="false">BC37+BC43</f>
        <v>3480383.83678634</v>
      </c>
      <c r="BD44" s="30" t="n">
        <f aca="false">BD37+BD43</f>
        <v>3646618.55988851</v>
      </c>
      <c r="BE44" s="30" t="n">
        <f aca="false">BE37+BE43</f>
        <v>3811166.7337895</v>
      </c>
      <c r="BF44" s="30" t="n">
        <f aca="false">BF37+BF43</f>
        <v>3974044.67575956</v>
      </c>
      <c r="BG44" s="30" t="n">
        <f aca="false">BG37+BG43</f>
        <v>4135268.56545721</v>
      </c>
      <c r="BH44" s="30" t="n">
        <f aca="false">BH37+BH43</f>
        <v>4294854.44548931</v>
      </c>
      <c r="BI44" s="30" t="n">
        <f aca="false">BI37+BI43</f>
        <v>4452818.22199067</v>
      </c>
      <c r="BJ44" s="30" t="n">
        <f aca="false">BJ37+BJ43</f>
        <v>4609175.66522211</v>
      </c>
    </row>
    <row r="45" customFormat="false" ht="15" hidden="false" customHeight="false" outlineLevel="0" collapsed="false">
      <c r="A45" s="5" t="s">
        <v>245</v>
      </c>
      <c r="C45" s="15" t="n">
        <f aca="false">IFERROR(C44/C37,0)</f>
        <v>0.863323562608213</v>
      </c>
      <c r="D45" s="15" t="n">
        <f aca="false">IFERROR(D44/D37,0)</f>
        <v>0.842564691951167</v>
      </c>
      <c r="E45" s="15" t="n">
        <f aca="false">IFERROR(E44/E37,0)</f>
        <v>0.833447487678564</v>
      </c>
      <c r="F45" s="15" t="n">
        <f aca="false">IFERROR(F44/F37,0)</f>
        <v>0.828276858582399</v>
      </c>
      <c r="G45" s="15" t="n">
        <f aca="false">IFERROR(G44/G37,0)</f>
        <v>0.824916117169549</v>
      </c>
      <c r="H45" s="15" t="n">
        <f aca="false">IFERROR(H44/H37,0)</f>
        <v>0.822535875219016</v>
      </c>
      <c r="I45" s="15" t="n">
        <f aca="false">IFERROR(I44/I37,0)</f>
        <v>0.820746858665539</v>
      </c>
      <c r="J45" s="15" t="n">
        <f aca="false">IFERROR(J44/J37,0)</f>
        <v>0.819342157374587</v>
      </c>
      <c r="K45" s="15" t="n">
        <f aca="false">IFERROR(K44/K37,0)</f>
        <v>0.818201622783858</v>
      </c>
      <c r="L45" s="15" t="n">
        <f aca="false">IFERROR(L44/L37,0)</f>
        <v>0.817250700536998</v>
      </c>
      <c r="M45" s="15" t="n">
        <f aca="false">IFERROR(M44/M37,0)</f>
        <v>0.816440671745093</v>
      </c>
      <c r="N45" s="15" t="n">
        <f aca="false">IFERROR(N44/N37,0)</f>
        <v>0.815738349997559</v>
      </c>
      <c r="O45" s="15" t="n">
        <f aca="false">IFERROR(O44/O37,0)</f>
        <v>0.826702727125398</v>
      </c>
      <c r="P45" s="15" t="n">
        <f aca="false">IFERROR(P44/P37,0)</f>
        <v>0.820519696028102</v>
      </c>
      <c r="Q45" s="15" t="n">
        <f aca="false">IFERROR(Q44/Q37,0)</f>
        <v>0.81615098788403</v>
      </c>
      <c r="R45" s="15" t="n">
        <f aca="false">IFERROR(R44/R37,0)</f>
        <v>0.812883832964939</v>
      </c>
      <c r="S45" s="15" t="n">
        <f aca="false">IFERROR(S44/S37,0)</f>
        <v>0.810335988372008</v>
      </c>
      <c r="T45" s="15" t="n">
        <f aca="false">IFERROR(T44/T37,0)</f>
        <v>0.80828404235453</v>
      </c>
      <c r="U45" s="15" t="n">
        <f aca="false">IFERROR(U44/U37,0)</f>
        <v>0.806588673036588</v>
      </c>
      <c r="V45" s="15" t="n">
        <f aca="false">IFERROR(V44/V37,0)</f>
        <v>0.805158482133075</v>
      </c>
      <c r="W45" s="15" t="n">
        <f aca="false">IFERROR(W44/W37,0)</f>
        <v>0.803931016125944</v>
      </c>
      <c r="X45" s="15" t="n">
        <f aca="false">IFERROR(X44/X37,0)</f>
        <v>0.802862144869317</v>
      </c>
      <c r="Y45" s="15" t="n">
        <f aca="false">IFERROR(Y44/Y37,0)</f>
        <v>0.801919797580929</v>
      </c>
      <c r="Z45" s="15" t="n">
        <f aca="false">IFERROR(Z44/Z37,0)</f>
        <v>0.801080104154017</v>
      </c>
      <c r="AA45" s="15" t="n">
        <f aca="false">IFERROR(AA44/AA37,0)</f>
        <v>0.810505439857998</v>
      </c>
      <c r="AB45" s="15" t="n">
        <f aca="false">IFERROR(AB44/AB37,0)</f>
        <v>0.806492553855333</v>
      </c>
      <c r="AC45" s="15" t="n">
        <f aca="false">IFERROR(AC44/AC37,0)</f>
        <v>0.803367023883381</v>
      </c>
      <c r="AD45" s="15" t="n">
        <f aca="false">IFERROR(AD44/AD37,0)</f>
        <v>0.800855397822277</v>
      </c>
      <c r="AE45" s="15" t="n">
        <f aca="false">IFERROR(AE44/AE37,0)</f>
        <v>0.798786327276246</v>
      </c>
      <c r="AF45" s="15" t="n">
        <f aca="false">IFERROR(AF44/AF37,0)</f>
        <v>0.797046975920443</v>
      </c>
      <c r="AG45" s="15" t="n">
        <f aca="false">IFERROR(AG44/AG37,0)</f>
        <v>0.795560004014222</v>
      </c>
      <c r="AH45" s="15" t="n">
        <f aca="false">IFERROR(AH44/AH37,0)</f>
        <v>0.794270624375356</v>
      </c>
      <c r="AI45" s="15" t="n">
        <f aca="false">IFERROR(AI44/AI37,0)</f>
        <v>0.793138937565252</v>
      </c>
      <c r="AJ45" s="15" t="n">
        <f aca="false">IFERROR(AJ44/AJ37,0)</f>
        <v>0.792135194189844</v>
      </c>
      <c r="AK45" s="15" t="n">
        <f aca="false">IFERROR(AK44/AK37,0)</f>
        <v>0.791236758211205</v>
      </c>
      <c r="AL45" s="15" t="n">
        <f aca="false">IFERROR(AL44/AL37,0)</f>
        <v>0.790426098983125</v>
      </c>
      <c r="AM45" s="15" t="n">
        <f aca="false">IFERROR(AM44/AM37,0)</f>
        <v>0.783236006049564</v>
      </c>
      <c r="AN45" s="15" t="n">
        <f aca="false">IFERROR(AN44/AN37,0)</f>
        <v>0.781496295483964</v>
      </c>
      <c r="AO45" s="15" t="n">
        <f aca="false">IFERROR(AO44/AO37,0)</f>
        <v>0.780013227191765</v>
      </c>
      <c r="AP45" s="15" t="n">
        <f aca="false">IFERROR(AP44/AP37,0)</f>
        <v>0.778730297129455</v>
      </c>
      <c r="AQ45" s="15" t="n">
        <f aca="false">IFERROR(AQ44/AQ37,0)</f>
        <v>0.777606548783977</v>
      </c>
      <c r="AR45" s="15" t="n">
        <f aca="false">IFERROR(AR44/AR37,0)</f>
        <v>0.776611567581919</v>
      </c>
      <c r="AS45" s="15" t="n">
        <f aca="false">IFERROR(AS44/AS37,0)</f>
        <v>0.775722292251134</v>
      </c>
      <c r="AT45" s="15" t="n">
        <f aca="false">IFERROR(AT44/AT37,0)</f>
        <v>0.774920917580387</v>
      </c>
      <c r="AU45" s="15" t="n">
        <f aca="false">IFERROR(AU44/AU37,0)</f>
        <v>0.774193476274982</v>
      </c>
      <c r="AV45" s="15" t="n">
        <f aca="false">IFERROR(AV44/AV37,0)</f>
        <v>0.773528856499692</v>
      </c>
      <c r="AW45" s="15" t="n">
        <f aca="false">IFERROR(AW44/AW37,0)</f>
        <v>0.772918106552188</v>
      </c>
      <c r="AX45" s="15" t="n">
        <f aca="false">IFERROR(AX44/AX37,0)</f>
        <v>0.772353933311159</v>
      </c>
      <c r="AY45" s="15" t="n">
        <f aca="false">IFERROR(AY44/AY37,0)</f>
        <v>0.777123911980664</v>
      </c>
      <c r="AZ45" s="15" t="n">
        <f aca="false">IFERROR(AZ44/AZ37,0)</f>
        <v>0.77595626652044</v>
      </c>
      <c r="BA45" s="15" t="n">
        <f aca="false">IFERROR(BA44/BA37,0)</f>
        <v>0.774917400234415</v>
      </c>
      <c r="BB45" s="15" t="n">
        <f aca="false">IFERROR(BB44/BB37,0)</f>
        <v>0.773985557978104</v>
      </c>
      <c r="BC45" s="15" t="n">
        <f aca="false">IFERROR(BC44/BC37,0)</f>
        <v>0.773143663813137</v>
      </c>
      <c r="BD45" s="15" t="n">
        <f aca="false">IFERROR(BD44/BD37,0)</f>
        <v>0.772378126239404</v>
      </c>
      <c r="BE45" s="15" t="n">
        <f aca="false">IFERROR(BE44/BE37,0)</f>
        <v>0.7716779917449</v>
      </c>
      <c r="BF45" s="15" t="n">
        <f aca="false">IFERROR(BF44/BF37,0)</f>
        <v>0.771034333690658</v>
      </c>
      <c r="BG45" s="15" t="n">
        <f aca="false">IFERROR(BG44/BG37,0)</f>
        <v>0.770439803576522</v>
      </c>
      <c r="BH45" s="15" t="n">
        <f aca="false">IFERROR(BH44/BH37,0)</f>
        <v>0.769888296484208</v>
      </c>
      <c r="BI45" s="15" t="n">
        <f aca="false">IFERROR(BI44/BI37,0)</f>
        <v>0.769374698182472</v>
      </c>
      <c r="BJ45" s="15" t="n">
        <f aca="false">IFERROR(BJ44/BJ37,0)</f>
        <v>0.76889469154795</v>
      </c>
    </row>
    <row r="46" customFormat="false" ht="15" hidden="false" customHeight="false" outlineLevel="0" collapsed="false">
      <c r="A46" s="3" t="s">
        <v>246</v>
      </c>
      <c r="B46" s="4"/>
    </row>
    <row r="47" customFormat="false" ht="15" hidden="false" customHeight="false" outlineLevel="0" collapsed="false">
      <c r="A47" s="5" t="s">
        <v>247</v>
      </c>
      <c r="C47" s="21" t="n">
        <f aca="false">-INDEX(Premissas!$D$67:$H$67,C$4)</f>
        <v>-160550</v>
      </c>
      <c r="D47" s="21" t="n">
        <f aca="false">-INDEX(Premissas!$D$67:$H$67,D$4)</f>
        <v>-160550</v>
      </c>
      <c r="E47" s="21" t="n">
        <f aca="false">-INDEX(Premissas!$D$67:$H$67,E$4)</f>
        <v>-160550</v>
      </c>
      <c r="F47" s="21" t="n">
        <f aca="false">-INDEX(Premissas!$D$67:$H$67,F$4)</f>
        <v>-160550</v>
      </c>
      <c r="G47" s="21" t="n">
        <f aca="false">-INDEX(Premissas!$D$67:$H$67,G$4)</f>
        <v>-160550</v>
      </c>
      <c r="H47" s="21" t="n">
        <f aca="false">-INDEX(Premissas!$D$67:$H$67,H$4)</f>
        <v>-160550</v>
      </c>
      <c r="I47" s="21" t="n">
        <f aca="false">-INDEX(Premissas!$D$67:$H$67,I$4)</f>
        <v>-160550</v>
      </c>
      <c r="J47" s="21" t="n">
        <f aca="false">-INDEX(Premissas!$D$67:$H$67,J$4)</f>
        <v>-160550</v>
      </c>
      <c r="K47" s="21" t="n">
        <f aca="false">-INDEX(Premissas!$D$67:$H$67,K$4)</f>
        <v>-160550</v>
      </c>
      <c r="L47" s="21" t="n">
        <f aca="false">-INDEX(Premissas!$D$67:$H$67,L$4)</f>
        <v>-160550</v>
      </c>
      <c r="M47" s="21" t="n">
        <f aca="false">-INDEX(Premissas!$D$67:$H$67,M$4)</f>
        <v>-160550</v>
      </c>
      <c r="N47" s="21" t="n">
        <f aca="false">-INDEX(Premissas!$D$67:$H$67,N$4)</f>
        <v>-160550</v>
      </c>
      <c r="O47" s="21" t="n">
        <f aca="false">-INDEX(Premissas!$D$67:$H$67,O$4)</f>
        <v>-371600</v>
      </c>
      <c r="P47" s="21" t="n">
        <f aca="false">-INDEX(Premissas!$D$67:$H$67,P$4)</f>
        <v>-371600</v>
      </c>
      <c r="Q47" s="21" t="n">
        <f aca="false">-INDEX(Premissas!$D$67:$H$67,Q$4)</f>
        <v>-371600</v>
      </c>
      <c r="R47" s="21" t="n">
        <f aca="false">-INDEX(Premissas!$D$67:$H$67,R$4)</f>
        <v>-371600</v>
      </c>
      <c r="S47" s="21" t="n">
        <f aca="false">-INDEX(Premissas!$D$67:$H$67,S$4)</f>
        <v>-371600</v>
      </c>
      <c r="T47" s="21" t="n">
        <f aca="false">-INDEX(Premissas!$D$67:$H$67,T$4)</f>
        <v>-371600</v>
      </c>
      <c r="U47" s="21" t="n">
        <f aca="false">-INDEX(Premissas!$D$67:$H$67,U$4)</f>
        <v>-371600</v>
      </c>
      <c r="V47" s="21" t="n">
        <f aca="false">-INDEX(Premissas!$D$67:$H$67,V$4)</f>
        <v>-371600</v>
      </c>
      <c r="W47" s="21" t="n">
        <f aca="false">-INDEX(Premissas!$D$67:$H$67,W$4)</f>
        <v>-371600</v>
      </c>
      <c r="X47" s="21" t="n">
        <f aca="false">-INDEX(Premissas!$D$67:$H$67,X$4)</f>
        <v>-371600</v>
      </c>
      <c r="Y47" s="21" t="n">
        <f aca="false">-INDEX(Premissas!$D$67:$H$67,Y$4)</f>
        <v>-371600</v>
      </c>
      <c r="Z47" s="21" t="n">
        <f aca="false">-INDEX(Premissas!$D$67:$H$67,Z$4)</f>
        <v>-371600</v>
      </c>
      <c r="AA47" s="21" t="n">
        <f aca="false">-INDEX(Premissas!$D$67:$H$67,AA$4)</f>
        <v>-621400</v>
      </c>
      <c r="AB47" s="21" t="n">
        <f aca="false">-INDEX(Premissas!$D$67:$H$67,AB$4)</f>
        <v>-621400</v>
      </c>
      <c r="AC47" s="21" t="n">
        <f aca="false">-INDEX(Premissas!$D$67:$H$67,AC$4)</f>
        <v>-621400</v>
      </c>
      <c r="AD47" s="21" t="n">
        <f aca="false">-INDEX(Premissas!$D$67:$H$67,AD$4)</f>
        <v>-621400</v>
      </c>
      <c r="AE47" s="21" t="n">
        <f aca="false">-INDEX(Premissas!$D$67:$H$67,AE$4)</f>
        <v>-621400</v>
      </c>
      <c r="AF47" s="21" t="n">
        <f aca="false">-INDEX(Premissas!$D$67:$H$67,AF$4)</f>
        <v>-621400</v>
      </c>
      <c r="AG47" s="21" t="n">
        <f aca="false">-INDEX(Premissas!$D$67:$H$67,AG$4)</f>
        <v>-621400</v>
      </c>
      <c r="AH47" s="21" t="n">
        <f aca="false">-INDEX(Premissas!$D$67:$H$67,AH$4)</f>
        <v>-621400</v>
      </c>
      <c r="AI47" s="21" t="n">
        <f aca="false">-INDEX(Premissas!$D$67:$H$67,AI$4)</f>
        <v>-621400</v>
      </c>
      <c r="AJ47" s="21" t="n">
        <f aca="false">-INDEX(Premissas!$D$67:$H$67,AJ$4)</f>
        <v>-621400</v>
      </c>
      <c r="AK47" s="21" t="n">
        <f aca="false">-INDEX(Premissas!$D$67:$H$67,AK$4)</f>
        <v>-621400</v>
      </c>
      <c r="AL47" s="21" t="n">
        <f aca="false">-INDEX(Premissas!$D$67:$H$67,AL$4)</f>
        <v>-621400</v>
      </c>
      <c r="AM47" s="21" t="n">
        <f aca="false">-INDEX(Premissas!$D$67:$H$67,AM$4)</f>
        <v>-899250</v>
      </c>
      <c r="AN47" s="21" t="n">
        <f aca="false">-INDEX(Premissas!$D$67:$H$67,AN$4)</f>
        <v>-899250</v>
      </c>
      <c r="AO47" s="21" t="n">
        <f aca="false">-INDEX(Premissas!$D$67:$H$67,AO$4)</f>
        <v>-899250</v>
      </c>
      <c r="AP47" s="21" t="n">
        <f aca="false">-INDEX(Premissas!$D$67:$H$67,AP$4)</f>
        <v>-899250</v>
      </c>
      <c r="AQ47" s="21" t="n">
        <f aca="false">-INDEX(Premissas!$D$67:$H$67,AQ$4)</f>
        <v>-899250</v>
      </c>
      <c r="AR47" s="21" t="n">
        <f aca="false">-INDEX(Premissas!$D$67:$H$67,AR$4)</f>
        <v>-899250</v>
      </c>
      <c r="AS47" s="21" t="n">
        <f aca="false">-INDEX(Premissas!$D$67:$H$67,AS$4)</f>
        <v>-899250</v>
      </c>
      <c r="AT47" s="21" t="n">
        <f aca="false">-INDEX(Premissas!$D$67:$H$67,AT$4)</f>
        <v>-899250</v>
      </c>
      <c r="AU47" s="21" t="n">
        <f aca="false">-INDEX(Premissas!$D$67:$H$67,AU$4)</f>
        <v>-899250</v>
      </c>
      <c r="AV47" s="21" t="n">
        <f aca="false">-INDEX(Premissas!$D$67:$H$67,AV$4)</f>
        <v>-899250</v>
      </c>
      <c r="AW47" s="21" t="n">
        <f aca="false">-INDEX(Premissas!$D$67:$H$67,AW$4)</f>
        <v>-899250</v>
      </c>
      <c r="AX47" s="21" t="n">
        <f aca="false">-INDEX(Premissas!$D$67:$H$67,AX$4)</f>
        <v>-899250</v>
      </c>
      <c r="AY47" s="21" t="n">
        <f aca="false">-INDEX(Premissas!$D$67:$H$67,AY$4)</f>
        <v>-1142100</v>
      </c>
      <c r="AZ47" s="21" t="n">
        <f aca="false">-INDEX(Premissas!$D$67:$H$67,AZ$4)</f>
        <v>-1142100</v>
      </c>
      <c r="BA47" s="21" t="n">
        <f aca="false">-INDEX(Premissas!$D$67:$H$67,BA$4)</f>
        <v>-1142100</v>
      </c>
      <c r="BB47" s="21" t="n">
        <f aca="false">-INDEX(Premissas!$D$67:$H$67,BB$4)</f>
        <v>-1142100</v>
      </c>
      <c r="BC47" s="21" t="n">
        <f aca="false">-INDEX(Premissas!$D$67:$H$67,BC$4)</f>
        <v>-1142100</v>
      </c>
      <c r="BD47" s="21" t="n">
        <f aca="false">-INDEX(Premissas!$D$67:$H$67,BD$4)</f>
        <v>-1142100</v>
      </c>
      <c r="BE47" s="21" t="n">
        <f aca="false">-INDEX(Premissas!$D$67:$H$67,BE$4)</f>
        <v>-1142100</v>
      </c>
      <c r="BF47" s="21" t="n">
        <f aca="false">-INDEX(Premissas!$D$67:$H$67,BF$4)</f>
        <v>-1142100</v>
      </c>
      <c r="BG47" s="21" t="n">
        <f aca="false">-INDEX(Premissas!$D$67:$H$67,BG$4)</f>
        <v>-1142100</v>
      </c>
      <c r="BH47" s="21" t="n">
        <f aca="false">-INDEX(Premissas!$D$67:$H$67,BH$4)</f>
        <v>-1142100</v>
      </c>
      <c r="BI47" s="21" t="n">
        <f aca="false">-INDEX(Premissas!$D$67:$H$67,BI$4)</f>
        <v>-1142100</v>
      </c>
      <c r="BJ47" s="21" t="n">
        <f aca="false">-INDEX(Premissas!$D$67:$H$67,BJ$4)</f>
        <v>-1142100</v>
      </c>
    </row>
    <row r="48" customFormat="false" ht="15" hidden="false" customHeight="false" outlineLevel="0" collapsed="false">
      <c r="A48" s="5" t="s">
        <v>248</v>
      </c>
      <c r="C48" s="16" t="n">
        <f aca="false">-C7</f>
        <v>-25000</v>
      </c>
      <c r="D48" s="16" t="n">
        <f aca="false">-D7</f>
        <v>-25000</v>
      </c>
      <c r="E48" s="16" t="n">
        <f aca="false">-E7</f>
        <v>-25000</v>
      </c>
      <c r="F48" s="16" t="n">
        <f aca="false">-F7</f>
        <v>-25000</v>
      </c>
      <c r="G48" s="16" t="n">
        <f aca="false">-G7</f>
        <v>-25000</v>
      </c>
      <c r="H48" s="16" t="n">
        <f aca="false">-H7</f>
        <v>-25000</v>
      </c>
      <c r="I48" s="16" t="n">
        <f aca="false">-I7</f>
        <v>-25000</v>
      </c>
      <c r="J48" s="16" t="n">
        <f aca="false">-J7</f>
        <v>-25000</v>
      </c>
      <c r="K48" s="16" t="n">
        <f aca="false">-K7</f>
        <v>-25000</v>
      </c>
      <c r="L48" s="16" t="n">
        <f aca="false">-L7</f>
        <v>-25000</v>
      </c>
      <c r="M48" s="16" t="n">
        <f aca="false">-M7</f>
        <v>-25000</v>
      </c>
      <c r="N48" s="16" t="n">
        <f aca="false">-N7</f>
        <v>-25000</v>
      </c>
      <c r="O48" s="16" t="n">
        <f aca="false">-O7</f>
        <v>-70000</v>
      </c>
      <c r="P48" s="16" t="n">
        <f aca="false">-P7</f>
        <v>-70000</v>
      </c>
      <c r="Q48" s="16" t="n">
        <f aca="false">-Q7</f>
        <v>-70000</v>
      </c>
      <c r="R48" s="16" t="n">
        <f aca="false">-R7</f>
        <v>-70000</v>
      </c>
      <c r="S48" s="16" t="n">
        <f aca="false">-S7</f>
        <v>-70000</v>
      </c>
      <c r="T48" s="16" t="n">
        <f aca="false">-T7</f>
        <v>-70000</v>
      </c>
      <c r="U48" s="16" t="n">
        <f aca="false">-U7</f>
        <v>-70000</v>
      </c>
      <c r="V48" s="16" t="n">
        <f aca="false">-V7</f>
        <v>-70000</v>
      </c>
      <c r="W48" s="16" t="n">
        <f aca="false">-W7</f>
        <v>-70000</v>
      </c>
      <c r="X48" s="16" t="n">
        <f aca="false">-X7</f>
        <v>-70000</v>
      </c>
      <c r="Y48" s="16" t="n">
        <f aca="false">-Y7</f>
        <v>-70000</v>
      </c>
      <c r="Z48" s="16" t="n">
        <f aca="false">-Z7</f>
        <v>-70000</v>
      </c>
      <c r="AA48" s="16" t="n">
        <f aca="false">-AA7</f>
        <v>-150000</v>
      </c>
      <c r="AB48" s="16" t="n">
        <f aca="false">-AB7</f>
        <v>-150000</v>
      </c>
      <c r="AC48" s="16" t="n">
        <f aca="false">-AC7</f>
        <v>-150000</v>
      </c>
      <c r="AD48" s="16" t="n">
        <f aca="false">-AD7</f>
        <v>-150000</v>
      </c>
      <c r="AE48" s="16" t="n">
        <f aca="false">-AE7</f>
        <v>-150000</v>
      </c>
      <c r="AF48" s="16" t="n">
        <f aca="false">-AF7</f>
        <v>-150000</v>
      </c>
      <c r="AG48" s="16" t="n">
        <f aca="false">-AG7</f>
        <v>-150000</v>
      </c>
      <c r="AH48" s="16" t="n">
        <f aca="false">-AH7</f>
        <v>-150000</v>
      </c>
      <c r="AI48" s="16" t="n">
        <f aca="false">-AI7</f>
        <v>-150000</v>
      </c>
      <c r="AJ48" s="16" t="n">
        <f aca="false">-AJ7</f>
        <v>-150000</v>
      </c>
      <c r="AK48" s="16" t="n">
        <f aca="false">-AK7</f>
        <v>-150000</v>
      </c>
      <c r="AL48" s="16" t="n">
        <f aca="false">-AL7</f>
        <v>-150000</v>
      </c>
      <c r="AM48" s="16" t="n">
        <f aca="false">-AM7</f>
        <v>-240000</v>
      </c>
      <c r="AN48" s="16" t="n">
        <f aca="false">-AN7</f>
        <v>-240000</v>
      </c>
      <c r="AO48" s="16" t="n">
        <f aca="false">-AO7</f>
        <v>-240000</v>
      </c>
      <c r="AP48" s="16" t="n">
        <f aca="false">-AP7</f>
        <v>-240000</v>
      </c>
      <c r="AQ48" s="16" t="n">
        <f aca="false">-AQ7</f>
        <v>-240000</v>
      </c>
      <c r="AR48" s="16" t="n">
        <f aca="false">-AR7</f>
        <v>-240000</v>
      </c>
      <c r="AS48" s="16" t="n">
        <f aca="false">-AS7</f>
        <v>-240000</v>
      </c>
      <c r="AT48" s="16" t="n">
        <f aca="false">-AT7</f>
        <v>-240000</v>
      </c>
      <c r="AU48" s="16" t="n">
        <f aca="false">-AU7</f>
        <v>-240000</v>
      </c>
      <c r="AV48" s="16" t="n">
        <f aca="false">-AV7</f>
        <v>-240000</v>
      </c>
      <c r="AW48" s="16" t="n">
        <f aca="false">-AW7</f>
        <v>-240000</v>
      </c>
      <c r="AX48" s="16" t="n">
        <f aca="false">-AX7</f>
        <v>-240000</v>
      </c>
      <c r="AY48" s="16" t="n">
        <f aca="false">-AY7</f>
        <v>-320000</v>
      </c>
      <c r="AZ48" s="16" t="n">
        <f aca="false">-AZ7</f>
        <v>-320000</v>
      </c>
      <c r="BA48" s="16" t="n">
        <f aca="false">-BA7</f>
        <v>-320000</v>
      </c>
      <c r="BB48" s="16" t="n">
        <f aca="false">-BB7</f>
        <v>-320000</v>
      </c>
      <c r="BC48" s="16" t="n">
        <f aca="false">-BC7</f>
        <v>-320000</v>
      </c>
      <c r="BD48" s="16" t="n">
        <f aca="false">-BD7</f>
        <v>-320000</v>
      </c>
      <c r="BE48" s="16" t="n">
        <f aca="false">-BE7</f>
        <v>-320000</v>
      </c>
      <c r="BF48" s="16" t="n">
        <f aca="false">-BF7</f>
        <v>-320000</v>
      </c>
      <c r="BG48" s="16" t="n">
        <f aca="false">-BG7</f>
        <v>-320000</v>
      </c>
      <c r="BH48" s="16" t="n">
        <f aca="false">-BH7</f>
        <v>-320000</v>
      </c>
      <c r="BI48" s="16" t="n">
        <f aca="false">-BI7</f>
        <v>-320000</v>
      </c>
      <c r="BJ48" s="16" t="n">
        <f aca="false">-BJ7</f>
        <v>-320000</v>
      </c>
    </row>
    <row r="49" customFormat="false" ht="15" hidden="false" customHeight="false" outlineLevel="0" collapsed="false">
      <c r="A49" s="5" t="s">
        <v>249</v>
      </c>
      <c r="C49" s="21" t="n">
        <f aca="false">-0.1*(C14*Premissas!$B$18+C15*Premissas!$C$18+C16*Premissas!$D$18+C17*Premissas!$E$18)</f>
        <v>-1103.74444444444</v>
      </c>
      <c r="D49" s="21" t="n">
        <f aca="false">-0.1*(D14*Premissas!$B$18+D15*Premissas!$C$18+D16*Premissas!$D$18+D17*Premissas!$E$18)</f>
        <v>-1114.78188888889</v>
      </c>
      <c r="E49" s="21" t="n">
        <f aca="false">-0.1*(E14*Premissas!$B$18+E15*Premissas!$C$18+E16*Premissas!$D$18+E17*Premissas!$E$18)</f>
        <v>-1125.51580361111</v>
      </c>
      <c r="F49" s="21" t="n">
        <f aca="false">-0.1*(F14*Premissas!$B$18+F15*Premissas!$C$18+F16*Premissas!$D$18+F17*Premissas!$E$18)</f>
        <v>-1135.95570840694</v>
      </c>
      <c r="G49" s="21" t="n">
        <f aca="false">-0.1*(G14*Premissas!$B$18+G15*Premissas!$C$18+G16*Premissas!$D$18+G17*Premissas!$E$18)</f>
        <v>-1146.11078091144</v>
      </c>
      <c r="H49" s="21" t="n">
        <f aca="false">-0.1*(H14*Premissas!$B$18+H15*Premissas!$C$18+H16*Premissas!$D$18+H17*Premissas!$E$18)</f>
        <v>-1155.98987033016</v>
      </c>
      <c r="I49" s="21" t="n">
        <f aca="false">-0.1*(I14*Premissas!$B$18+I15*Premissas!$C$18+I16*Premissas!$D$18+I17*Premissas!$E$18)</f>
        <v>-1165.60151057788</v>
      </c>
      <c r="J49" s="21" t="n">
        <f aca="false">-0.1*(J14*Premissas!$B$18+J15*Premissas!$C$18+J16*Premissas!$D$18+J17*Premissas!$E$18)</f>
        <v>-1174.95393285152</v>
      </c>
      <c r="K49" s="21" t="n">
        <f aca="false">-0.1*(K14*Premissas!$B$18+K15*Premissas!$C$18+K16*Premissas!$D$18+K17*Premissas!$E$18)</f>
        <v>-1184.05507766256</v>
      </c>
      <c r="L49" s="21" t="n">
        <f aca="false">-0.1*(L14*Premissas!$B$18+L15*Premissas!$C$18+L16*Premissas!$D$18+L17*Premissas!$E$18)</f>
        <v>-1192.91260635327</v>
      </c>
      <c r="M49" s="21" t="n">
        <f aca="false">-0.1*(M14*Premissas!$B$18+M15*Premissas!$C$18+M16*Premissas!$D$18+M17*Premissas!$E$18)</f>
        <v>-1201.53391211996</v>
      </c>
      <c r="N49" s="21" t="n">
        <f aca="false">-0.1*(N14*Premissas!$B$18+N15*Premissas!$C$18+N16*Premissas!$D$18+N17*Premissas!$E$18)</f>
        <v>-1209.9261305652</v>
      </c>
      <c r="O49" s="21" t="n">
        <f aca="false">-0.1*(O14*Premissas!$B$18+O15*Premissas!$C$18+O16*Premissas!$D$18+O17*Premissas!$E$18)</f>
        <v>-4036.36259627778</v>
      </c>
      <c r="P49" s="21" t="n">
        <f aca="false">-0.1*(P14*Premissas!$B$18+P15*Premissas!$C$18+P16*Premissas!$D$18+P17*Premissas!$E$18)</f>
        <v>-4072.15684959879</v>
      </c>
      <c r="Q49" s="21" t="n">
        <f aca="false">-0.1*(Q14*Premissas!$B$18+Q15*Premissas!$C$18+Q16*Premissas!$D$18+Q17*Premissas!$E$18)</f>
        <v>-4107.13384448836</v>
      </c>
      <c r="R49" s="21" t="n">
        <f aca="false">-0.1*(R14*Premissas!$B$18+R15*Premissas!$C$18+R16*Premissas!$D$18+R17*Premissas!$E$18)</f>
        <v>-4141.31527963214</v>
      </c>
      <c r="S49" s="21" t="n">
        <f aca="false">-0.1*(S14*Premissas!$B$18+S15*Premissas!$C$18+S16*Premissas!$D$18+S17*Premissas!$E$18)</f>
        <v>-4174.72217257388</v>
      </c>
      <c r="T49" s="21" t="n">
        <f aca="false">-0.1*(T14*Premissas!$B$18+T15*Premissas!$C$18+T16*Premissas!$D$18+T17*Premissas!$E$18)</f>
        <v>-4207.37488428511</v>
      </c>
      <c r="U49" s="21" t="n">
        <f aca="false">-0.1*(U14*Premissas!$B$18+U15*Premissas!$C$18+U16*Premissas!$D$18+U17*Premissas!$E$18)</f>
        <v>-4239.29314276531</v>
      </c>
      <c r="V49" s="21" t="n">
        <f aca="false">-0.1*(V14*Premissas!$B$18+V15*Premissas!$C$18+V16*Premissas!$D$18+V17*Premissas!$E$18)</f>
        <v>-4270.4960657126</v>
      </c>
      <c r="W49" s="21" t="n">
        <f aca="false">-0.1*(W14*Premissas!$B$18+W15*Premissas!$C$18+W16*Premissas!$D$18+W17*Premissas!$E$18)</f>
        <v>-4301.00218230356</v>
      </c>
      <c r="X49" s="21" t="n">
        <f aca="false">-0.1*(X14*Premissas!$B$18+X15*Premissas!$C$18+X16*Premissas!$D$18+X17*Premissas!$E$18)</f>
        <v>-4330.82945411898</v>
      </c>
      <c r="Y49" s="21" t="n">
        <f aca="false">-0.1*(Y14*Premissas!$B$18+Y15*Premissas!$C$18+Y16*Premissas!$D$18+Y17*Premissas!$E$18)</f>
        <v>-4359.99529525078</v>
      </c>
      <c r="Z49" s="21" t="n">
        <f aca="false">-0.1*(Z14*Premissas!$B$18+Z15*Premissas!$C$18+Z16*Premissas!$D$18+Z17*Premissas!$E$18)</f>
        <v>-4388.51659162399</v>
      </c>
      <c r="AA49" s="21" t="n">
        <f aca="false">-0.1*(AA14*Premissas!$B$18+AA15*Premissas!$C$18+AA16*Premissas!$D$18+AA17*Premissas!$E$18)</f>
        <v>-11009.6801555721</v>
      </c>
      <c r="AB49" s="21" t="n">
        <f aca="false">-0.1*(AB14*Premissas!$B$18+AB15*Premissas!$C$18+AB16*Premissas!$D$18+AB17*Premissas!$E$18)</f>
        <v>-11101.4146671535</v>
      </c>
      <c r="AC49" s="21" t="n">
        <f aca="false">-0.1*(AC14*Premissas!$B$18+AC15*Premissas!$C$18+AC16*Premissas!$D$18+AC17*Premissas!$E$18)</f>
        <v>-11191.4277966875</v>
      </c>
      <c r="AD49" s="21" t="n">
        <f aca="false">-0.1*(AD14*Premissas!$B$18+AD15*Premissas!$C$18+AD16*Premissas!$D$18+AD17*Premissas!$E$18)</f>
        <v>-11279.7579134021</v>
      </c>
      <c r="AE49" s="21" t="n">
        <f aca="false">-0.1*(AE14*Premissas!$B$18+AE15*Premissas!$C$18+AE16*Premissas!$D$18+AE17*Premissas!$E$18)</f>
        <v>-11366.4423374577</v>
      </c>
      <c r="AF49" s="21" t="n">
        <f aca="false">-0.1*(AF14*Premissas!$B$18+AF15*Premissas!$C$18+AF16*Premissas!$D$18+AF17*Premissas!$E$18)</f>
        <v>-11451.5173740319</v>
      </c>
      <c r="AG49" s="21" t="n">
        <f aca="false">-0.1*(AG14*Premissas!$B$18+AG15*Premissas!$C$18+AG16*Premissas!$D$18+AG17*Premissas!$E$18)</f>
        <v>-11535.0183461696</v>
      </c>
      <c r="AH49" s="21" t="n">
        <f aca="false">-0.1*(AH14*Premissas!$B$18+AH15*Premissas!$C$18+AH16*Premissas!$D$18+AH17*Premissas!$E$18)</f>
        <v>-11616.9796264476</v>
      </c>
      <c r="AI49" s="21" t="n">
        <f aca="false">-0.1*(AI14*Premissas!$B$18+AI15*Premissas!$C$18+AI16*Premissas!$D$18+AI17*Premissas!$E$18)</f>
        <v>-11697.4346674967</v>
      </c>
      <c r="AJ49" s="21" t="n">
        <f aca="false">-0.1*(AJ14*Premissas!$B$18+AJ15*Premissas!$C$18+AJ16*Premissas!$D$18+AJ17*Premissas!$E$18)</f>
        <v>-11776.4160314267</v>
      </c>
      <c r="AK49" s="21" t="n">
        <f aca="false">-0.1*(AK14*Premissas!$B$18+AK15*Premissas!$C$18+AK16*Premissas!$D$18+AK17*Premissas!$E$18)</f>
        <v>-11853.9554181951</v>
      </c>
      <c r="AL49" s="21" t="n">
        <f aca="false">-0.1*(AL14*Premissas!$B$18+AL15*Premissas!$C$18+AL16*Premissas!$D$18+AL17*Premissas!$E$18)</f>
        <v>-11930.0836929605</v>
      </c>
      <c r="AM49" s="21" t="n">
        <f aca="false">-0.1*(AM14*Premissas!$B$18+AM15*Premissas!$C$18+AM16*Premissas!$D$18+AM17*Premissas!$E$18)</f>
        <v>-20318.4683086521</v>
      </c>
      <c r="AN49" s="21" t="n">
        <f aca="false">-0.1*(AN14*Premissas!$B$18+AN15*Premissas!$C$18+AN16*Premissas!$D$18+AN17*Premissas!$E$18)</f>
        <v>-20476.3273121852</v>
      </c>
      <c r="AO49" s="21" t="n">
        <f aca="false">-0.1*(AO14*Premissas!$B$18+AO15*Premissas!$C$18+AO16*Premissas!$D$18+AO17*Premissas!$E$18)</f>
        <v>-20631.6710914328</v>
      </c>
      <c r="AP49" s="21" t="n">
        <f aca="false">-0.1*(AP14*Premissas!$B$18+AP15*Premissas!$C$18+AP16*Premissas!$D$18+AP17*Premissas!$E$18)</f>
        <v>-20784.5479818461</v>
      </c>
      <c r="AQ49" s="21" t="n">
        <f aca="false">-0.1*(AQ14*Premissas!$B$18+AQ15*Premissas!$C$18+AQ16*Premissas!$D$18+AQ17*Premissas!$E$18)</f>
        <v>-20935.0051465506</v>
      </c>
      <c r="AR49" s="21" t="n">
        <f aca="false">-0.1*(AR14*Premissas!$B$18+AR15*Premissas!$C$18+AR16*Premissas!$D$18+AR17*Premissas!$E$18)</f>
        <v>-21083.0886109812</v>
      </c>
      <c r="AS49" s="21" t="n">
        <f aca="false">-0.1*(AS14*Premissas!$B$18+AS15*Premissas!$C$18+AS16*Premissas!$D$18+AS17*Premissas!$E$18)</f>
        <v>-21228.8432963644</v>
      </c>
      <c r="AT49" s="21" t="n">
        <f aca="false">-0.1*(AT14*Premissas!$B$18+AT15*Premissas!$C$18+AT16*Premissas!$D$18+AT17*Premissas!$E$18)</f>
        <v>-21372.3130520874</v>
      </c>
      <c r="AU49" s="21" t="n">
        <f aca="false">-0.1*(AU14*Premissas!$B$18+AU15*Premissas!$C$18+AU16*Premissas!$D$18+AU17*Premissas!$E$18)</f>
        <v>-21513.5406869951</v>
      </c>
      <c r="AV49" s="21" t="n">
        <f aca="false">-0.1*(AV14*Premissas!$B$18+AV15*Premissas!$C$18+AV16*Premissas!$D$18+AV17*Premissas!$E$18)</f>
        <v>-21652.5679996502</v>
      </c>
      <c r="AW49" s="21" t="n">
        <f aca="false">-0.1*(AW14*Premissas!$B$18+AW15*Premissas!$C$18+AW16*Premissas!$D$18+AW17*Premissas!$E$18)</f>
        <v>-21789.4358075961</v>
      </c>
      <c r="AX49" s="21" t="n">
        <f aca="false">-0.1*(AX14*Premissas!$B$18+AX15*Premissas!$C$18+AX16*Premissas!$D$18+AX17*Premissas!$E$18)</f>
        <v>-21924.183975654</v>
      </c>
      <c r="AY49" s="21" t="n">
        <f aca="false">-0.1*(AY14*Premissas!$B$18+AY15*Premissas!$C$18+AY16*Premissas!$D$18+AY17*Premissas!$E$18)</f>
        <v>-31906.3751857248</v>
      </c>
      <c r="AZ49" s="21" t="n">
        <f aca="false">-0.1*(AZ14*Premissas!$B$18+AZ15*Premissas!$C$18+AZ16*Premissas!$D$18+AZ17*Premissas!$E$18)</f>
        <v>-32137.2030067503</v>
      </c>
      <c r="BA49" s="21" t="n">
        <f aca="false">-0.1*(BA14*Premissas!$B$18+BA15*Premissas!$C$18+BA16*Premissas!$D$18+BA17*Premissas!$E$18)</f>
        <v>-32365.0172105354</v>
      </c>
      <c r="BB49" s="21" t="n">
        <f aca="false">-0.1*(BB14*Premissas!$B$18+BB15*Premissas!$C$18+BB16*Premissas!$D$18+BB17*Premissas!$E$18)</f>
        <v>-32589.865681953</v>
      </c>
      <c r="BC49" s="21" t="n">
        <f aca="false">-0.1*(BC14*Premissas!$B$18+BC15*Premissas!$C$18+BC16*Premissas!$D$18+BC17*Premissas!$E$18)</f>
        <v>-32811.79530995</v>
      </c>
      <c r="BD49" s="21" t="n">
        <f aca="false">-0.1*(BD14*Premissas!$B$18+BD15*Premissas!$C$18+BD16*Premissas!$D$18+BD17*Premissas!$E$18)</f>
        <v>-33030.8520138473</v>
      </c>
      <c r="BE49" s="21" t="n">
        <f aca="false">-0.1*(BE14*Premissas!$B$18+BE15*Premissas!$C$18+BE16*Premissas!$D$18+BE17*Premissas!$E$18)</f>
        <v>-33247.0807688381</v>
      </c>
      <c r="BF49" s="21" t="n">
        <f aca="false">-0.1*(BF14*Premissas!$B$18+BF15*Premissas!$C$18+BF16*Premissas!$D$18+BF17*Premissas!$E$18)</f>
        <v>-33460.525630713</v>
      </c>
      <c r="BG49" s="21" t="n">
        <f aca="false">-0.1*(BG14*Premissas!$B$18+BG15*Premissas!$C$18+BG16*Premissas!$D$18+BG17*Premissas!$E$18)</f>
        <v>-33671.2297598341</v>
      </c>
      <c r="BH49" s="21" t="n">
        <f aca="false">-0.1*(BH14*Premissas!$B$18+BH15*Premissas!$C$18+BH16*Premissas!$D$18+BH17*Premissas!$E$18)</f>
        <v>-33879.2354443853</v>
      </c>
      <c r="BI49" s="21" t="n">
        <f aca="false">-0.1*(BI14*Premissas!$B$18+BI15*Premissas!$C$18+BI16*Premissas!$D$18+BI17*Premissas!$E$18)</f>
        <v>-34084.5841229204</v>
      </c>
      <c r="BJ49" s="21" t="n">
        <f aca="false">-0.1*(BJ14*Premissas!$B$18+BJ15*Premissas!$C$18+BJ16*Premissas!$D$18+BJ17*Premissas!$E$18)</f>
        <v>-34287.3164062321</v>
      </c>
    </row>
    <row r="50" customFormat="false" ht="15" hidden="false" customHeight="false" outlineLevel="0" collapsed="false">
      <c r="A50" s="5" t="s">
        <v>250</v>
      </c>
      <c r="C50" s="21" t="n">
        <f aca="false">-INDEX(Premissas!$B$72:$F$72,C$4)</f>
        <v>-5000</v>
      </c>
      <c r="D50" s="21" t="n">
        <f aca="false">-INDEX(Premissas!$B$72:$F$72,D$4)</f>
        <v>-5000</v>
      </c>
      <c r="E50" s="21" t="n">
        <f aca="false">-INDEX(Premissas!$B$72:$F$72,E$4)</f>
        <v>-5000</v>
      </c>
      <c r="F50" s="21" t="n">
        <f aca="false">-INDEX(Premissas!$B$72:$F$72,F$4)</f>
        <v>-5000</v>
      </c>
      <c r="G50" s="21" t="n">
        <f aca="false">-INDEX(Premissas!$B$72:$F$72,G$4)</f>
        <v>-5000</v>
      </c>
      <c r="H50" s="21" t="n">
        <f aca="false">-INDEX(Premissas!$B$72:$F$72,H$4)</f>
        <v>-5000</v>
      </c>
      <c r="I50" s="21" t="n">
        <f aca="false">-INDEX(Premissas!$B$72:$F$72,I$4)</f>
        <v>-5000</v>
      </c>
      <c r="J50" s="21" t="n">
        <f aca="false">-INDEX(Premissas!$B$72:$F$72,J$4)</f>
        <v>-5000</v>
      </c>
      <c r="K50" s="21" t="n">
        <f aca="false">-INDEX(Premissas!$B$72:$F$72,K$4)</f>
        <v>-5000</v>
      </c>
      <c r="L50" s="21" t="n">
        <f aca="false">-INDEX(Premissas!$B$72:$F$72,L$4)</f>
        <v>-5000</v>
      </c>
      <c r="M50" s="21" t="n">
        <f aca="false">-INDEX(Premissas!$B$72:$F$72,M$4)</f>
        <v>-5000</v>
      </c>
      <c r="N50" s="21" t="n">
        <f aca="false">-INDEX(Premissas!$B$72:$F$72,N$4)</f>
        <v>-5000</v>
      </c>
      <c r="O50" s="21" t="n">
        <f aca="false">-INDEX(Premissas!$B$72:$F$72,O$4)</f>
        <v>-8000</v>
      </c>
      <c r="P50" s="21" t="n">
        <f aca="false">-INDEX(Premissas!$B$72:$F$72,P$4)</f>
        <v>-8000</v>
      </c>
      <c r="Q50" s="21" t="n">
        <f aca="false">-INDEX(Premissas!$B$72:$F$72,Q$4)</f>
        <v>-8000</v>
      </c>
      <c r="R50" s="21" t="n">
        <f aca="false">-INDEX(Premissas!$B$72:$F$72,R$4)</f>
        <v>-8000</v>
      </c>
      <c r="S50" s="21" t="n">
        <f aca="false">-INDEX(Premissas!$B$72:$F$72,S$4)</f>
        <v>-8000</v>
      </c>
      <c r="T50" s="21" t="n">
        <f aca="false">-INDEX(Premissas!$B$72:$F$72,T$4)</f>
        <v>-8000</v>
      </c>
      <c r="U50" s="21" t="n">
        <f aca="false">-INDEX(Premissas!$B$72:$F$72,U$4)</f>
        <v>-8000</v>
      </c>
      <c r="V50" s="21" t="n">
        <f aca="false">-INDEX(Premissas!$B$72:$F$72,V$4)</f>
        <v>-8000</v>
      </c>
      <c r="W50" s="21" t="n">
        <f aca="false">-INDEX(Premissas!$B$72:$F$72,W$4)</f>
        <v>-8000</v>
      </c>
      <c r="X50" s="21" t="n">
        <f aca="false">-INDEX(Premissas!$B$72:$F$72,X$4)</f>
        <v>-8000</v>
      </c>
      <c r="Y50" s="21" t="n">
        <f aca="false">-INDEX(Premissas!$B$72:$F$72,Y$4)</f>
        <v>-8000</v>
      </c>
      <c r="Z50" s="21" t="n">
        <f aca="false">-INDEX(Premissas!$B$72:$F$72,Z$4)</f>
        <v>-8000</v>
      </c>
      <c r="AA50" s="21" t="n">
        <f aca="false">-INDEX(Premissas!$B$72:$F$72,AA$4)</f>
        <v>-12000</v>
      </c>
      <c r="AB50" s="21" t="n">
        <f aca="false">-INDEX(Premissas!$B$72:$F$72,AB$4)</f>
        <v>-12000</v>
      </c>
      <c r="AC50" s="21" t="n">
        <f aca="false">-INDEX(Premissas!$B$72:$F$72,AC$4)</f>
        <v>-12000</v>
      </c>
      <c r="AD50" s="21" t="n">
        <f aca="false">-INDEX(Premissas!$B$72:$F$72,AD$4)</f>
        <v>-12000</v>
      </c>
      <c r="AE50" s="21" t="n">
        <f aca="false">-INDEX(Premissas!$B$72:$F$72,AE$4)</f>
        <v>-12000</v>
      </c>
      <c r="AF50" s="21" t="n">
        <f aca="false">-INDEX(Premissas!$B$72:$F$72,AF$4)</f>
        <v>-12000</v>
      </c>
      <c r="AG50" s="21" t="n">
        <f aca="false">-INDEX(Premissas!$B$72:$F$72,AG$4)</f>
        <v>-12000</v>
      </c>
      <c r="AH50" s="21" t="n">
        <f aca="false">-INDEX(Premissas!$B$72:$F$72,AH$4)</f>
        <v>-12000</v>
      </c>
      <c r="AI50" s="21" t="n">
        <f aca="false">-INDEX(Premissas!$B$72:$F$72,AI$4)</f>
        <v>-12000</v>
      </c>
      <c r="AJ50" s="21" t="n">
        <f aca="false">-INDEX(Premissas!$B$72:$F$72,AJ$4)</f>
        <v>-12000</v>
      </c>
      <c r="AK50" s="21" t="n">
        <f aca="false">-INDEX(Premissas!$B$72:$F$72,AK$4)</f>
        <v>-12000</v>
      </c>
      <c r="AL50" s="21" t="n">
        <f aca="false">-INDEX(Premissas!$B$72:$F$72,AL$4)</f>
        <v>-12000</v>
      </c>
      <c r="AM50" s="21" t="n">
        <f aca="false">-INDEX(Premissas!$B$72:$F$72,AM$4)</f>
        <v>-18000</v>
      </c>
      <c r="AN50" s="21" t="n">
        <f aca="false">-INDEX(Premissas!$B$72:$F$72,AN$4)</f>
        <v>-18000</v>
      </c>
      <c r="AO50" s="21" t="n">
        <f aca="false">-INDEX(Premissas!$B$72:$F$72,AO$4)</f>
        <v>-18000</v>
      </c>
      <c r="AP50" s="21" t="n">
        <f aca="false">-INDEX(Premissas!$B$72:$F$72,AP$4)</f>
        <v>-18000</v>
      </c>
      <c r="AQ50" s="21" t="n">
        <f aca="false">-INDEX(Premissas!$B$72:$F$72,AQ$4)</f>
        <v>-18000</v>
      </c>
      <c r="AR50" s="21" t="n">
        <f aca="false">-INDEX(Premissas!$B$72:$F$72,AR$4)</f>
        <v>-18000</v>
      </c>
      <c r="AS50" s="21" t="n">
        <f aca="false">-INDEX(Premissas!$B$72:$F$72,AS$4)</f>
        <v>-18000</v>
      </c>
      <c r="AT50" s="21" t="n">
        <f aca="false">-INDEX(Premissas!$B$72:$F$72,AT$4)</f>
        <v>-18000</v>
      </c>
      <c r="AU50" s="21" t="n">
        <f aca="false">-INDEX(Premissas!$B$72:$F$72,AU$4)</f>
        <v>-18000</v>
      </c>
      <c r="AV50" s="21" t="n">
        <f aca="false">-INDEX(Premissas!$B$72:$F$72,AV$4)</f>
        <v>-18000</v>
      </c>
      <c r="AW50" s="21" t="n">
        <f aca="false">-INDEX(Premissas!$B$72:$F$72,AW$4)</f>
        <v>-18000</v>
      </c>
      <c r="AX50" s="21" t="n">
        <f aca="false">-INDEX(Premissas!$B$72:$F$72,AX$4)</f>
        <v>-18000</v>
      </c>
      <c r="AY50" s="21" t="n">
        <f aca="false">-INDEX(Premissas!$B$72:$F$72,AY$4)</f>
        <v>-25000</v>
      </c>
      <c r="AZ50" s="21" t="n">
        <f aca="false">-INDEX(Premissas!$B$72:$F$72,AZ$4)</f>
        <v>-25000</v>
      </c>
      <c r="BA50" s="21" t="n">
        <f aca="false">-INDEX(Premissas!$B$72:$F$72,BA$4)</f>
        <v>-25000</v>
      </c>
      <c r="BB50" s="21" t="n">
        <f aca="false">-INDEX(Premissas!$B$72:$F$72,BB$4)</f>
        <v>-25000</v>
      </c>
      <c r="BC50" s="21" t="n">
        <f aca="false">-INDEX(Premissas!$B$72:$F$72,BC$4)</f>
        <v>-25000</v>
      </c>
      <c r="BD50" s="21" t="n">
        <f aca="false">-INDEX(Premissas!$B$72:$F$72,BD$4)</f>
        <v>-25000</v>
      </c>
      <c r="BE50" s="21" t="n">
        <f aca="false">-INDEX(Premissas!$B$72:$F$72,BE$4)</f>
        <v>-25000</v>
      </c>
      <c r="BF50" s="21" t="n">
        <f aca="false">-INDEX(Premissas!$B$72:$F$72,BF$4)</f>
        <v>-25000</v>
      </c>
      <c r="BG50" s="21" t="n">
        <f aca="false">-INDEX(Premissas!$B$72:$F$72,BG$4)</f>
        <v>-25000</v>
      </c>
      <c r="BH50" s="21" t="n">
        <f aca="false">-INDEX(Premissas!$B$72:$F$72,BH$4)</f>
        <v>-25000</v>
      </c>
      <c r="BI50" s="21" t="n">
        <f aca="false">-INDEX(Premissas!$B$72:$F$72,BI$4)</f>
        <v>-25000</v>
      </c>
      <c r="BJ50" s="21" t="n">
        <f aca="false">-INDEX(Premissas!$B$72:$F$72,BJ$4)</f>
        <v>-25000</v>
      </c>
    </row>
    <row r="51" customFormat="false" ht="15" hidden="false" customHeight="false" outlineLevel="0" collapsed="false">
      <c r="A51" s="5" t="s">
        <v>251</v>
      </c>
      <c r="C51" s="21" t="n">
        <f aca="false">-INDEX(Premissas!$B$73:$F$73,C$4)</f>
        <v>-2000</v>
      </c>
      <c r="D51" s="21" t="n">
        <f aca="false">-INDEX(Premissas!$B$73:$F$73,D$4)</f>
        <v>-2000</v>
      </c>
      <c r="E51" s="21" t="n">
        <f aca="false">-INDEX(Premissas!$B$73:$F$73,E$4)</f>
        <v>-2000</v>
      </c>
      <c r="F51" s="21" t="n">
        <f aca="false">-INDEX(Premissas!$B$73:$F$73,F$4)</f>
        <v>-2000</v>
      </c>
      <c r="G51" s="21" t="n">
        <f aca="false">-INDEX(Premissas!$B$73:$F$73,G$4)</f>
        <v>-2000</v>
      </c>
      <c r="H51" s="21" t="n">
        <f aca="false">-INDEX(Premissas!$B$73:$F$73,H$4)</f>
        <v>-2000</v>
      </c>
      <c r="I51" s="21" t="n">
        <f aca="false">-INDEX(Premissas!$B$73:$F$73,I$4)</f>
        <v>-2000</v>
      </c>
      <c r="J51" s="21" t="n">
        <f aca="false">-INDEX(Premissas!$B$73:$F$73,J$4)</f>
        <v>-2000</v>
      </c>
      <c r="K51" s="21" t="n">
        <f aca="false">-INDEX(Premissas!$B$73:$F$73,K$4)</f>
        <v>-2000</v>
      </c>
      <c r="L51" s="21" t="n">
        <f aca="false">-INDEX(Premissas!$B$73:$F$73,L$4)</f>
        <v>-2000</v>
      </c>
      <c r="M51" s="21" t="n">
        <f aca="false">-INDEX(Premissas!$B$73:$F$73,M$4)</f>
        <v>-2000</v>
      </c>
      <c r="N51" s="21" t="n">
        <f aca="false">-INDEX(Premissas!$B$73:$F$73,N$4)</f>
        <v>-2000</v>
      </c>
      <c r="O51" s="21" t="n">
        <f aca="false">-INDEX(Premissas!$B$73:$F$73,O$4)</f>
        <v>-8000</v>
      </c>
      <c r="P51" s="21" t="n">
        <f aca="false">-INDEX(Premissas!$B$73:$F$73,P$4)</f>
        <v>-8000</v>
      </c>
      <c r="Q51" s="21" t="n">
        <f aca="false">-INDEX(Premissas!$B$73:$F$73,Q$4)</f>
        <v>-8000</v>
      </c>
      <c r="R51" s="21" t="n">
        <f aca="false">-INDEX(Premissas!$B$73:$F$73,R$4)</f>
        <v>-8000</v>
      </c>
      <c r="S51" s="21" t="n">
        <f aca="false">-INDEX(Premissas!$B$73:$F$73,S$4)</f>
        <v>-8000</v>
      </c>
      <c r="T51" s="21" t="n">
        <f aca="false">-INDEX(Premissas!$B$73:$F$73,T$4)</f>
        <v>-8000</v>
      </c>
      <c r="U51" s="21" t="n">
        <f aca="false">-INDEX(Premissas!$B$73:$F$73,U$4)</f>
        <v>-8000</v>
      </c>
      <c r="V51" s="21" t="n">
        <f aca="false">-INDEX(Premissas!$B$73:$F$73,V$4)</f>
        <v>-8000</v>
      </c>
      <c r="W51" s="21" t="n">
        <f aca="false">-INDEX(Premissas!$B$73:$F$73,W$4)</f>
        <v>-8000</v>
      </c>
      <c r="X51" s="21" t="n">
        <f aca="false">-INDEX(Premissas!$B$73:$F$73,X$4)</f>
        <v>-8000</v>
      </c>
      <c r="Y51" s="21" t="n">
        <f aca="false">-INDEX(Premissas!$B$73:$F$73,Y$4)</f>
        <v>-8000</v>
      </c>
      <c r="Z51" s="21" t="n">
        <f aca="false">-INDEX(Premissas!$B$73:$F$73,Z$4)</f>
        <v>-8000</v>
      </c>
      <c r="AA51" s="21" t="n">
        <f aca="false">-INDEX(Premissas!$B$73:$F$73,AA$4)</f>
        <v>-15000</v>
      </c>
      <c r="AB51" s="21" t="n">
        <f aca="false">-INDEX(Premissas!$B$73:$F$73,AB$4)</f>
        <v>-15000</v>
      </c>
      <c r="AC51" s="21" t="n">
        <f aca="false">-INDEX(Premissas!$B$73:$F$73,AC$4)</f>
        <v>-15000</v>
      </c>
      <c r="AD51" s="21" t="n">
        <f aca="false">-INDEX(Premissas!$B$73:$F$73,AD$4)</f>
        <v>-15000</v>
      </c>
      <c r="AE51" s="21" t="n">
        <f aca="false">-INDEX(Premissas!$B$73:$F$73,AE$4)</f>
        <v>-15000</v>
      </c>
      <c r="AF51" s="21" t="n">
        <f aca="false">-INDEX(Premissas!$B$73:$F$73,AF$4)</f>
        <v>-15000</v>
      </c>
      <c r="AG51" s="21" t="n">
        <f aca="false">-INDEX(Premissas!$B$73:$F$73,AG$4)</f>
        <v>-15000</v>
      </c>
      <c r="AH51" s="21" t="n">
        <f aca="false">-INDEX(Premissas!$B$73:$F$73,AH$4)</f>
        <v>-15000</v>
      </c>
      <c r="AI51" s="21" t="n">
        <f aca="false">-INDEX(Premissas!$B$73:$F$73,AI$4)</f>
        <v>-15000</v>
      </c>
      <c r="AJ51" s="21" t="n">
        <f aca="false">-INDEX(Premissas!$B$73:$F$73,AJ$4)</f>
        <v>-15000</v>
      </c>
      <c r="AK51" s="21" t="n">
        <f aca="false">-INDEX(Premissas!$B$73:$F$73,AK$4)</f>
        <v>-15000</v>
      </c>
      <c r="AL51" s="21" t="n">
        <f aca="false">-INDEX(Premissas!$B$73:$F$73,AL$4)</f>
        <v>-15000</v>
      </c>
      <c r="AM51" s="21" t="n">
        <f aca="false">-INDEX(Premissas!$B$73:$F$73,AM$4)</f>
        <v>-25000</v>
      </c>
      <c r="AN51" s="21" t="n">
        <f aca="false">-INDEX(Premissas!$B$73:$F$73,AN$4)</f>
        <v>-25000</v>
      </c>
      <c r="AO51" s="21" t="n">
        <f aca="false">-INDEX(Premissas!$B$73:$F$73,AO$4)</f>
        <v>-25000</v>
      </c>
      <c r="AP51" s="21" t="n">
        <f aca="false">-INDEX(Premissas!$B$73:$F$73,AP$4)</f>
        <v>-25000</v>
      </c>
      <c r="AQ51" s="21" t="n">
        <f aca="false">-INDEX(Premissas!$B$73:$F$73,AQ$4)</f>
        <v>-25000</v>
      </c>
      <c r="AR51" s="21" t="n">
        <f aca="false">-INDEX(Premissas!$B$73:$F$73,AR$4)</f>
        <v>-25000</v>
      </c>
      <c r="AS51" s="21" t="n">
        <f aca="false">-INDEX(Premissas!$B$73:$F$73,AS$4)</f>
        <v>-25000</v>
      </c>
      <c r="AT51" s="21" t="n">
        <f aca="false">-INDEX(Premissas!$B$73:$F$73,AT$4)</f>
        <v>-25000</v>
      </c>
      <c r="AU51" s="21" t="n">
        <f aca="false">-INDEX(Premissas!$B$73:$F$73,AU$4)</f>
        <v>-25000</v>
      </c>
      <c r="AV51" s="21" t="n">
        <f aca="false">-INDEX(Premissas!$B$73:$F$73,AV$4)</f>
        <v>-25000</v>
      </c>
      <c r="AW51" s="21" t="n">
        <f aca="false">-INDEX(Premissas!$B$73:$F$73,AW$4)</f>
        <v>-25000</v>
      </c>
      <c r="AX51" s="21" t="n">
        <f aca="false">-INDEX(Premissas!$B$73:$F$73,AX$4)</f>
        <v>-25000</v>
      </c>
      <c r="AY51" s="21" t="n">
        <f aca="false">-INDEX(Premissas!$B$73:$F$73,AY$4)</f>
        <v>-35000</v>
      </c>
      <c r="AZ51" s="21" t="n">
        <f aca="false">-INDEX(Premissas!$B$73:$F$73,AZ$4)</f>
        <v>-35000</v>
      </c>
      <c r="BA51" s="21" t="n">
        <f aca="false">-INDEX(Premissas!$B$73:$F$73,BA$4)</f>
        <v>-35000</v>
      </c>
      <c r="BB51" s="21" t="n">
        <f aca="false">-INDEX(Premissas!$B$73:$F$73,BB$4)</f>
        <v>-35000</v>
      </c>
      <c r="BC51" s="21" t="n">
        <f aca="false">-INDEX(Premissas!$B$73:$F$73,BC$4)</f>
        <v>-35000</v>
      </c>
      <c r="BD51" s="21" t="n">
        <f aca="false">-INDEX(Premissas!$B$73:$F$73,BD$4)</f>
        <v>-35000</v>
      </c>
      <c r="BE51" s="21" t="n">
        <f aca="false">-INDEX(Premissas!$B$73:$F$73,BE$4)</f>
        <v>-35000</v>
      </c>
      <c r="BF51" s="21" t="n">
        <f aca="false">-INDEX(Premissas!$B$73:$F$73,BF$4)</f>
        <v>-35000</v>
      </c>
      <c r="BG51" s="21" t="n">
        <f aca="false">-INDEX(Premissas!$B$73:$F$73,BG$4)</f>
        <v>-35000</v>
      </c>
      <c r="BH51" s="21" t="n">
        <f aca="false">-INDEX(Premissas!$B$73:$F$73,BH$4)</f>
        <v>-35000</v>
      </c>
      <c r="BI51" s="21" t="n">
        <f aca="false">-INDEX(Premissas!$B$73:$F$73,BI$4)</f>
        <v>-35000</v>
      </c>
      <c r="BJ51" s="21" t="n">
        <f aca="false">-INDEX(Premissas!$B$73:$F$73,BJ$4)</f>
        <v>-35000</v>
      </c>
    </row>
    <row r="52" customFormat="false" ht="15" hidden="false" customHeight="false" outlineLevel="0" collapsed="false">
      <c r="A52" s="5" t="s">
        <v>252</v>
      </c>
      <c r="C52" s="21" t="n">
        <f aca="false">-INDEX(Premissas!$B$74:$F$74,C$4)</f>
        <v>-3000</v>
      </c>
      <c r="D52" s="21" t="n">
        <f aca="false">-INDEX(Premissas!$B$74:$F$74,D$4)</f>
        <v>-3000</v>
      </c>
      <c r="E52" s="21" t="n">
        <f aca="false">-INDEX(Premissas!$B$74:$F$74,E$4)</f>
        <v>-3000</v>
      </c>
      <c r="F52" s="21" t="n">
        <f aca="false">-INDEX(Premissas!$B$74:$F$74,F$4)</f>
        <v>-3000</v>
      </c>
      <c r="G52" s="21" t="n">
        <f aca="false">-INDEX(Premissas!$B$74:$F$74,G$4)</f>
        <v>-3000</v>
      </c>
      <c r="H52" s="21" t="n">
        <f aca="false">-INDEX(Premissas!$B$74:$F$74,H$4)</f>
        <v>-3000</v>
      </c>
      <c r="I52" s="21" t="n">
        <f aca="false">-INDEX(Premissas!$B$74:$F$74,I$4)</f>
        <v>-3000</v>
      </c>
      <c r="J52" s="21" t="n">
        <f aca="false">-INDEX(Premissas!$B$74:$F$74,J$4)</f>
        <v>-3000</v>
      </c>
      <c r="K52" s="21" t="n">
        <f aca="false">-INDEX(Premissas!$B$74:$F$74,K$4)</f>
        <v>-3000</v>
      </c>
      <c r="L52" s="21" t="n">
        <f aca="false">-INDEX(Premissas!$B$74:$F$74,L$4)</f>
        <v>-3000</v>
      </c>
      <c r="M52" s="21" t="n">
        <f aca="false">-INDEX(Premissas!$B$74:$F$74,M$4)</f>
        <v>-3000</v>
      </c>
      <c r="N52" s="21" t="n">
        <f aca="false">-INDEX(Premissas!$B$74:$F$74,N$4)</f>
        <v>-3000</v>
      </c>
      <c r="O52" s="21" t="n">
        <f aca="false">-INDEX(Premissas!$B$74:$F$74,O$4)</f>
        <v>-8000</v>
      </c>
      <c r="P52" s="21" t="n">
        <f aca="false">-INDEX(Premissas!$B$74:$F$74,P$4)</f>
        <v>-8000</v>
      </c>
      <c r="Q52" s="21" t="n">
        <f aca="false">-INDEX(Premissas!$B$74:$F$74,Q$4)</f>
        <v>-8000</v>
      </c>
      <c r="R52" s="21" t="n">
        <f aca="false">-INDEX(Premissas!$B$74:$F$74,R$4)</f>
        <v>-8000</v>
      </c>
      <c r="S52" s="21" t="n">
        <f aca="false">-INDEX(Premissas!$B$74:$F$74,S$4)</f>
        <v>-8000</v>
      </c>
      <c r="T52" s="21" t="n">
        <f aca="false">-INDEX(Premissas!$B$74:$F$74,T$4)</f>
        <v>-8000</v>
      </c>
      <c r="U52" s="21" t="n">
        <f aca="false">-INDEX(Premissas!$B$74:$F$74,U$4)</f>
        <v>-8000</v>
      </c>
      <c r="V52" s="21" t="n">
        <f aca="false">-INDEX(Premissas!$B$74:$F$74,V$4)</f>
        <v>-8000</v>
      </c>
      <c r="W52" s="21" t="n">
        <f aca="false">-INDEX(Premissas!$B$74:$F$74,W$4)</f>
        <v>-8000</v>
      </c>
      <c r="X52" s="21" t="n">
        <f aca="false">-INDEX(Premissas!$B$74:$F$74,X$4)</f>
        <v>-8000</v>
      </c>
      <c r="Y52" s="21" t="n">
        <f aca="false">-INDEX(Premissas!$B$74:$F$74,Y$4)</f>
        <v>-8000</v>
      </c>
      <c r="Z52" s="21" t="n">
        <f aca="false">-INDEX(Premissas!$B$74:$F$74,Z$4)</f>
        <v>-8000</v>
      </c>
      <c r="AA52" s="21" t="n">
        <f aca="false">-INDEX(Premissas!$B$74:$F$74,AA$4)</f>
        <v>-15000</v>
      </c>
      <c r="AB52" s="21" t="n">
        <f aca="false">-INDEX(Premissas!$B$74:$F$74,AB$4)</f>
        <v>-15000</v>
      </c>
      <c r="AC52" s="21" t="n">
        <f aca="false">-INDEX(Premissas!$B$74:$F$74,AC$4)</f>
        <v>-15000</v>
      </c>
      <c r="AD52" s="21" t="n">
        <f aca="false">-INDEX(Premissas!$B$74:$F$74,AD$4)</f>
        <v>-15000</v>
      </c>
      <c r="AE52" s="21" t="n">
        <f aca="false">-INDEX(Premissas!$B$74:$F$74,AE$4)</f>
        <v>-15000</v>
      </c>
      <c r="AF52" s="21" t="n">
        <f aca="false">-INDEX(Premissas!$B$74:$F$74,AF$4)</f>
        <v>-15000</v>
      </c>
      <c r="AG52" s="21" t="n">
        <f aca="false">-INDEX(Premissas!$B$74:$F$74,AG$4)</f>
        <v>-15000</v>
      </c>
      <c r="AH52" s="21" t="n">
        <f aca="false">-INDEX(Premissas!$B$74:$F$74,AH$4)</f>
        <v>-15000</v>
      </c>
      <c r="AI52" s="21" t="n">
        <f aca="false">-INDEX(Premissas!$B$74:$F$74,AI$4)</f>
        <v>-15000</v>
      </c>
      <c r="AJ52" s="21" t="n">
        <f aca="false">-INDEX(Premissas!$B$74:$F$74,AJ$4)</f>
        <v>-15000</v>
      </c>
      <c r="AK52" s="21" t="n">
        <f aca="false">-INDEX(Premissas!$B$74:$F$74,AK$4)</f>
        <v>-15000</v>
      </c>
      <c r="AL52" s="21" t="n">
        <f aca="false">-INDEX(Premissas!$B$74:$F$74,AL$4)</f>
        <v>-15000</v>
      </c>
      <c r="AM52" s="21" t="n">
        <f aca="false">-INDEX(Premissas!$B$74:$F$74,AM$4)</f>
        <v>-25000</v>
      </c>
      <c r="AN52" s="21" t="n">
        <f aca="false">-INDEX(Premissas!$B$74:$F$74,AN$4)</f>
        <v>-25000</v>
      </c>
      <c r="AO52" s="21" t="n">
        <f aca="false">-INDEX(Premissas!$B$74:$F$74,AO$4)</f>
        <v>-25000</v>
      </c>
      <c r="AP52" s="21" t="n">
        <f aca="false">-INDEX(Premissas!$B$74:$F$74,AP$4)</f>
        <v>-25000</v>
      </c>
      <c r="AQ52" s="21" t="n">
        <f aca="false">-INDEX(Premissas!$B$74:$F$74,AQ$4)</f>
        <v>-25000</v>
      </c>
      <c r="AR52" s="21" t="n">
        <f aca="false">-INDEX(Premissas!$B$74:$F$74,AR$4)</f>
        <v>-25000</v>
      </c>
      <c r="AS52" s="21" t="n">
        <f aca="false">-INDEX(Premissas!$B$74:$F$74,AS$4)</f>
        <v>-25000</v>
      </c>
      <c r="AT52" s="21" t="n">
        <f aca="false">-INDEX(Premissas!$B$74:$F$74,AT$4)</f>
        <v>-25000</v>
      </c>
      <c r="AU52" s="21" t="n">
        <f aca="false">-INDEX(Premissas!$B$74:$F$74,AU$4)</f>
        <v>-25000</v>
      </c>
      <c r="AV52" s="21" t="n">
        <f aca="false">-INDEX(Premissas!$B$74:$F$74,AV$4)</f>
        <v>-25000</v>
      </c>
      <c r="AW52" s="21" t="n">
        <f aca="false">-INDEX(Premissas!$B$74:$F$74,AW$4)</f>
        <v>-25000</v>
      </c>
      <c r="AX52" s="21" t="n">
        <f aca="false">-INDEX(Premissas!$B$74:$F$74,AX$4)</f>
        <v>-25000</v>
      </c>
      <c r="AY52" s="21" t="n">
        <f aca="false">-INDEX(Premissas!$B$74:$F$74,AY$4)</f>
        <v>-35000</v>
      </c>
      <c r="AZ52" s="21" t="n">
        <f aca="false">-INDEX(Premissas!$B$74:$F$74,AZ$4)</f>
        <v>-35000</v>
      </c>
      <c r="BA52" s="21" t="n">
        <f aca="false">-INDEX(Premissas!$B$74:$F$74,BA$4)</f>
        <v>-35000</v>
      </c>
      <c r="BB52" s="21" t="n">
        <f aca="false">-INDEX(Premissas!$B$74:$F$74,BB$4)</f>
        <v>-35000</v>
      </c>
      <c r="BC52" s="21" t="n">
        <f aca="false">-INDEX(Premissas!$B$74:$F$74,BC$4)</f>
        <v>-35000</v>
      </c>
      <c r="BD52" s="21" t="n">
        <f aca="false">-INDEX(Premissas!$B$74:$F$74,BD$4)</f>
        <v>-35000</v>
      </c>
      <c r="BE52" s="21" t="n">
        <f aca="false">-INDEX(Premissas!$B$74:$F$74,BE$4)</f>
        <v>-35000</v>
      </c>
      <c r="BF52" s="21" t="n">
        <f aca="false">-INDEX(Premissas!$B$74:$F$74,BF$4)</f>
        <v>-35000</v>
      </c>
      <c r="BG52" s="21" t="n">
        <f aca="false">-INDEX(Premissas!$B$74:$F$74,BG$4)</f>
        <v>-35000</v>
      </c>
      <c r="BH52" s="21" t="n">
        <f aca="false">-INDEX(Premissas!$B$74:$F$74,BH$4)</f>
        <v>-35000</v>
      </c>
      <c r="BI52" s="21" t="n">
        <f aca="false">-INDEX(Premissas!$B$74:$F$74,BI$4)</f>
        <v>-35000</v>
      </c>
      <c r="BJ52" s="21" t="n">
        <f aca="false">-INDEX(Premissas!$B$74:$F$74,BJ$4)</f>
        <v>-35000</v>
      </c>
    </row>
    <row r="53" customFormat="false" ht="15" hidden="false" customHeight="false" outlineLevel="0" collapsed="false">
      <c r="A53" s="5" t="s">
        <v>253</v>
      </c>
      <c r="C53" s="21" t="n">
        <f aca="false">-INDEX(Premissas!$B$75:$F$75,C$4)</f>
        <v>-2000</v>
      </c>
      <c r="D53" s="21" t="n">
        <f aca="false">-INDEX(Premissas!$B$75:$F$75,D$4)</f>
        <v>-2000</v>
      </c>
      <c r="E53" s="21" t="n">
        <f aca="false">-INDEX(Premissas!$B$75:$F$75,E$4)</f>
        <v>-2000</v>
      </c>
      <c r="F53" s="21" t="n">
        <f aca="false">-INDEX(Premissas!$B$75:$F$75,F$4)</f>
        <v>-2000</v>
      </c>
      <c r="G53" s="21" t="n">
        <f aca="false">-INDEX(Premissas!$B$75:$F$75,G$4)</f>
        <v>-2000</v>
      </c>
      <c r="H53" s="21" t="n">
        <f aca="false">-INDEX(Premissas!$B$75:$F$75,H$4)</f>
        <v>-2000</v>
      </c>
      <c r="I53" s="21" t="n">
        <f aca="false">-INDEX(Premissas!$B$75:$F$75,I$4)</f>
        <v>-2000</v>
      </c>
      <c r="J53" s="21" t="n">
        <f aca="false">-INDEX(Premissas!$B$75:$F$75,J$4)</f>
        <v>-2000</v>
      </c>
      <c r="K53" s="21" t="n">
        <f aca="false">-INDEX(Premissas!$B$75:$F$75,K$4)</f>
        <v>-2000</v>
      </c>
      <c r="L53" s="21" t="n">
        <f aca="false">-INDEX(Premissas!$B$75:$F$75,L$4)</f>
        <v>-2000</v>
      </c>
      <c r="M53" s="21" t="n">
        <f aca="false">-INDEX(Premissas!$B$75:$F$75,M$4)</f>
        <v>-2000</v>
      </c>
      <c r="N53" s="21" t="n">
        <f aca="false">-INDEX(Premissas!$B$75:$F$75,N$4)</f>
        <v>-2000</v>
      </c>
      <c r="O53" s="21" t="n">
        <f aca="false">-INDEX(Premissas!$B$75:$F$75,O$4)</f>
        <v>-6000</v>
      </c>
      <c r="P53" s="21" t="n">
        <f aca="false">-INDEX(Premissas!$B$75:$F$75,P$4)</f>
        <v>-6000</v>
      </c>
      <c r="Q53" s="21" t="n">
        <f aca="false">-INDEX(Premissas!$B$75:$F$75,Q$4)</f>
        <v>-6000</v>
      </c>
      <c r="R53" s="21" t="n">
        <f aca="false">-INDEX(Premissas!$B$75:$F$75,R$4)</f>
        <v>-6000</v>
      </c>
      <c r="S53" s="21" t="n">
        <f aca="false">-INDEX(Premissas!$B$75:$F$75,S$4)</f>
        <v>-6000</v>
      </c>
      <c r="T53" s="21" t="n">
        <f aca="false">-INDEX(Premissas!$B$75:$F$75,T$4)</f>
        <v>-6000</v>
      </c>
      <c r="U53" s="21" t="n">
        <f aca="false">-INDEX(Premissas!$B$75:$F$75,U$4)</f>
        <v>-6000</v>
      </c>
      <c r="V53" s="21" t="n">
        <f aca="false">-INDEX(Premissas!$B$75:$F$75,V$4)</f>
        <v>-6000</v>
      </c>
      <c r="W53" s="21" t="n">
        <f aca="false">-INDEX(Premissas!$B$75:$F$75,W$4)</f>
        <v>-6000</v>
      </c>
      <c r="X53" s="21" t="n">
        <f aca="false">-INDEX(Premissas!$B$75:$F$75,X$4)</f>
        <v>-6000</v>
      </c>
      <c r="Y53" s="21" t="n">
        <f aca="false">-INDEX(Premissas!$B$75:$F$75,Y$4)</f>
        <v>-6000</v>
      </c>
      <c r="Z53" s="21" t="n">
        <f aca="false">-INDEX(Premissas!$B$75:$F$75,Z$4)</f>
        <v>-6000</v>
      </c>
      <c r="AA53" s="21" t="n">
        <f aca="false">-INDEX(Premissas!$B$75:$F$75,AA$4)</f>
        <v>-15000</v>
      </c>
      <c r="AB53" s="21" t="n">
        <f aca="false">-INDEX(Premissas!$B$75:$F$75,AB$4)</f>
        <v>-15000</v>
      </c>
      <c r="AC53" s="21" t="n">
        <f aca="false">-INDEX(Premissas!$B$75:$F$75,AC$4)</f>
        <v>-15000</v>
      </c>
      <c r="AD53" s="21" t="n">
        <f aca="false">-INDEX(Premissas!$B$75:$F$75,AD$4)</f>
        <v>-15000</v>
      </c>
      <c r="AE53" s="21" t="n">
        <f aca="false">-INDEX(Premissas!$B$75:$F$75,AE$4)</f>
        <v>-15000</v>
      </c>
      <c r="AF53" s="21" t="n">
        <f aca="false">-INDEX(Premissas!$B$75:$F$75,AF$4)</f>
        <v>-15000</v>
      </c>
      <c r="AG53" s="21" t="n">
        <f aca="false">-INDEX(Premissas!$B$75:$F$75,AG$4)</f>
        <v>-15000</v>
      </c>
      <c r="AH53" s="21" t="n">
        <f aca="false">-INDEX(Premissas!$B$75:$F$75,AH$4)</f>
        <v>-15000</v>
      </c>
      <c r="AI53" s="21" t="n">
        <f aca="false">-INDEX(Premissas!$B$75:$F$75,AI$4)</f>
        <v>-15000</v>
      </c>
      <c r="AJ53" s="21" t="n">
        <f aca="false">-INDEX(Premissas!$B$75:$F$75,AJ$4)</f>
        <v>-15000</v>
      </c>
      <c r="AK53" s="21" t="n">
        <f aca="false">-INDEX(Premissas!$B$75:$F$75,AK$4)</f>
        <v>-15000</v>
      </c>
      <c r="AL53" s="21" t="n">
        <f aca="false">-INDEX(Premissas!$B$75:$F$75,AL$4)</f>
        <v>-15000</v>
      </c>
      <c r="AM53" s="21" t="n">
        <f aca="false">-INDEX(Premissas!$B$75:$F$75,AM$4)</f>
        <v>-25000</v>
      </c>
      <c r="AN53" s="21" t="n">
        <f aca="false">-INDEX(Premissas!$B$75:$F$75,AN$4)</f>
        <v>-25000</v>
      </c>
      <c r="AO53" s="21" t="n">
        <f aca="false">-INDEX(Premissas!$B$75:$F$75,AO$4)</f>
        <v>-25000</v>
      </c>
      <c r="AP53" s="21" t="n">
        <f aca="false">-INDEX(Premissas!$B$75:$F$75,AP$4)</f>
        <v>-25000</v>
      </c>
      <c r="AQ53" s="21" t="n">
        <f aca="false">-INDEX(Premissas!$B$75:$F$75,AQ$4)</f>
        <v>-25000</v>
      </c>
      <c r="AR53" s="21" t="n">
        <f aca="false">-INDEX(Premissas!$B$75:$F$75,AR$4)</f>
        <v>-25000</v>
      </c>
      <c r="AS53" s="21" t="n">
        <f aca="false">-INDEX(Premissas!$B$75:$F$75,AS$4)</f>
        <v>-25000</v>
      </c>
      <c r="AT53" s="21" t="n">
        <f aca="false">-INDEX(Premissas!$B$75:$F$75,AT$4)</f>
        <v>-25000</v>
      </c>
      <c r="AU53" s="21" t="n">
        <f aca="false">-INDEX(Premissas!$B$75:$F$75,AU$4)</f>
        <v>-25000</v>
      </c>
      <c r="AV53" s="21" t="n">
        <f aca="false">-INDEX(Premissas!$B$75:$F$75,AV$4)</f>
        <v>-25000</v>
      </c>
      <c r="AW53" s="21" t="n">
        <f aca="false">-INDEX(Premissas!$B$75:$F$75,AW$4)</f>
        <v>-25000</v>
      </c>
      <c r="AX53" s="21" t="n">
        <f aca="false">-INDEX(Premissas!$B$75:$F$75,AX$4)</f>
        <v>-25000</v>
      </c>
      <c r="AY53" s="21" t="n">
        <f aca="false">-INDEX(Premissas!$B$75:$F$75,AY$4)</f>
        <v>-35000</v>
      </c>
      <c r="AZ53" s="21" t="n">
        <f aca="false">-INDEX(Premissas!$B$75:$F$75,AZ$4)</f>
        <v>-35000</v>
      </c>
      <c r="BA53" s="21" t="n">
        <f aca="false">-INDEX(Premissas!$B$75:$F$75,BA$4)</f>
        <v>-35000</v>
      </c>
      <c r="BB53" s="21" t="n">
        <f aca="false">-INDEX(Premissas!$B$75:$F$75,BB$4)</f>
        <v>-35000</v>
      </c>
      <c r="BC53" s="21" t="n">
        <f aca="false">-INDEX(Premissas!$B$75:$F$75,BC$4)</f>
        <v>-35000</v>
      </c>
      <c r="BD53" s="21" t="n">
        <f aca="false">-INDEX(Premissas!$B$75:$F$75,BD$4)</f>
        <v>-35000</v>
      </c>
      <c r="BE53" s="21" t="n">
        <f aca="false">-INDEX(Premissas!$B$75:$F$75,BE$4)</f>
        <v>-35000</v>
      </c>
      <c r="BF53" s="21" t="n">
        <f aca="false">-INDEX(Premissas!$B$75:$F$75,BF$4)</f>
        <v>-35000</v>
      </c>
      <c r="BG53" s="21" t="n">
        <f aca="false">-INDEX(Premissas!$B$75:$F$75,BG$4)</f>
        <v>-35000</v>
      </c>
      <c r="BH53" s="21" t="n">
        <f aca="false">-INDEX(Premissas!$B$75:$F$75,BH$4)</f>
        <v>-35000</v>
      </c>
      <c r="BI53" s="21" t="n">
        <f aca="false">-INDEX(Premissas!$B$75:$F$75,BI$4)</f>
        <v>-35000</v>
      </c>
      <c r="BJ53" s="21" t="n">
        <f aca="false">-INDEX(Premissas!$B$75:$F$75,BJ$4)</f>
        <v>-35000</v>
      </c>
    </row>
    <row r="54" customFormat="false" ht="15" hidden="false" customHeight="false" outlineLevel="0" collapsed="false">
      <c r="A54" s="5" t="s">
        <v>254</v>
      </c>
      <c r="C54" s="21" t="n">
        <f aca="false">-INDEX(Premissas!$B$76:$F$76,C$4)</f>
        <v>-3000</v>
      </c>
      <c r="D54" s="21" t="n">
        <f aca="false">-INDEX(Premissas!$B$76:$F$76,D$4)</f>
        <v>-3000</v>
      </c>
      <c r="E54" s="21" t="n">
        <f aca="false">-INDEX(Premissas!$B$76:$F$76,E$4)</f>
        <v>-3000</v>
      </c>
      <c r="F54" s="21" t="n">
        <f aca="false">-INDEX(Premissas!$B$76:$F$76,F$4)</f>
        <v>-3000</v>
      </c>
      <c r="G54" s="21" t="n">
        <f aca="false">-INDEX(Premissas!$B$76:$F$76,G$4)</f>
        <v>-3000</v>
      </c>
      <c r="H54" s="21" t="n">
        <f aca="false">-INDEX(Premissas!$B$76:$F$76,H$4)</f>
        <v>-3000</v>
      </c>
      <c r="I54" s="21" t="n">
        <f aca="false">-INDEX(Premissas!$B$76:$F$76,I$4)</f>
        <v>-3000</v>
      </c>
      <c r="J54" s="21" t="n">
        <f aca="false">-INDEX(Premissas!$B$76:$F$76,J$4)</f>
        <v>-3000</v>
      </c>
      <c r="K54" s="21" t="n">
        <f aca="false">-INDEX(Premissas!$B$76:$F$76,K$4)</f>
        <v>-3000</v>
      </c>
      <c r="L54" s="21" t="n">
        <f aca="false">-INDEX(Premissas!$B$76:$F$76,L$4)</f>
        <v>-3000</v>
      </c>
      <c r="M54" s="21" t="n">
        <f aca="false">-INDEX(Premissas!$B$76:$F$76,M$4)</f>
        <v>-3000</v>
      </c>
      <c r="N54" s="21" t="n">
        <f aca="false">-INDEX(Premissas!$B$76:$F$76,N$4)</f>
        <v>-3000</v>
      </c>
      <c r="O54" s="21" t="n">
        <f aca="false">-INDEX(Premissas!$B$76:$F$76,O$4)</f>
        <v>-5000</v>
      </c>
      <c r="P54" s="21" t="n">
        <f aca="false">-INDEX(Premissas!$B$76:$F$76,P$4)</f>
        <v>-5000</v>
      </c>
      <c r="Q54" s="21" t="n">
        <f aca="false">-INDEX(Premissas!$B$76:$F$76,Q$4)</f>
        <v>-5000</v>
      </c>
      <c r="R54" s="21" t="n">
        <f aca="false">-INDEX(Premissas!$B$76:$F$76,R$4)</f>
        <v>-5000</v>
      </c>
      <c r="S54" s="21" t="n">
        <f aca="false">-INDEX(Premissas!$B$76:$F$76,S$4)</f>
        <v>-5000</v>
      </c>
      <c r="T54" s="21" t="n">
        <f aca="false">-INDEX(Premissas!$B$76:$F$76,T$4)</f>
        <v>-5000</v>
      </c>
      <c r="U54" s="21" t="n">
        <f aca="false">-INDEX(Premissas!$B$76:$F$76,U$4)</f>
        <v>-5000</v>
      </c>
      <c r="V54" s="21" t="n">
        <f aca="false">-INDEX(Premissas!$B$76:$F$76,V$4)</f>
        <v>-5000</v>
      </c>
      <c r="W54" s="21" t="n">
        <f aca="false">-INDEX(Premissas!$B$76:$F$76,W$4)</f>
        <v>-5000</v>
      </c>
      <c r="X54" s="21" t="n">
        <f aca="false">-INDEX(Premissas!$B$76:$F$76,X$4)</f>
        <v>-5000</v>
      </c>
      <c r="Y54" s="21" t="n">
        <f aca="false">-INDEX(Premissas!$B$76:$F$76,Y$4)</f>
        <v>-5000</v>
      </c>
      <c r="Z54" s="21" t="n">
        <f aca="false">-INDEX(Premissas!$B$76:$F$76,Z$4)</f>
        <v>-5000</v>
      </c>
      <c r="AA54" s="21" t="n">
        <f aca="false">-INDEX(Premissas!$B$76:$F$76,AA$4)</f>
        <v>-9000</v>
      </c>
      <c r="AB54" s="21" t="n">
        <f aca="false">-INDEX(Premissas!$B$76:$F$76,AB$4)</f>
        <v>-9000</v>
      </c>
      <c r="AC54" s="21" t="n">
        <f aca="false">-INDEX(Premissas!$B$76:$F$76,AC$4)</f>
        <v>-9000</v>
      </c>
      <c r="AD54" s="21" t="n">
        <f aca="false">-INDEX(Premissas!$B$76:$F$76,AD$4)</f>
        <v>-9000</v>
      </c>
      <c r="AE54" s="21" t="n">
        <f aca="false">-INDEX(Premissas!$B$76:$F$76,AE$4)</f>
        <v>-9000</v>
      </c>
      <c r="AF54" s="21" t="n">
        <f aca="false">-INDEX(Premissas!$B$76:$F$76,AF$4)</f>
        <v>-9000</v>
      </c>
      <c r="AG54" s="21" t="n">
        <f aca="false">-INDEX(Premissas!$B$76:$F$76,AG$4)</f>
        <v>-9000</v>
      </c>
      <c r="AH54" s="21" t="n">
        <f aca="false">-INDEX(Premissas!$B$76:$F$76,AH$4)</f>
        <v>-9000</v>
      </c>
      <c r="AI54" s="21" t="n">
        <f aca="false">-INDEX(Premissas!$B$76:$F$76,AI$4)</f>
        <v>-9000</v>
      </c>
      <c r="AJ54" s="21" t="n">
        <f aca="false">-INDEX(Premissas!$B$76:$F$76,AJ$4)</f>
        <v>-9000</v>
      </c>
      <c r="AK54" s="21" t="n">
        <f aca="false">-INDEX(Premissas!$B$76:$F$76,AK$4)</f>
        <v>-9000</v>
      </c>
      <c r="AL54" s="21" t="n">
        <f aca="false">-INDEX(Premissas!$B$76:$F$76,AL$4)</f>
        <v>-9000</v>
      </c>
      <c r="AM54" s="21" t="n">
        <f aca="false">-INDEX(Premissas!$B$76:$F$76,AM$4)</f>
        <v>-14000</v>
      </c>
      <c r="AN54" s="21" t="n">
        <f aca="false">-INDEX(Premissas!$B$76:$F$76,AN$4)</f>
        <v>-14000</v>
      </c>
      <c r="AO54" s="21" t="n">
        <f aca="false">-INDEX(Premissas!$B$76:$F$76,AO$4)</f>
        <v>-14000</v>
      </c>
      <c r="AP54" s="21" t="n">
        <f aca="false">-INDEX(Premissas!$B$76:$F$76,AP$4)</f>
        <v>-14000</v>
      </c>
      <c r="AQ54" s="21" t="n">
        <f aca="false">-INDEX(Premissas!$B$76:$F$76,AQ$4)</f>
        <v>-14000</v>
      </c>
      <c r="AR54" s="21" t="n">
        <f aca="false">-INDEX(Premissas!$B$76:$F$76,AR$4)</f>
        <v>-14000</v>
      </c>
      <c r="AS54" s="21" t="n">
        <f aca="false">-INDEX(Premissas!$B$76:$F$76,AS$4)</f>
        <v>-14000</v>
      </c>
      <c r="AT54" s="21" t="n">
        <f aca="false">-INDEX(Premissas!$B$76:$F$76,AT$4)</f>
        <v>-14000</v>
      </c>
      <c r="AU54" s="21" t="n">
        <f aca="false">-INDEX(Premissas!$B$76:$F$76,AU$4)</f>
        <v>-14000</v>
      </c>
      <c r="AV54" s="21" t="n">
        <f aca="false">-INDEX(Premissas!$B$76:$F$76,AV$4)</f>
        <v>-14000</v>
      </c>
      <c r="AW54" s="21" t="n">
        <f aca="false">-INDEX(Premissas!$B$76:$F$76,AW$4)</f>
        <v>-14000</v>
      </c>
      <c r="AX54" s="21" t="n">
        <f aca="false">-INDEX(Premissas!$B$76:$F$76,AX$4)</f>
        <v>-14000</v>
      </c>
      <c r="AY54" s="21" t="n">
        <f aca="false">-INDEX(Premissas!$B$76:$F$76,AY$4)</f>
        <v>-20000</v>
      </c>
      <c r="AZ54" s="21" t="n">
        <f aca="false">-INDEX(Premissas!$B$76:$F$76,AZ$4)</f>
        <v>-20000</v>
      </c>
      <c r="BA54" s="21" t="n">
        <f aca="false">-INDEX(Premissas!$B$76:$F$76,BA$4)</f>
        <v>-20000</v>
      </c>
      <c r="BB54" s="21" t="n">
        <f aca="false">-INDEX(Premissas!$B$76:$F$76,BB$4)</f>
        <v>-20000</v>
      </c>
      <c r="BC54" s="21" t="n">
        <f aca="false">-INDEX(Premissas!$B$76:$F$76,BC$4)</f>
        <v>-20000</v>
      </c>
      <c r="BD54" s="21" t="n">
        <f aca="false">-INDEX(Premissas!$B$76:$F$76,BD$4)</f>
        <v>-20000</v>
      </c>
      <c r="BE54" s="21" t="n">
        <f aca="false">-INDEX(Premissas!$B$76:$F$76,BE$4)</f>
        <v>-20000</v>
      </c>
      <c r="BF54" s="21" t="n">
        <f aca="false">-INDEX(Premissas!$B$76:$F$76,BF$4)</f>
        <v>-20000</v>
      </c>
      <c r="BG54" s="21" t="n">
        <f aca="false">-INDEX(Premissas!$B$76:$F$76,BG$4)</f>
        <v>-20000</v>
      </c>
      <c r="BH54" s="21" t="n">
        <f aca="false">-INDEX(Premissas!$B$76:$F$76,BH$4)</f>
        <v>-20000</v>
      </c>
      <c r="BI54" s="21" t="n">
        <f aca="false">-INDEX(Premissas!$B$76:$F$76,BI$4)</f>
        <v>-20000</v>
      </c>
      <c r="BJ54" s="21" t="n">
        <f aca="false">-INDEX(Premissas!$B$76:$F$76,BJ$4)</f>
        <v>-20000</v>
      </c>
    </row>
    <row r="55" customFormat="false" ht="15" hidden="false" customHeight="false" outlineLevel="0" collapsed="false">
      <c r="A55" s="18" t="s">
        <v>255</v>
      </c>
      <c r="C55" s="30" t="n">
        <f aca="false">SUM(C47:C54)</f>
        <v>-201653.744444444</v>
      </c>
      <c r="D55" s="30" t="n">
        <f aca="false">SUM(D47:D54)</f>
        <v>-201664.781888889</v>
      </c>
      <c r="E55" s="30" t="n">
        <f aca="false">SUM(E47:E54)</f>
        <v>-201675.515803611</v>
      </c>
      <c r="F55" s="30" t="n">
        <f aca="false">SUM(F47:F54)</f>
        <v>-201685.955708407</v>
      </c>
      <c r="G55" s="30" t="n">
        <f aca="false">SUM(G47:G54)</f>
        <v>-201696.110780911</v>
      </c>
      <c r="H55" s="30" t="n">
        <f aca="false">SUM(H47:H54)</f>
        <v>-201705.98987033</v>
      </c>
      <c r="I55" s="30" t="n">
        <f aca="false">SUM(I47:I54)</f>
        <v>-201715.601510578</v>
      </c>
      <c r="J55" s="30" t="n">
        <f aca="false">SUM(J47:J54)</f>
        <v>-201724.953932852</v>
      </c>
      <c r="K55" s="30" t="n">
        <f aca="false">SUM(K47:K54)</f>
        <v>-201734.055077663</v>
      </c>
      <c r="L55" s="30" t="n">
        <f aca="false">SUM(L47:L54)</f>
        <v>-201742.912606353</v>
      </c>
      <c r="M55" s="30" t="n">
        <f aca="false">SUM(M47:M54)</f>
        <v>-201751.53391212</v>
      </c>
      <c r="N55" s="30" t="n">
        <f aca="false">SUM(N47:N54)</f>
        <v>-201759.926130565</v>
      </c>
      <c r="O55" s="30" t="n">
        <f aca="false">SUM(O47:O54)</f>
        <v>-480636.362596278</v>
      </c>
      <c r="P55" s="30" t="n">
        <f aca="false">SUM(P47:P54)</f>
        <v>-480672.156849599</v>
      </c>
      <c r="Q55" s="30" t="n">
        <f aca="false">SUM(Q47:Q54)</f>
        <v>-480707.133844488</v>
      </c>
      <c r="R55" s="30" t="n">
        <f aca="false">SUM(R47:R54)</f>
        <v>-480741.315279632</v>
      </c>
      <c r="S55" s="30" t="n">
        <f aca="false">SUM(S47:S54)</f>
        <v>-480774.722172574</v>
      </c>
      <c r="T55" s="30" t="n">
        <f aca="false">SUM(T47:T54)</f>
        <v>-480807.374884285</v>
      </c>
      <c r="U55" s="30" t="n">
        <f aca="false">SUM(U47:U54)</f>
        <v>-480839.293142765</v>
      </c>
      <c r="V55" s="30" t="n">
        <f aca="false">SUM(V47:V54)</f>
        <v>-480870.496065713</v>
      </c>
      <c r="W55" s="30" t="n">
        <f aca="false">SUM(W47:W54)</f>
        <v>-480901.002182304</v>
      </c>
      <c r="X55" s="30" t="n">
        <f aca="false">SUM(X47:X54)</f>
        <v>-480930.829454119</v>
      </c>
      <c r="Y55" s="30" t="n">
        <f aca="false">SUM(Y47:Y54)</f>
        <v>-480959.995295251</v>
      </c>
      <c r="Z55" s="30" t="n">
        <f aca="false">SUM(Z47:Z54)</f>
        <v>-480988.516591624</v>
      </c>
      <c r="AA55" s="30" t="n">
        <f aca="false">SUM(AA47:AA54)</f>
        <v>-848409.680155572</v>
      </c>
      <c r="AB55" s="30" t="n">
        <f aca="false">SUM(AB47:AB54)</f>
        <v>-848501.414667154</v>
      </c>
      <c r="AC55" s="30" t="n">
        <f aca="false">SUM(AC47:AC54)</f>
        <v>-848591.427796688</v>
      </c>
      <c r="AD55" s="30" t="n">
        <f aca="false">SUM(AD47:AD54)</f>
        <v>-848679.757913402</v>
      </c>
      <c r="AE55" s="30" t="n">
        <f aca="false">SUM(AE47:AE54)</f>
        <v>-848766.442337458</v>
      </c>
      <c r="AF55" s="30" t="n">
        <f aca="false">SUM(AF47:AF54)</f>
        <v>-848851.517374032</v>
      </c>
      <c r="AG55" s="30" t="n">
        <f aca="false">SUM(AG47:AG54)</f>
        <v>-848935.01834617</v>
      </c>
      <c r="AH55" s="30" t="n">
        <f aca="false">SUM(AH47:AH54)</f>
        <v>-849016.979626448</v>
      </c>
      <c r="AI55" s="30" t="n">
        <f aca="false">SUM(AI47:AI54)</f>
        <v>-849097.434667497</v>
      </c>
      <c r="AJ55" s="30" t="n">
        <f aca="false">SUM(AJ47:AJ54)</f>
        <v>-849176.416031427</v>
      </c>
      <c r="AK55" s="30" t="n">
        <f aca="false">SUM(AK47:AK54)</f>
        <v>-849253.955418195</v>
      </c>
      <c r="AL55" s="30" t="n">
        <f aca="false">SUM(AL47:AL54)</f>
        <v>-849330.08369296</v>
      </c>
      <c r="AM55" s="30" t="n">
        <f aca="false">SUM(AM47:AM54)</f>
        <v>-1266568.46830865</v>
      </c>
      <c r="AN55" s="30" t="n">
        <f aca="false">SUM(AN47:AN54)</f>
        <v>-1266726.32731219</v>
      </c>
      <c r="AO55" s="30" t="n">
        <f aca="false">SUM(AO47:AO54)</f>
        <v>-1266881.67109143</v>
      </c>
      <c r="AP55" s="30" t="n">
        <f aca="false">SUM(AP47:AP54)</f>
        <v>-1267034.54798185</v>
      </c>
      <c r="AQ55" s="30" t="n">
        <f aca="false">SUM(AQ47:AQ54)</f>
        <v>-1267185.00514655</v>
      </c>
      <c r="AR55" s="30" t="n">
        <f aca="false">SUM(AR47:AR54)</f>
        <v>-1267333.08861098</v>
      </c>
      <c r="AS55" s="30" t="n">
        <f aca="false">SUM(AS47:AS54)</f>
        <v>-1267478.84329636</v>
      </c>
      <c r="AT55" s="30" t="n">
        <f aca="false">SUM(AT47:AT54)</f>
        <v>-1267622.31305209</v>
      </c>
      <c r="AU55" s="30" t="n">
        <f aca="false">SUM(AU47:AU54)</f>
        <v>-1267763.540687</v>
      </c>
      <c r="AV55" s="30" t="n">
        <f aca="false">SUM(AV47:AV54)</f>
        <v>-1267902.56799965</v>
      </c>
      <c r="AW55" s="30" t="n">
        <f aca="false">SUM(AW47:AW54)</f>
        <v>-1268039.4358076</v>
      </c>
      <c r="AX55" s="30" t="n">
        <f aca="false">SUM(AX47:AX54)</f>
        <v>-1268174.18397565</v>
      </c>
      <c r="AY55" s="30" t="n">
        <f aca="false">SUM(AY47:AY54)</f>
        <v>-1644006.37518572</v>
      </c>
      <c r="AZ55" s="30" t="n">
        <f aca="false">SUM(AZ47:AZ54)</f>
        <v>-1644237.20300675</v>
      </c>
      <c r="BA55" s="30" t="n">
        <f aca="false">SUM(BA47:BA54)</f>
        <v>-1644465.01721054</v>
      </c>
      <c r="BB55" s="30" t="n">
        <f aca="false">SUM(BB47:BB54)</f>
        <v>-1644689.86568195</v>
      </c>
      <c r="BC55" s="30" t="n">
        <f aca="false">SUM(BC47:BC54)</f>
        <v>-1644911.79530995</v>
      </c>
      <c r="BD55" s="30" t="n">
        <f aca="false">SUM(BD47:BD54)</f>
        <v>-1645130.85201385</v>
      </c>
      <c r="BE55" s="30" t="n">
        <f aca="false">SUM(BE47:BE54)</f>
        <v>-1645347.08076884</v>
      </c>
      <c r="BF55" s="30" t="n">
        <f aca="false">SUM(BF47:BF54)</f>
        <v>-1645560.52563071</v>
      </c>
      <c r="BG55" s="30" t="n">
        <f aca="false">SUM(BG47:BG54)</f>
        <v>-1645771.22975983</v>
      </c>
      <c r="BH55" s="30" t="n">
        <f aca="false">SUM(BH47:BH54)</f>
        <v>-1645979.23544439</v>
      </c>
      <c r="BI55" s="30" t="n">
        <f aca="false">SUM(BI47:BI54)</f>
        <v>-1646184.58412292</v>
      </c>
      <c r="BJ55" s="30" t="n">
        <f aca="false">SUM(BJ47:BJ54)</f>
        <v>-1646387.31640623</v>
      </c>
    </row>
    <row r="56" customFormat="false" ht="15" hidden="false" customHeight="false" outlineLevel="0" collapsed="false">
      <c r="A56" s="18" t="s">
        <v>135</v>
      </c>
      <c r="C56" s="30" t="n">
        <f aca="false">C44+C55</f>
        <v>-188421.409875417</v>
      </c>
      <c r="D56" s="30" t="n">
        <f aca="false">D44+D55</f>
        <v>-180592.811392732</v>
      </c>
      <c r="E56" s="30" t="n">
        <f aca="false">E44+E55</f>
        <v>-172944.695346498</v>
      </c>
      <c r="F56" s="30" t="n">
        <f aca="false">F44+F55</f>
        <v>-165472.652350769</v>
      </c>
      <c r="G56" s="30" t="n">
        <f aca="false">G44+G55</f>
        <v>-158172.391463386</v>
      </c>
      <c r="H56" s="30" t="n">
        <f aca="false">H44+H55</f>
        <v>-151039.736562434</v>
      </c>
      <c r="I56" s="30" t="n">
        <f aca="false">I44+I55</f>
        <v>-144070.622850275</v>
      </c>
      <c r="J56" s="30" t="n">
        <f aca="false">J44+J55</f>
        <v>-137261.093480111</v>
      </c>
      <c r="K56" s="30" t="n">
        <f aca="false">K44+K55</f>
        <v>-130607.296300253</v>
      </c>
      <c r="L56" s="30" t="n">
        <f aca="false">L44+L55</f>
        <v>-124105.480711445</v>
      </c>
      <c r="M56" s="30" t="n">
        <f aca="false">M44+M55</f>
        <v>-117751.994632837</v>
      </c>
      <c r="N56" s="30" t="n">
        <f aca="false">N44+N55</f>
        <v>-111543.281572336</v>
      </c>
      <c r="O56" s="30" t="n">
        <f aca="false">O44+O55</f>
        <v>-346026.474213465</v>
      </c>
      <c r="P56" s="30" t="n">
        <f aca="false">P44+P55</f>
        <v>-319630.477168002</v>
      </c>
      <c r="Q56" s="30" t="n">
        <f aca="false">Q44+Q55</f>
        <v>-293721.087645983</v>
      </c>
      <c r="R56" s="30" t="n">
        <f aca="false">R44+R55</f>
        <v>-268288.930313903</v>
      </c>
      <c r="S56" s="30" t="n">
        <f aca="false">S44+S55</f>
        <v>-243324.826289109</v>
      </c>
      <c r="T56" s="30" t="n">
        <f aca="false">T44+T55</f>
        <v>-218819.788409411</v>
      </c>
      <c r="U56" s="30" t="n">
        <f aca="false">U44+U55</f>
        <v>-194765.016639014</v>
      </c>
      <c r="V56" s="30" t="n">
        <f aca="false">V44+V55</f>
        <v>-171151.893606128</v>
      </c>
      <c r="W56" s="30" t="n">
        <f aca="false">W44+W55</f>
        <v>-147971.98026778</v>
      </c>
      <c r="X56" s="30" t="n">
        <f aca="false">X44+X55</f>
        <v>-125217.01169752</v>
      </c>
      <c r="Y56" s="30" t="n">
        <f aca="false">Y44+Y55</f>
        <v>-102878.892991888</v>
      </c>
      <c r="Z56" s="30" t="n">
        <f aca="false">Z44+Z55</f>
        <v>-80949.6952916624</v>
      </c>
      <c r="AA56" s="30" t="n">
        <f aca="false">AA44+AA55</f>
        <v>-327891.189748988</v>
      </c>
      <c r="AB56" s="30" t="n">
        <f aca="false">AB44+AB55</f>
        <v>-257547.905510569</v>
      </c>
      <c r="AC56" s="30" t="n">
        <f aca="false">AC44+AC55</f>
        <v>-188230.932172017</v>
      </c>
      <c r="AD56" s="30" t="n">
        <f aca="false">AD44+AD55</f>
        <v>-119925.113116872</v>
      </c>
      <c r="AE56" s="30" t="n">
        <f aca="false">AE44+AE55</f>
        <v>-52615.5230685151</v>
      </c>
      <c r="AF56" s="30" t="n">
        <f aca="false">AF44+AF55</f>
        <v>13712.5357411284</v>
      </c>
      <c r="AG56" s="30" t="n">
        <f aca="false">AG44+AG55</f>
        <v>79073.5373278937</v>
      </c>
      <c r="AH56" s="30" t="n">
        <f aca="false">AH44+AH55</f>
        <v>143481.73563857</v>
      </c>
      <c r="AI56" s="30" t="n">
        <f aca="false">AI44+AI55</f>
        <v>206951.16816279</v>
      </c>
      <c r="AJ56" s="30" t="n">
        <f aca="false">AJ44+AJ55</f>
        <v>269495.659475382</v>
      </c>
      <c r="AK56" s="30" t="n">
        <f aca="false">AK44+AK55</f>
        <v>331128.824710882</v>
      </c>
      <c r="AL56" s="30" t="n">
        <f aca="false">AL44+AL55</f>
        <v>391864.072971862</v>
      </c>
      <c r="AM56" s="30" t="n">
        <f aca="false">AM44+AM55</f>
        <v>64087.2329931299</v>
      </c>
      <c r="AN56" s="30" t="n">
        <f aca="false">AN44+AN55</f>
        <v>178604.275212272</v>
      </c>
      <c r="AO56" s="30" t="n">
        <f aca="false">AO44+AO55</f>
        <v>291716.512206166</v>
      </c>
      <c r="AP56" s="30" t="n">
        <f aca="false">AP44+AP55</f>
        <v>403440.937900833</v>
      </c>
      <c r="AQ56" s="30" t="n">
        <f aca="false">AQ44+AQ55</f>
        <v>513794.346408392</v>
      </c>
      <c r="AR56" s="30" t="n">
        <f aca="false">AR44+AR55</f>
        <v>622793.334218485</v>
      </c>
      <c r="AS56" s="30" t="n">
        <f aca="false">AS44+AS55</f>
        <v>730454.302370618</v>
      </c>
      <c r="AT56" s="30" t="n">
        <f aca="false">AT44+AT55</f>
        <v>836793.458607392</v>
      </c>
      <c r="AU56" s="30" t="n">
        <f aca="false">AU44+AU55</f>
        <v>941826.819508613</v>
      </c>
      <c r="AV56" s="30" t="n">
        <f aca="false">AV44+AV55</f>
        <v>1045570.2126063</v>
      </c>
      <c r="AW56" s="30" t="n">
        <f aca="false">AW44+AW55</f>
        <v>1148039.27848062</v>
      </c>
      <c r="AX56" s="30" t="n">
        <f aca="false">AX44+AX55</f>
        <v>1249249.47283668</v>
      </c>
      <c r="AY56" s="30" t="n">
        <f aca="false">AY44+AY55</f>
        <v>1154241.88576036</v>
      </c>
      <c r="AZ56" s="30" t="n">
        <f aca="false">AZ44+AZ55</f>
        <v>1327157.92120826</v>
      </c>
      <c r="BA56" s="30" t="n">
        <f aca="false">BA44+BA55</f>
        <v>1498323.76541231</v>
      </c>
      <c r="BB56" s="30" t="n">
        <f aca="false">BB44+BB55</f>
        <v>1667756.24337946</v>
      </c>
      <c r="BC56" s="30" t="n">
        <f aca="false">BC44+BC55</f>
        <v>1835472.04147639</v>
      </c>
      <c r="BD56" s="30" t="n">
        <f aca="false">BD44+BD55</f>
        <v>2001487.70787466</v>
      </c>
      <c r="BE56" s="30" t="n">
        <f aca="false">BE44+BE55</f>
        <v>2165819.65302066</v>
      </c>
      <c r="BF56" s="30" t="n">
        <f aca="false">BF44+BF55</f>
        <v>2328484.15012885</v>
      </c>
      <c r="BG56" s="30" t="n">
        <f aca="false">BG44+BG55</f>
        <v>2489497.33569737</v>
      </c>
      <c r="BH56" s="30" t="n">
        <f aca="false">BH44+BH55</f>
        <v>2648875.21004492</v>
      </c>
      <c r="BI56" s="30" t="n">
        <f aca="false">BI44+BI55</f>
        <v>2806633.63786775</v>
      </c>
      <c r="BJ56" s="30" t="n">
        <f aca="false">BJ44+BJ55</f>
        <v>2962788.34881588</v>
      </c>
    </row>
    <row r="57" customFormat="false" ht="15" hidden="false" customHeight="false" outlineLevel="0" collapsed="false">
      <c r="A57" s="5" t="s">
        <v>256</v>
      </c>
      <c r="C57" s="15" t="n">
        <f aca="false">IFERROR(C56/C37,0)</f>
        <v>-12.2932685836146</v>
      </c>
      <c r="D57" s="15" t="n">
        <f aca="false">IFERROR(D56/D37,0)</f>
        <v>-7.22102028984239</v>
      </c>
      <c r="E57" s="15" t="n">
        <f aca="false">IFERROR(E56/E37,0)</f>
        <v>-5.01692327439919</v>
      </c>
      <c r="F57" s="15" t="n">
        <f aca="false">IFERROR(F56/F37,0)</f>
        <v>-3.7847187625175</v>
      </c>
      <c r="G57" s="15" t="n">
        <f aca="false">IFERROR(G56/G37,0)</f>
        <v>-2.99788154724308</v>
      </c>
      <c r="H57" s="15" t="n">
        <f aca="false">IFERROR(H56/H37,0)</f>
        <v>-2.45203846337834</v>
      </c>
      <c r="I57" s="15" t="n">
        <f aca="false">IFERROR(I56/I37,0)</f>
        <v>-2.05127166109578</v>
      </c>
      <c r="J57" s="15" t="n">
        <f aca="false">IFERROR(J56/J37,0)</f>
        <v>-1.74460231927994</v>
      </c>
      <c r="K57" s="15" t="n">
        <f aca="false">IFERROR(K56/K37,0)</f>
        <v>-1.50243176572555</v>
      </c>
      <c r="L57" s="15" t="n">
        <f aca="false">IFERROR(L56/L37,0)</f>
        <v>-1.3063967802181</v>
      </c>
      <c r="M57" s="15" t="n">
        <f aca="false">IFERROR(M56/M37,0)</f>
        <v>-1.1445005344341</v>
      </c>
      <c r="N57" s="15" t="n">
        <f aca="false">IFERROR(N56/N37,0)</f>
        <v>-1.00857367183947</v>
      </c>
      <c r="O57" s="15" t="n">
        <f aca="false">IFERROR(O56/O37,0)</f>
        <v>-2.12511155997944</v>
      </c>
      <c r="P57" s="15" t="n">
        <f aca="false">IFERROR(P56/P37,0)</f>
        <v>-1.62854176934654</v>
      </c>
      <c r="Q57" s="15" t="n">
        <f aca="false">IFERROR(Q56/Q37,0)</f>
        <v>-1.28202483938375</v>
      </c>
      <c r="R57" s="15" t="n">
        <f aca="false">IFERROR(R56/R37,0)</f>
        <v>-1.02652523317546</v>
      </c>
      <c r="S57" s="15" t="n">
        <f aca="false">IFERROR(S56/S37,0)</f>
        <v>-0.830385133978752</v>
      </c>
      <c r="T57" s="15" t="n">
        <f aca="false">IFERROR(T56/T37,0)</f>
        <v>-0.675102761556543</v>
      </c>
      <c r="U57" s="15" t="n">
        <f aca="false">IFERROR(U56/U37,0)</f>
        <v>-0.549141496553784</v>
      </c>
      <c r="V57" s="15" t="n">
        <f aca="false">IFERROR(V56/V37,0)</f>
        <v>-0.444934200838304</v>
      </c>
      <c r="W57" s="15" t="n">
        <f aca="false">IFERROR(W56/W37,0)</f>
        <v>-0.357311188345082</v>
      </c>
      <c r="X57" s="15" t="n">
        <f aca="false">IFERROR(X56/X37,0)</f>
        <v>-0.2826204481446</v>
      </c>
      <c r="Y57" s="15" t="n">
        <f aca="false">IFERROR(Y56/Y37,0)</f>
        <v>-0.218208793141977</v>
      </c>
      <c r="Z57" s="15" t="n">
        <f aca="false">IFERROR(Z56/Z37,0)</f>
        <v>-0.162102243289174</v>
      </c>
      <c r="AA57" s="15" t="n">
        <f aca="false">IFERROR(AA56/AA37,0)</f>
        <v>-0.510563213163626</v>
      </c>
      <c r="AB57" s="15" t="n">
        <f aca="false">IFERROR(AB56/AB37,0)</f>
        <v>-0.351483602071773</v>
      </c>
      <c r="AC57" s="15" t="n">
        <f aca="false">IFERROR(AC56/AC37,0)</f>
        <v>-0.228993897702469</v>
      </c>
      <c r="AD57" s="15" t="n">
        <f aca="false">IFERROR(AD56/AD37,0)</f>
        <v>-0.131790136584185</v>
      </c>
      <c r="AE57" s="15" t="n">
        <f aca="false">IFERROR(AE56/AE37,0)</f>
        <v>-0.0527896902615023</v>
      </c>
      <c r="AF57" s="15" t="n">
        <f aca="false">IFERROR(AF56/AF37,0)</f>
        <v>0.0126709838013713</v>
      </c>
      <c r="AG57" s="15" t="n">
        <f aca="false">IFERROR(AG56/AG37,0)</f>
        <v>0.0677878919212167</v>
      </c>
      <c r="AH57" s="15" t="n">
        <f aca="false">IFERROR(AH56/AH37,0)</f>
        <v>0.114824660223037</v>
      </c>
      <c r="AI57" s="15" t="n">
        <f aca="false">IFERROR(AI56/AI37,0)</f>
        <v>0.155429427400039</v>
      </c>
      <c r="AJ57" s="15" t="n">
        <f aca="false">IFERROR(AJ56/AJ37,0)</f>
        <v>0.190830719051548</v>
      </c>
      <c r="AK57" s="15" t="n">
        <f aca="false">IFERROR(AK56/AK37,0)</f>
        <v>0.221962995585105</v>
      </c>
      <c r="AL57" s="15" t="n">
        <f aca="false">IFERROR(AL56/AL37,0)</f>
        <v>0.249549668653839</v>
      </c>
      <c r="AM57" s="15" t="n">
        <f aca="false">IFERROR(AM56/AM37,0)</f>
        <v>0.0377223261879092</v>
      </c>
      <c r="AN57" s="15" t="n">
        <f aca="false">IFERROR(AN56/AN37,0)</f>
        <v>0.0965720778292501</v>
      </c>
      <c r="AO57" s="15" t="n">
        <f aca="false">IFERROR(AO56/AO37,0)</f>
        <v>0.145991917961584</v>
      </c>
      <c r="AP57" s="15" t="n">
        <f aca="false">IFERROR(AP56/AP37,0)</f>
        <v>0.188073206761064</v>
      </c>
      <c r="AQ57" s="15" t="n">
        <f aca="false">IFERROR(AQ56/AQ37,0)</f>
        <v>0.224331544409275</v>
      </c>
      <c r="AR57" s="15" t="n">
        <f aca="false">IFERROR(AR56/AR37,0)</f>
        <v>0.25589214653851</v>
      </c>
      <c r="AS57" s="15" t="n">
        <f aca="false">IFERROR(AS56/AS37,0)</f>
        <v>0.283607931050404</v>
      </c>
      <c r="AT57" s="15" t="n">
        <f aca="false">IFERROR(AT56/AT37,0)</f>
        <v>0.308137186340301</v>
      </c>
      <c r="AU57" s="15" t="n">
        <f aca="false">IFERROR(AU56/AU37,0)</f>
        <v>0.329996090035364</v>
      </c>
      <c r="AV57" s="15" t="n">
        <f aca="false">IFERROR(AV56/AV37,0)</f>
        <v>0.349595092593074</v>
      </c>
      <c r="AW57" s="15" t="n">
        <f aca="false">IFERROR(AW56/AW37,0)</f>
        <v>0.367264667381581</v>
      </c>
      <c r="AX57" s="15" t="n">
        <f aca="false">IFERROR(AX56/AX37,0)</f>
        <v>0.383273884561032</v>
      </c>
      <c r="AY57" s="15" t="n">
        <f aca="false">IFERROR(AY56/AY37,0)</f>
        <v>0.320553748626563</v>
      </c>
      <c r="AZ57" s="15" t="n">
        <f aca="false">IFERROR(AZ56/AZ37,0)</f>
        <v>0.346576763632487</v>
      </c>
      <c r="BA57" s="15" t="n">
        <f aca="false">IFERROR(BA56/BA37,0)</f>
        <v>0.369441676584373</v>
      </c>
      <c r="BB57" s="15" t="n">
        <f aca="false">IFERROR(BB56/BB37,0)</f>
        <v>0.389687621806857</v>
      </c>
      <c r="BC57" s="15" t="n">
        <f aca="false">IFERROR(BC56/BC37,0)</f>
        <v>0.407737665016846</v>
      </c>
      <c r="BD57" s="15" t="n">
        <f aca="false">IFERROR(BD56/BD37,0)</f>
        <v>0.423928442229696</v>
      </c>
      <c r="BE57" s="15" t="n">
        <f aca="false">IFERROR(BE56/BE37,0)</f>
        <v>0.438531157796607</v>
      </c>
      <c r="BF57" s="15" t="n">
        <f aca="false">IFERROR(BF56/BF37,0)</f>
        <v>0.451766744383846</v>
      </c>
      <c r="BG57" s="15" t="n">
        <f aca="false">IFERROR(BG56/BG37,0)</f>
        <v>0.463816994702712</v>
      </c>
      <c r="BH57" s="15" t="n">
        <f aca="false">IFERROR(BH56/BH37,0)</f>
        <v>0.474832860797543</v>
      </c>
      <c r="BI57" s="15" t="n">
        <f aca="false">IFERROR(BI56/BI37,0)</f>
        <v>0.484940727510299</v>
      </c>
      <c r="BJ57" s="15" t="n">
        <f aca="false">IFERROR(BJ56/BJ37,0)</f>
        <v>0.494247214479917</v>
      </c>
    </row>
    <row r="58" customFormat="false" ht="15" hidden="false" customHeight="false" outlineLevel="0" collapsed="false">
      <c r="A58" s="3" t="s">
        <v>257</v>
      </c>
      <c r="B58" s="4"/>
    </row>
    <row r="59" customFormat="false" ht="15" hidden="false" customHeight="false" outlineLevel="0" collapsed="false">
      <c r="A59" s="5" t="s">
        <v>258</v>
      </c>
      <c r="C59" s="21" t="n">
        <f aca="false">IF(C$3=1,Premissas!$B$14,0)+IF(C$3=INDEX(Premissas!$B$53:$D$53,$B$2),INDEX(Premissas!$B$52:$D$52,$B$2),0)</f>
        <v>3300000</v>
      </c>
      <c r="D59" s="21" t="n">
        <f aca="false">IF(D$3=1,Premissas!$B$14,0)+IF(D$3=INDEX(Premissas!$B$53:$D$53,$B$2),INDEX(Premissas!$B$52:$D$52,$B$2),0)</f>
        <v>0</v>
      </c>
      <c r="E59" s="21" t="n">
        <f aca="false">IF(E$3=1,Premissas!$B$14,0)+IF(E$3=INDEX(Premissas!$B$53:$D$53,$B$2),INDEX(Premissas!$B$52:$D$52,$B$2),0)</f>
        <v>0</v>
      </c>
      <c r="F59" s="21" t="n">
        <f aca="false">IF(F$3=1,Premissas!$B$14,0)+IF(F$3=INDEX(Premissas!$B$53:$D$53,$B$2),INDEX(Premissas!$B$52:$D$52,$B$2),0)</f>
        <v>0</v>
      </c>
      <c r="G59" s="21" t="n">
        <f aca="false">IF(G$3=1,Premissas!$B$14,0)+IF(G$3=INDEX(Premissas!$B$53:$D$53,$B$2),INDEX(Premissas!$B$52:$D$52,$B$2),0)</f>
        <v>0</v>
      </c>
      <c r="H59" s="21" t="n">
        <f aca="false">IF(H$3=1,Premissas!$B$14,0)+IF(H$3=INDEX(Premissas!$B$53:$D$53,$B$2),INDEX(Premissas!$B$52:$D$52,$B$2),0)</f>
        <v>0</v>
      </c>
      <c r="I59" s="21" t="n">
        <f aca="false">IF(I$3=1,Premissas!$B$14,0)+IF(I$3=INDEX(Premissas!$B$53:$D$53,$B$2),INDEX(Premissas!$B$52:$D$52,$B$2),0)</f>
        <v>0</v>
      </c>
      <c r="J59" s="21" t="n">
        <f aca="false">IF(J$3=1,Premissas!$B$14,0)+IF(J$3=INDEX(Premissas!$B$53:$D$53,$B$2),INDEX(Premissas!$B$52:$D$52,$B$2),0)</f>
        <v>0</v>
      </c>
      <c r="K59" s="21" t="n">
        <f aca="false">IF(K$3=1,Premissas!$B$14,0)+IF(K$3=INDEX(Premissas!$B$53:$D$53,$B$2),INDEX(Premissas!$B$52:$D$52,$B$2),0)</f>
        <v>0</v>
      </c>
      <c r="L59" s="21" t="n">
        <f aca="false">IF(L$3=1,Premissas!$B$14,0)+IF(L$3=INDEX(Premissas!$B$53:$D$53,$B$2),INDEX(Premissas!$B$52:$D$52,$B$2),0)</f>
        <v>0</v>
      </c>
      <c r="M59" s="21" t="n">
        <f aca="false">IF(M$3=1,Premissas!$B$14,0)+IF(M$3=INDEX(Premissas!$B$53:$D$53,$B$2),INDEX(Premissas!$B$52:$D$52,$B$2),0)</f>
        <v>0</v>
      </c>
      <c r="N59" s="21" t="n">
        <f aca="false">IF(N$3=1,Premissas!$B$14,0)+IF(N$3=INDEX(Premissas!$B$53:$D$53,$B$2),INDEX(Premissas!$B$52:$D$52,$B$2),0)</f>
        <v>0</v>
      </c>
      <c r="O59" s="21" t="n">
        <f aca="false">IF(O$3=1,Premissas!$B$14,0)+IF(O$3=INDEX(Premissas!$B$53:$D$53,$B$2),INDEX(Premissas!$B$52:$D$52,$B$2),0)</f>
        <v>0</v>
      </c>
      <c r="P59" s="21" t="n">
        <f aca="false">IF(P$3=1,Premissas!$B$14,0)+IF(P$3=INDEX(Premissas!$B$53:$D$53,$B$2),INDEX(Premissas!$B$52:$D$52,$B$2),0)</f>
        <v>0</v>
      </c>
      <c r="Q59" s="21" t="n">
        <f aca="false">IF(Q$3=1,Premissas!$B$14,0)+IF(Q$3=INDEX(Premissas!$B$53:$D$53,$B$2),INDEX(Premissas!$B$52:$D$52,$B$2),0)</f>
        <v>0</v>
      </c>
      <c r="R59" s="21" t="n">
        <f aca="false">IF(R$3=1,Premissas!$B$14,0)+IF(R$3=INDEX(Premissas!$B$53:$D$53,$B$2),INDEX(Premissas!$B$52:$D$52,$B$2),0)</f>
        <v>8000000</v>
      </c>
      <c r="S59" s="21" t="n">
        <f aca="false">IF(S$3=1,Premissas!$B$14,0)+IF(S$3=INDEX(Premissas!$B$53:$D$53,$B$2),INDEX(Premissas!$B$52:$D$52,$B$2),0)</f>
        <v>0</v>
      </c>
      <c r="T59" s="21" t="n">
        <f aca="false">IF(T$3=1,Premissas!$B$14,0)+IF(T$3=INDEX(Premissas!$B$53:$D$53,$B$2),INDEX(Premissas!$B$52:$D$52,$B$2),0)</f>
        <v>0</v>
      </c>
      <c r="U59" s="21" t="n">
        <f aca="false">IF(U$3=1,Premissas!$B$14,0)+IF(U$3=INDEX(Premissas!$B$53:$D$53,$B$2),INDEX(Premissas!$B$52:$D$52,$B$2),0)</f>
        <v>0</v>
      </c>
      <c r="V59" s="21" t="n">
        <f aca="false">IF(V$3=1,Premissas!$B$14,0)+IF(V$3=INDEX(Premissas!$B$53:$D$53,$B$2),INDEX(Premissas!$B$52:$D$52,$B$2),0)</f>
        <v>0</v>
      </c>
      <c r="W59" s="21" t="n">
        <f aca="false">IF(W$3=1,Premissas!$B$14,0)+IF(W$3=INDEX(Premissas!$B$53:$D$53,$B$2),INDEX(Premissas!$B$52:$D$52,$B$2),0)</f>
        <v>0</v>
      </c>
      <c r="X59" s="21" t="n">
        <f aca="false">IF(X$3=1,Premissas!$B$14,0)+IF(X$3=INDEX(Premissas!$B$53:$D$53,$B$2),INDEX(Premissas!$B$52:$D$52,$B$2),0)</f>
        <v>0</v>
      </c>
      <c r="Y59" s="21" t="n">
        <f aca="false">IF(Y$3=1,Premissas!$B$14,0)+IF(Y$3=INDEX(Premissas!$B$53:$D$53,$B$2),INDEX(Premissas!$B$52:$D$52,$B$2),0)</f>
        <v>0</v>
      </c>
      <c r="Z59" s="21" t="n">
        <f aca="false">IF(Z$3=1,Premissas!$B$14,0)+IF(Z$3=INDEX(Premissas!$B$53:$D$53,$B$2),INDEX(Premissas!$B$52:$D$52,$B$2),0)</f>
        <v>0</v>
      </c>
      <c r="AA59" s="21" t="n">
        <f aca="false">IF(AA$3=1,Premissas!$B$14,0)+IF(AA$3=INDEX(Premissas!$B$53:$D$53,$B$2),INDEX(Premissas!$B$52:$D$52,$B$2),0)</f>
        <v>0</v>
      </c>
      <c r="AB59" s="21" t="n">
        <f aca="false">IF(AB$3=1,Premissas!$B$14,0)+IF(AB$3=INDEX(Premissas!$B$53:$D$53,$B$2),INDEX(Premissas!$B$52:$D$52,$B$2),0)</f>
        <v>0</v>
      </c>
      <c r="AC59" s="21" t="n">
        <f aca="false">IF(AC$3=1,Premissas!$B$14,0)+IF(AC$3=INDEX(Premissas!$B$53:$D$53,$B$2),INDEX(Premissas!$B$52:$D$52,$B$2),0)</f>
        <v>0</v>
      </c>
      <c r="AD59" s="21" t="n">
        <f aca="false">IF(AD$3=1,Premissas!$B$14,0)+IF(AD$3=INDEX(Premissas!$B$53:$D$53,$B$2),INDEX(Premissas!$B$52:$D$52,$B$2),0)</f>
        <v>0</v>
      </c>
      <c r="AE59" s="21" t="n">
        <f aca="false">IF(AE$3=1,Premissas!$B$14,0)+IF(AE$3=INDEX(Premissas!$B$53:$D$53,$B$2),INDEX(Premissas!$B$52:$D$52,$B$2),0)</f>
        <v>0</v>
      </c>
      <c r="AF59" s="21" t="n">
        <f aca="false">IF(AF$3=1,Premissas!$B$14,0)+IF(AF$3=INDEX(Premissas!$B$53:$D$53,$B$2),INDEX(Premissas!$B$52:$D$52,$B$2),0)</f>
        <v>0</v>
      </c>
      <c r="AG59" s="21" t="n">
        <f aca="false">IF(AG$3=1,Premissas!$B$14,0)+IF(AG$3=INDEX(Premissas!$B$53:$D$53,$B$2),INDEX(Premissas!$B$52:$D$52,$B$2),0)</f>
        <v>0</v>
      </c>
      <c r="AH59" s="21" t="n">
        <f aca="false">IF(AH$3=1,Premissas!$B$14,0)+IF(AH$3=INDEX(Premissas!$B$53:$D$53,$B$2),INDEX(Premissas!$B$52:$D$52,$B$2),0)</f>
        <v>0</v>
      </c>
      <c r="AI59" s="21" t="n">
        <f aca="false">IF(AI$3=1,Premissas!$B$14,0)+IF(AI$3=INDEX(Premissas!$B$53:$D$53,$B$2),INDEX(Premissas!$B$52:$D$52,$B$2),0)</f>
        <v>0</v>
      </c>
      <c r="AJ59" s="21" t="n">
        <f aca="false">IF(AJ$3=1,Premissas!$B$14,0)+IF(AJ$3=INDEX(Premissas!$B$53:$D$53,$B$2),INDEX(Premissas!$B$52:$D$52,$B$2),0)</f>
        <v>0</v>
      </c>
      <c r="AK59" s="21" t="n">
        <f aca="false">IF(AK$3=1,Premissas!$B$14,0)+IF(AK$3=INDEX(Premissas!$B$53:$D$53,$B$2),INDEX(Premissas!$B$52:$D$52,$B$2),0)</f>
        <v>0</v>
      </c>
      <c r="AL59" s="21" t="n">
        <f aca="false">IF(AL$3=1,Premissas!$B$14,0)+IF(AL$3=INDEX(Premissas!$B$53:$D$53,$B$2),INDEX(Premissas!$B$52:$D$52,$B$2),0)</f>
        <v>0</v>
      </c>
      <c r="AM59" s="21" t="n">
        <f aca="false">IF(AM$3=1,Premissas!$B$14,0)+IF(AM$3=INDEX(Premissas!$B$53:$D$53,$B$2),INDEX(Premissas!$B$52:$D$52,$B$2),0)</f>
        <v>0</v>
      </c>
      <c r="AN59" s="21" t="n">
        <f aca="false">IF(AN$3=1,Premissas!$B$14,0)+IF(AN$3=INDEX(Premissas!$B$53:$D$53,$B$2),INDEX(Premissas!$B$52:$D$52,$B$2),0)</f>
        <v>0</v>
      </c>
      <c r="AO59" s="21" t="n">
        <f aca="false">IF(AO$3=1,Premissas!$B$14,0)+IF(AO$3=INDEX(Premissas!$B$53:$D$53,$B$2),INDEX(Premissas!$B$52:$D$52,$B$2),0)</f>
        <v>0</v>
      </c>
      <c r="AP59" s="21" t="n">
        <f aca="false">IF(AP$3=1,Premissas!$B$14,0)+IF(AP$3=INDEX(Premissas!$B$53:$D$53,$B$2),INDEX(Premissas!$B$52:$D$52,$B$2),0)</f>
        <v>0</v>
      </c>
      <c r="AQ59" s="21" t="n">
        <f aca="false">IF(AQ$3=1,Premissas!$B$14,0)+IF(AQ$3=INDEX(Premissas!$B$53:$D$53,$B$2),INDEX(Premissas!$B$52:$D$52,$B$2),0)</f>
        <v>0</v>
      </c>
      <c r="AR59" s="21" t="n">
        <f aca="false">IF(AR$3=1,Premissas!$B$14,0)+IF(AR$3=INDEX(Premissas!$B$53:$D$53,$B$2),INDEX(Premissas!$B$52:$D$52,$B$2),0)</f>
        <v>0</v>
      </c>
      <c r="AS59" s="21" t="n">
        <f aca="false">IF(AS$3=1,Premissas!$B$14,0)+IF(AS$3=INDEX(Premissas!$B$53:$D$53,$B$2),INDEX(Premissas!$B$52:$D$52,$B$2),0)</f>
        <v>0</v>
      </c>
      <c r="AT59" s="21" t="n">
        <f aca="false">IF(AT$3=1,Premissas!$B$14,0)+IF(AT$3=INDEX(Premissas!$B$53:$D$53,$B$2),INDEX(Premissas!$B$52:$D$52,$B$2),0)</f>
        <v>0</v>
      </c>
      <c r="AU59" s="21" t="n">
        <f aca="false">IF(AU$3=1,Premissas!$B$14,0)+IF(AU$3=INDEX(Premissas!$B$53:$D$53,$B$2),INDEX(Premissas!$B$52:$D$52,$B$2),0)</f>
        <v>0</v>
      </c>
      <c r="AV59" s="21" t="n">
        <f aca="false">IF(AV$3=1,Premissas!$B$14,0)+IF(AV$3=INDEX(Premissas!$B$53:$D$53,$B$2),INDEX(Premissas!$B$52:$D$52,$B$2),0)</f>
        <v>0</v>
      </c>
      <c r="AW59" s="21" t="n">
        <f aca="false">IF(AW$3=1,Premissas!$B$14,0)+IF(AW$3=INDEX(Premissas!$B$53:$D$53,$B$2),INDEX(Premissas!$B$52:$D$52,$B$2),0)</f>
        <v>0</v>
      </c>
      <c r="AX59" s="21" t="n">
        <f aca="false">IF(AX$3=1,Premissas!$B$14,0)+IF(AX$3=INDEX(Premissas!$B$53:$D$53,$B$2),INDEX(Premissas!$B$52:$D$52,$B$2),0)</f>
        <v>0</v>
      </c>
      <c r="AY59" s="21" t="n">
        <f aca="false">IF(AY$3=1,Premissas!$B$14,0)+IF(AY$3=INDEX(Premissas!$B$53:$D$53,$B$2),INDEX(Premissas!$B$52:$D$52,$B$2),0)</f>
        <v>0</v>
      </c>
      <c r="AZ59" s="21" t="n">
        <f aca="false">IF(AZ$3=1,Premissas!$B$14,0)+IF(AZ$3=INDEX(Premissas!$B$53:$D$53,$B$2),INDEX(Premissas!$B$52:$D$52,$B$2),0)</f>
        <v>0</v>
      </c>
      <c r="BA59" s="21" t="n">
        <f aca="false">IF(BA$3=1,Premissas!$B$14,0)+IF(BA$3=INDEX(Premissas!$B$53:$D$53,$B$2),INDEX(Premissas!$B$52:$D$52,$B$2),0)</f>
        <v>0</v>
      </c>
      <c r="BB59" s="21" t="n">
        <f aca="false">IF(BB$3=1,Premissas!$B$14,0)+IF(BB$3=INDEX(Premissas!$B$53:$D$53,$B$2),INDEX(Premissas!$B$52:$D$52,$B$2),0)</f>
        <v>0</v>
      </c>
      <c r="BC59" s="21" t="n">
        <f aca="false">IF(BC$3=1,Premissas!$B$14,0)+IF(BC$3=INDEX(Premissas!$B$53:$D$53,$B$2),INDEX(Premissas!$B$52:$D$52,$B$2),0)</f>
        <v>0</v>
      </c>
      <c r="BD59" s="21" t="n">
        <f aca="false">IF(BD$3=1,Premissas!$B$14,0)+IF(BD$3=INDEX(Premissas!$B$53:$D$53,$B$2),INDEX(Premissas!$B$52:$D$52,$B$2),0)</f>
        <v>0</v>
      </c>
      <c r="BE59" s="21" t="n">
        <f aca="false">IF(BE$3=1,Premissas!$B$14,0)+IF(BE$3=INDEX(Premissas!$B$53:$D$53,$B$2),INDEX(Premissas!$B$52:$D$52,$B$2),0)</f>
        <v>0</v>
      </c>
      <c r="BF59" s="21" t="n">
        <f aca="false">IF(BF$3=1,Premissas!$B$14,0)+IF(BF$3=INDEX(Premissas!$B$53:$D$53,$B$2),INDEX(Premissas!$B$52:$D$52,$B$2),0)</f>
        <v>0</v>
      </c>
      <c r="BG59" s="21" t="n">
        <f aca="false">IF(BG$3=1,Premissas!$B$14,0)+IF(BG$3=INDEX(Premissas!$B$53:$D$53,$B$2),INDEX(Premissas!$B$52:$D$52,$B$2),0)</f>
        <v>0</v>
      </c>
      <c r="BH59" s="21" t="n">
        <f aca="false">IF(BH$3=1,Premissas!$B$14,0)+IF(BH$3=INDEX(Premissas!$B$53:$D$53,$B$2),INDEX(Premissas!$B$52:$D$52,$B$2),0)</f>
        <v>0</v>
      </c>
      <c r="BI59" s="21" t="n">
        <f aca="false">IF(BI$3=1,Premissas!$B$14,0)+IF(BI$3=INDEX(Premissas!$B$53:$D$53,$B$2),INDEX(Premissas!$B$52:$D$52,$B$2),0)</f>
        <v>0</v>
      </c>
      <c r="BJ59" s="21" t="n">
        <f aca="false">IF(BJ$3=1,Premissas!$B$14,0)+IF(BJ$3=INDEX(Premissas!$B$53:$D$53,$B$2),INDEX(Premissas!$B$52:$D$52,$B$2),0)</f>
        <v>0</v>
      </c>
    </row>
    <row r="60" customFormat="false" ht="15" hidden="false" customHeight="false" outlineLevel="0" collapsed="false">
      <c r="A60" s="18" t="s">
        <v>259</v>
      </c>
      <c r="C60" s="30" t="n">
        <f aca="false">C59+C56</f>
        <v>3111578.59012458</v>
      </c>
      <c r="D60" s="30" t="n">
        <f aca="false">C60+D59+D56</f>
        <v>2930985.77873185</v>
      </c>
      <c r="E60" s="30" t="n">
        <f aca="false">D60+E59+E56</f>
        <v>2758041.08338535</v>
      </c>
      <c r="F60" s="30" t="n">
        <f aca="false">E60+F59+F56</f>
        <v>2592568.43103459</v>
      </c>
      <c r="G60" s="30" t="n">
        <f aca="false">F60+G59+G56</f>
        <v>2434396.0395712</v>
      </c>
      <c r="H60" s="30" t="n">
        <f aca="false">G60+H59+H56</f>
        <v>2283356.30300877</v>
      </c>
      <c r="I60" s="30" t="n">
        <f aca="false">H60+I59+I56</f>
        <v>2139285.68015849</v>
      </c>
      <c r="J60" s="30" t="n">
        <f aca="false">I60+J59+J56</f>
        <v>2002024.58667838</v>
      </c>
      <c r="K60" s="30" t="n">
        <f aca="false">J60+K59+K56</f>
        <v>1871417.29037813</v>
      </c>
      <c r="L60" s="30" t="n">
        <f aca="false">K60+L59+L56</f>
        <v>1747311.80966668</v>
      </c>
      <c r="M60" s="30" t="n">
        <f aca="false">L60+M59+M56</f>
        <v>1629559.81503384</v>
      </c>
      <c r="N60" s="30" t="n">
        <f aca="false">M60+N59+N56</f>
        <v>1518016.53346151</v>
      </c>
      <c r="O60" s="30" t="n">
        <f aca="false">N60+O59+O56</f>
        <v>1171990.05924804</v>
      </c>
      <c r="P60" s="30" t="n">
        <f aca="false">O60+P59+P56</f>
        <v>852359.582080042</v>
      </c>
      <c r="Q60" s="30" t="n">
        <f aca="false">P60+Q59+Q56</f>
        <v>558638.494434058</v>
      </c>
      <c r="R60" s="30" t="n">
        <f aca="false">Q60+R59+R56</f>
        <v>8290349.56412016</v>
      </c>
      <c r="S60" s="30" t="n">
        <f aca="false">R60+S59+S56</f>
        <v>8047024.73783105</v>
      </c>
      <c r="T60" s="30" t="n">
        <f aca="false">S60+T59+T56</f>
        <v>7828204.94942164</v>
      </c>
      <c r="U60" s="30" t="n">
        <f aca="false">T60+U59+U56</f>
        <v>7633439.93278262</v>
      </c>
      <c r="V60" s="30" t="n">
        <f aca="false">U60+V59+V56</f>
        <v>7462288.03917649</v>
      </c>
      <c r="W60" s="30" t="n">
        <f aca="false">V60+W59+W56</f>
        <v>7314316.05890871</v>
      </c>
      <c r="X60" s="30" t="n">
        <f aca="false">W60+X59+X56</f>
        <v>7189099.04721119</v>
      </c>
      <c r="Y60" s="30" t="n">
        <f aca="false">X60+Y59+Y56</f>
        <v>7086220.15421931</v>
      </c>
      <c r="Z60" s="30" t="n">
        <f aca="false">Y60+Z59+Z56</f>
        <v>7005270.45892764</v>
      </c>
      <c r="AA60" s="30" t="n">
        <f aca="false">Z60+AA59+AA56</f>
        <v>6677379.26917866</v>
      </c>
      <c r="AB60" s="30" t="n">
        <f aca="false">AA60+AB59+AB56</f>
        <v>6419831.36366809</v>
      </c>
      <c r="AC60" s="30" t="n">
        <f aca="false">AB60+AC59+AC56</f>
        <v>6231600.43149607</v>
      </c>
      <c r="AD60" s="30" t="n">
        <f aca="false">AC60+AD59+AD56</f>
        <v>6111675.3183792</v>
      </c>
      <c r="AE60" s="30" t="n">
        <f aca="false">AD60+AE59+AE56</f>
        <v>6059059.79531068</v>
      </c>
      <c r="AF60" s="30" t="n">
        <f aca="false">AE60+AF59+AF56</f>
        <v>6072772.33105181</v>
      </c>
      <c r="AG60" s="30" t="n">
        <f aca="false">AF60+AG59+AG56</f>
        <v>6151845.86837971</v>
      </c>
      <c r="AH60" s="30" t="n">
        <f aca="false">AG60+AH59+AH56</f>
        <v>6295327.60401828</v>
      </c>
      <c r="AI60" s="30" t="n">
        <f aca="false">AH60+AI59+AI56</f>
        <v>6502278.77218107</v>
      </c>
      <c r="AJ60" s="30" t="n">
        <f aca="false">AI60+AJ59+AJ56</f>
        <v>6771774.43165645</v>
      </c>
      <c r="AK60" s="30" t="n">
        <f aca="false">AJ60+AK59+AK56</f>
        <v>7102903.25636733</v>
      </c>
      <c r="AL60" s="30" t="n">
        <f aca="false">AK60+AL59+AL56</f>
        <v>7494767.32933919</v>
      </c>
      <c r="AM60" s="30" t="n">
        <f aca="false">AL60+AM59+AM56</f>
        <v>7558854.56233232</v>
      </c>
      <c r="AN60" s="30" t="n">
        <f aca="false">AM60+AN59+AN56</f>
        <v>7737458.83754459</v>
      </c>
      <c r="AO60" s="30" t="n">
        <f aca="false">AN60+AO59+AO56</f>
        <v>8029175.34975076</v>
      </c>
      <c r="AP60" s="30" t="n">
        <f aca="false">AO60+AP59+AP56</f>
        <v>8432616.28765159</v>
      </c>
      <c r="AQ60" s="30" t="n">
        <f aca="false">AP60+AQ59+AQ56</f>
        <v>8946410.63405998</v>
      </c>
      <c r="AR60" s="30" t="n">
        <f aca="false">AQ60+AR59+AR56</f>
        <v>9569203.96827847</v>
      </c>
      <c r="AS60" s="30" t="n">
        <f aca="false">AR60+AS59+AS56</f>
        <v>10299658.2706491</v>
      </c>
      <c r="AT60" s="30" t="n">
        <f aca="false">AS60+AT59+AT56</f>
        <v>11136451.7292565</v>
      </c>
      <c r="AU60" s="30" t="n">
        <f aca="false">AT60+AU59+AU56</f>
        <v>12078278.5487651</v>
      </c>
      <c r="AV60" s="30" t="n">
        <f aca="false">AU60+AV59+AV56</f>
        <v>13123848.7613714</v>
      </c>
      <c r="AW60" s="30" t="n">
        <f aca="false">AV60+AW59+AW56</f>
        <v>14271888.039852</v>
      </c>
      <c r="AX60" s="30" t="n">
        <f aca="false">AW60+AX59+AX56</f>
        <v>15521137.5126887</v>
      </c>
      <c r="AY60" s="30" t="n">
        <f aca="false">AX60+AY59+AY56</f>
        <v>16675379.398449</v>
      </c>
      <c r="AZ60" s="30" t="n">
        <f aca="false">AY60+AZ59+AZ56</f>
        <v>18002537.3196573</v>
      </c>
      <c r="BA60" s="30" t="n">
        <f aca="false">AZ60+BA59+BA56</f>
        <v>19500861.0850696</v>
      </c>
      <c r="BB60" s="30" t="n">
        <f aca="false">BA60+BB59+BB56</f>
        <v>21168617.3284491</v>
      </c>
      <c r="BC60" s="30" t="n">
        <f aca="false">BB60+BC59+BC56</f>
        <v>23004089.3699255</v>
      </c>
      <c r="BD60" s="30" t="n">
        <f aca="false">BC60+BD59+BD56</f>
        <v>25005577.0778001</v>
      </c>
      <c r="BE60" s="30" t="n">
        <f aca="false">BD60+BE59+BE56</f>
        <v>27171396.7308208</v>
      </c>
      <c r="BF60" s="30" t="n">
        <f aca="false">BE60+BF59+BF56</f>
        <v>29499880.8809496</v>
      </c>
      <c r="BG60" s="30" t="n">
        <f aca="false">BF60+BG59+BG56</f>
        <v>31989378.216647</v>
      </c>
      <c r="BH60" s="30" t="n">
        <f aca="false">BG60+BH59+BH56</f>
        <v>34638253.4266919</v>
      </c>
      <c r="BI60" s="30" t="n">
        <f aca="false">BH60+BI59+BI56</f>
        <v>37444887.0645597</v>
      </c>
      <c r="BJ60" s="30" t="n">
        <f aca="false">BI60+BJ59+BJ56</f>
        <v>40407675.4133756</v>
      </c>
    </row>
    <row r="61" customFormat="false" ht="15" hidden="false" customHeight="false" outlineLevel="0" collapsed="false">
      <c r="A61" s="3" t="s">
        <v>260</v>
      </c>
      <c r="B61" s="4"/>
    </row>
    <row r="62" customFormat="false" ht="15" hidden="false" customHeight="false" outlineLevel="0" collapsed="false">
      <c r="A62" s="5" t="s">
        <v>261</v>
      </c>
      <c r="C62" s="16" t="n">
        <f aca="false">C32*12</f>
        <v>126489.113333333</v>
      </c>
      <c r="D62" s="16" t="n">
        <f aca="false">D32*12</f>
        <v>250114.79605</v>
      </c>
      <c r="E62" s="16" t="n">
        <f aca="false">E32*12</f>
        <v>370945.348683583</v>
      </c>
      <c r="F62" s="16" t="n">
        <f aca="false">F32*12</f>
        <v>489047.288824687</v>
      </c>
      <c r="G62" s="16" t="n">
        <f aca="false">G32*12</f>
        <v>604485.404148278</v>
      </c>
      <c r="H62" s="16" t="n">
        <f aca="false">H32*12</f>
        <v>717322.803613212</v>
      </c>
      <c r="I62" s="16" t="n">
        <f aca="false">I32*12</f>
        <v>827620.966905462</v>
      </c>
      <c r="J62" s="16" t="n">
        <f aca="false">J32*12</f>
        <v>935439.792193551</v>
      </c>
      <c r="K62" s="16" t="n">
        <f aca="false">K32*12</f>
        <v>1040837.64226174</v>
      </c>
      <c r="L62" s="16" t="n">
        <f aca="false">L32*12</f>
        <v>1143871.38908379</v>
      </c>
      <c r="M62" s="16" t="n">
        <f aca="false">M32*12</f>
        <v>1244596.45689736</v>
      </c>
      <c r="N62" s="16" t="n">
        <f aca="false">N32*12</f>
        <v>1343066.86383673</v>
      </c>
      <c r="O62" s="16" t="n">
        <f aca="false">O32*12</f>
        <v>1765774.6305792</v>
      </c>
      <c r="P62" s="16" t="n">
        <f aca="false">P32*12</f>
        <v>2180890.57668055</v>
      </c>
      <c r="Q62" s="16" t="n">
        <f aca="false">Q32*12</f>
        <v>2588555.07607625</v>
      </c>
      <c r="R62" s="16" t="n">
        <f aca="false">R32*12</f>
        <v>2988905.73977855</v>
      </c>
      <c r="S62" s="16" t="n">
        <f aca="false">S32*12</f>
        <v>3382077.47714011</v>
      </c>
      <c r="T62" s="16" t="n">
        <f aca="false">T32*12</f>
        <v>3768202.55549162</v>
      </c>
      <c r="U62" s="16" t="n">
        <f aca="false">U32*12</f>
        <v>4147410.65820565</v>
      </c>
      <c r="V62" s="16" t="n">
        <f aca="false">V32*12</f>
        <v>4519828.94123741</v>
      </c>
      <c r="W62" s="16" t="n">
        <f aca="false">W32*12</f>
        <v>4885582.08819078</v>
      </c>
      <c r="X62" s="16" t="n">
        <f aca="false">X32*12</f>
        <v>5244792.36395655</v>
      </c>
      <c r="Y62" s="16" t="n">
        <f aca="false">Y32*12</f>
        <v>5597579.66696793</v>
      </c>
      <c r="Z62" s="16" t="n">
        <f aca="false">Z32*12</f>
        <v>5944061.58011658</v>
      </c>
      <c r="AA62" s="16" t="n">
        <f aca="false">AA32*12</f>
        <v>7053208.50942604</v>
      </c>
      <c r="AB62" s="16" t="n">
        <f aca="false">AB32*12</f>
        <v>8146649.76623025</v>
      </c>
      <c r="AC62" s="16" t="n">
        <f aca="false">AC32*12</f>
        <v>9224604.09954399</v>
      </c>
      <c r="AD62" s="16" t="n">
        <f aca="false">AD32*12</f>
        <v>10287287.3111757</v>
      </c>
      <c r="AE62" s="16" t="n">
        <f aca="false">AE32*12</f>
        <v>11334912.2924521</v>
      </c>
      <c r="AF62" s="16" t="n">
        <f aca="false">AF32*12</f>
        <v>12367689.0605852</v>
      </c>
      <c r="AG62" s="16" t="n">
        <f aca="false">AG32*12</f>
        <v>13385824.794681</v>
      </c>
      <c r="AH62" s="16" t="n">
        <f aca="false">AH32*12</f>
        <v>14389523.8713889</v>
      </c>
      <c r="AI62" s="16" t="n">
        <f aca="false">AI32*12</f>
        <v>15378987.9001943</v>
      </c>
      <c r="AJ62" s="16" t="n">
        <f aca="false">AJ32*12</f>
        <v>16354415.7583516</v>
      </c>
      <c r="AK62" s="16" t="n">
        <f aca="false">AK32*12</f>
        <v>17316003.6254603</v>
      </c>
      <c r="AL62" s="16" t="n">
        <f aca="false">AL32*12</f>
        <v>18263945.0176831</v>
      </c>
      <c r="AM62" s="16" t="n">
        <f aca="false">AM32*12</f>
        <v>20186475.0927036</v>
      </c>
      <c r="AN62" s="16" t="n">
        <f aca="false">AN32*12</f>
        <v>22086189.9129088</v>
      </c>
      <c r="AO62" s="16" t="n">
        <f aca="false">AO32*12</f>
        <v>23963345.7052289</v>
      </c>
      <c r="AP62" s="16" t="n">
        <f aca="false">AP32*12</f>
        <v>25818196.2446417</v>
      </c>
      <c r="AQ62" s="16" t="n">
        <f aca="false">AQ32*12</f>
        <v>27650992.8633847</v>
      </c>
      <c r="AR62" s="16" t="n">
        <f aca="false">AR32*12</f>
        <v>29461984.4607194</v>
      </c>
      <c r="AS62" s="16" t="n">
        <f aca="false">AS32*12</f>
        <v>31251417.5132212</v>
      </c>
      <c r="AT62" s="16" t="n">
        <f aca="false">AT32*12</f>
        <v>33019536.0855629</v>
      </c>
      <c r="AU62" s="16" t="n">
        <f aca="false">AU32*12</f>
        <v>34766581.8417688</v>
      </c>
      <c r="AV62" s="16" t="n">
        <f aca="false">AV32*12</f>
        <v>36492794.056911</v>
      </c>
      <c r="AW62" s="16" t="n">
        <f aca="false">AW32*12</f>
        <v>38198409.6292239</v>
      </c>
      <c r="AX62" s="16" t="n">
        <f aca="false">AX32*12</f>
        <v>39883663.0926128</v>
      </c>
      <c r="AY62" s="16" t="n">
        <f aca="false">AY32*12</f>
        <v>42746549.3814957</v>
      </c>
      <c r="AZ62" s="16" t="n">
        <f aca="false">AZ32*12</f>
        <v>45581355.2553126</v>
      </c>
      <c r="BA62" s="16" t="n">
        <f aca="false">BA32*12</f>
        <v>48388329.3421832</v>
      </c>
      <c r="BB62" s="16" t="n">
        <f aca="false">BB32*12</f>
        <v>51167718.8017066</v>
      </c>
      <c r="BC62" s="16" t="n">
        <f aca="false">BC32*12</f>
        <v>53919769.3096582</v>
      </c>
      <c r="BD62" s="16" t="n">
        <f aca="false">BD32*12</f>
        <v>56644725.043744</v>
      </c>
      <c r="BE62" s="16" t="n">
        <f aca="false">BE32*12</f>
        <v>59342828.6703743</v>
      </c>
      <c r="BF62" s="16" t="n">
        <f aca="false">BF32*12</f>
        <v>62014321.3324172</v>
      </c>
      <c r="BG62" s="16" t="n">
        <f aca="false">BG32*12</f>
        <v>64659442.6378984</v>
      </c>
      <c r="BH62" s="16" t="n">
        <f aca="false">BH32*12</f>
        <v>67278430.6496091</v>
      </c>
      <c r="BI62" s="16" t="n">
        <f aca="false">BI32*12</f>
        <v>69871521.8755896</v>
      </c>
      <c r="BJ62" s="16" t="n">
        <f aca="false">BJ32*12</f>
        <v>72438951.2604562</v>
      </c>
    </row>
    <row r="63" customFormat="false" ht="15" hidden="false" customHeight="false" outlineLevel="0" collapsed="false">
      <c r="A63" s="5" t="s">
        <v>262</v>
      </c>
      <c r="C63" s="16" t="n">
        <f aca="false">IFERROR(C32/C26,0)</f>
        <v>589.235</v>
      </c>
      <c r="D63" s="16" t="n">
        <f aca="false">IFERROR(D32/D26,0)</f>
        <v>590.68747148289</v>
      </c>
      <c r="E63" s="16" t="n">
        <f aca="false">IFERROR(E32/E26,0)</f>
        <v>592.115024328712</v>
      </c>
      <c r="F63" s="16" t="n">
        <f aca="false">IFERROR(F32/F26,0)</f>
        <v>593.517956250998</v>
      </c>
      <c r="G63" s="16" t="n">
        <f aca="false">IFERROR(G32/G26,0)</f>
        <v>594.896567556841</v>
      </c>
      <c r="H63" s="16" t="n">
        <f aca="false">IFERROR(H32/H26,0)</f>
        <v>596.251160800571</v>
      </c>
      <c r="I63" s="16" t="n">
        <f aca="false">IFERROR(I32/I26,0)</f>
        <v>597.582040450282</v>
      </c>
      <c r="J63" s="16" t="n">
        <f aca="false">IFERROR(J32/J26,0)</f>
        <v>598.889512567111</v>
      </c>
      <c r="K63" s="16" t="n">
        <f aca="false">IFERROR(K32/K26,0)</f>
        <v>600.173884497165</v>
      </c>
      <c r="L63" s="16" t="n">
        <f aca="false">IFERROR(L32/L26,0)</f>
        <v>601.435464575952</v>
      </c>
      <c r="M63" s="16" t="n">
        <f aca="false">IFERROR(M32/M26,0)</f>
        <v>602.674561845164</v>
      </c>
      <c r="N63" s="16" t="n">
        <f aca="false">IFERROR(N32/N26,0)</f>
        <v>603.891485781629</v>
      </c>
      <c r="O63" s="16" t="n">
        <f aca="false">IFERROR(O32/O26,0)</f>
        <v>626.955408664911</v>
      </c>
      <c r="P63" s="16" t="n">
        <f aca="false">IFERROR(P32/P26,0)</f>
        <v>642.324539895673</v>
      </c>
      <c r="Q63" s="16" t="n">
        <f aca="false">IFERROR(Q32/Q26,0)</f>
        <v>653.506485277176</v>
      </c>
      <c r="R63" s="16" t="n">
        <f aca="false">IFERROR(R32/R26,0)</f>
        <v>662.152981606311</v>
      </c>
      <c r="S63" s="16" t="n">
        <f aca="false">IFERROR(S32/S26,0)</f>
        <v>669.144016627642</v>
      </c>
      <c r="T63" s="16" t="n">
        <f aca="false">IFERROR(T32/T26,0)</f>
        <v>674.991491360055</v>
      </c>
      <c r="U63" s="16" t="n">
        <f aca="false">IFERROR(U32/U26,0)</f>
        <v>680.013514226295</v>
      </c>
      <c r="V63" s="16" t="n">
        <f aca="false">IFERROR(V32/V26,0)</f>
        <v>684.418225783684</v>
      </c>
      <c r="W63" s="16" t="n">
        <f aca="false">IFERROR(W32/W26,0)</f>
        <v>688.347577582823</v>
      </c>
      <c r="X63" s="16" t="n">
        <f aca="false">IFERROR(X32/X26,0)</f>
        <v>691.901738823978</v>
      </c>
      <c r="Y63" s="16" t="n">
        <f aca="false">IFERROR(Y32/Y26,0)</f>
        <v>695.15344480104</v>
      </c>
      <c r="Z63" s="16" t="n">
        <f aca="false">IFERROR(Z32/Z26,0)</f>
        <v>698.156812233791</v>
      </c>
      <c r="AA63" s="16" t="n">
        <f aca="false">IFERROR(AA32/AA26,0)</f>
        <v>719.846837463109</v>
      </c>
      <c r="AB63" s="16" t="n">
        <f aca="false">IFERROR(AB32/AB26,0)</f>
        <v>736.694646439976</v>
      </c>
      <c r="AC63" s="16" t="n">
        <f aca="false">IFERROR(AC32/AC26,0)</f>
        <v>750.273296097846</v>
      </c>
      <c r="AD63" s="16" t="n">
        <f aca="false">IFERROR(AD32/AD26,0)</f>
        <v>761.538200533409</v>
      </c>
      <c r="AE63" s="16" t="n">
        <f aca="false">IFERROR(AE32/AE26,0)</f>
        <v>771.103225083363</v>
      </c>
      <c r="AF63" s="16" t="n">
        <f aca="false">IFERROR(AF32/AF26,0)</f>
        <v>779.38083290598</v>
      </c>
      <c r="AG63" s="16" t="n">
        <f aca="false">IFERROR(AG32/AG26,0)</f>
        <v>786.658457650339</v>
      </c>
      <c r="AH63" s="16" t="n">
        <f aca="false">IFERROR(AH32/AH26,0)</f>
        <v>793.142572572369</v>
      </c>
      <c r="AI63" s="16" t="n">
        <f aca="false">IFERROR(AI32/AI26,0)</f>
        <v>798.985347108676</v>
      </c>
      <c r="AJ63" s="16" t="n">
        <f aca="false">IFERROR(AJ32/AJ26,0)</f>
        <v>804.301421668277</v>
      </c>
      <c r="AK63" s="16" t="n">
        <f aca="false">IFERROR(AK32/AK26,0)</f>
        <v>809.178825733164</v>
      </c>
      <c r="AL63" s="16" t="n">
        <f aca="false">IFERROR(AL32/AL26,0)</f>
        <v>813.68629366051</v>
      </c>
      <c r="AM63" s="16" t="n">
        <f aca="false">IFERROR(AM32/AM26,0)</f>
        <v>822.639294304166</v>
      </c>
      <c r="AN63" s="16" t="n">
        <f aca="false">IFERROR(AN32/AN26,0)</f>
        <v>830.36818577678</v>
      </c>
      <c r="AO63" s="16" t="n">
        <f aca="false">IFERROR(AO32/AO26,0)</f>
        <v>837.154399212653</v>
      </c>
      <c r="AP63" s="16" t="n">
        <f aca="false">IFERROR(AP32/AP26,0)</f>
        <v>843.19794053316</v>
      </c>
      <c r="AQ63" s="16" t="n">
        <f aca="false">IFERROR(AQ32/AQ26,0)</f>
        <v>848.644877253123</v>
      </c>
      <c r="AR63" s="16" t="n">
        <f aca="false">IFERROR(AR32/AR26,0)</f>
        <v>853.60439465502</v>
      </c>
      <c r="AS63" s="16" t="n">
        <f aca="false">IFERROR(AS32/AS26,0)</f>
        <v>858.159764526627</v>
      </c>
      <c r="AT63" s="16" t="n">
        <f aca="false">IFERROR(AT32/AT26,0)</f>
        <v>862.37561889013</v>
      </c>
      <c r="AU63" s="16" t="n">
        <f aca="false">IFERROR(AU32/AU26,0)</f>
        <v>866.302903703897</v>
      </c>
      <c r="AV63" s="16" t="n">
        <f aca="false">IFERROR(AV32/AV26,0)</f>
        <v>869.982332284916</v>
      </c>
      <c r="AW63" s="16" t="n">
        <f aca="false">IFERROR(AW32/AW26,0)</f>
        <v>873.446843082291</v>
      </c>
      <c r="AX63" s="16" t="n">
        <f aca="false">IFERROR(AX32/AX26,0)</f>
        <v>876.723381341998</v>
      </c>
      <c r="AY63" s="16" t="n">
        <f aca="false">IFERROR(AY32/AY26,0)</f>
        <v>883.896214023358</v>
      </c>
      <c r="AZ63" s="16" t="n">
        <f aca="false">IFERROR(AZ32/AZ26,0)</f>
        <v>890.368500179296</v>
      </c>
      <c r="BA63" s="16" t="n">
        <f aca="false">IFERROR(BA32/BA26,0)</f>
        <v>896.258691277878</v>
      </c>
      <c r="BB63" s="16" t="n">
        <f aca="false">IFERROR(BB32/BB26,0)</f>
        <v>901.659384848467</v>
      </c>
      <c r="BC63" s="16" t="n">
        <f aca="false">IFERROR(BC32/BC26,0)</f>
        <v>906.644025044662</v>
      </c>
      <c r="BD63" s="16" t="n">
        <f aca="false">IFERROR(BD32/BD26,0)</f>
        <v>911.27162180408</v>
      </c>
      <c r="BE63" s="16" t="n">
        <f aca="false">IFERROR(BE32/BE26,0)</f>
        <v>915.590140066036</v>
      </c>
      <c r="BF63" s="16" t="n">
        <f aca="false">IFERROR(BF32/BF26,0)</f>
        <v>919.638976698984</v>
      </c>
      <c r="BG63" s="16" t="n">
        <f aca="false">IFERROR(BG32/BG26,0)</f>
        <v>923.450799330321</v>
      </c>
      <c r="BH63" s="16" t="n">
        <f aca="false">IFERROR(BH32/BH26,0)</f>
        <v>927.052930966106</v>
      </c>
      <c r="BI63" s="16" t="n">
        <f aca="false">IFERROR(BI32/BI26,0)</f>
        <v>930.468406119779</v>
      </c>
      <c r="BJ63" s="16" t="n">
        <f aca="false">IFERROR(BJ32/BJ26,0)</f>
        <v>933.716785913337</v>
      </c>
    </row>
    <row r="64" customFormat="false" ht="15" hidden="false" customHeight="false" outlineLevel="0" collapsed="false">
      <c r="A64" s="5" t="s">
        <v>263</v>
      </c>
      <c r="C64" s="15" t="n">
        <f aca="false">0</f>
        <v>0</v>
      </c>
      <c r="D64" s="15" t="n">
        <f aca="false">IFERROR(SUM(D18:D21)/C26,0)</f>
        <v>0.0375</v>
      </c>
      <c r="E64" s="15" t="n">
        <f aca="false">IFERROR(SUM(E18:E21)/D26,0)</f>
        <v>0.037446134347275</v>
      </c>
      <c r="F64" s="15" t="n">
        <f aca="false">IFERROR(SUM(F18:F21)/E26,0)</f>
        <v>0.0373932727685474</v>
      </c>
      <c r="G64" s="15" t="n">
        <f aca="false">IFERROR(SUM(G18:G21)/F26,0)</f>
        <v>0.0373414017431396</v>
      </c>
      <c r="H64" s="15" t="n">
        <f aca="false">IFERROR(SUM(H18:H21)/G26,0)</f>
        <v>0.0372905076865841</v>
      </c>
      <c r="I64" s="15" t="n">
        <f aca="false">IFERROR(SUM(I18:I21)/H26,0)</f>
        <v>0.0372405769644484</v>
      </c>
      <c r="J64" s="15" t="n">
        <f aca="false">IFERROR(SUM(J18:J21)/I26,0)</f>
        <v>0.0371915959055978</v>
      </c>
      <c r="K64" s="15" t="n">
        <f aca="false">IFERROR(SUM(K18:K21)/J26,0)</f>
        <v>0.0371435508149054</v>
      </c>
      <c r="L64" s="15" t="n">
        <f aca="false">IFERROR(SUM(L18:L21)/K26,0)</f>
        <v>0.0370964279854129</v>
      </c>
      <c r="M64" s="15" t="n">
        <f aca="false">IFERROR(SUM(M18:M21)/L26,0)</f>
        <v>0.0370502137099527</v>
      </c>
      <c r="N64" s="15" t="n">
        <f aca="false">IFERROR(SUM(N18:N21)/M26,0)</f>
        <v>0.0370048942922384</v>
      </c>
      <c r="O64" s="15" t="n">
        <f aca="false">IFERROR(SUM(O18:O21)/N26,0)</f>
        <v>0.0340036195728388</v>
      </c>
      <c r="P64" s="15" t="n">
        <f aca="false">IFERROR(SUM(P18:P21)/O26,0)</f>
        <v>0.0337572047834803</v>
      </c>
      <c r="Q64" s="15" t="n">
        <f aca="false">IFERROR(SUM(Q18:Q21)/P26,0)</f>
        <v>0.033584668393329</v>
      </c>
      <c r="R64" s="15" t="n">
        <f aca="false">IFERROR(SUM(R18:R21)/Q26,0)</f>
        <v>0.0334525688333059</v>
      </c>
      <c r="S64" s="15" t="n">
        <f aca="false">IFERROR(SUM(S18:S21)/R26,0)</f>
        <v>0.0333451537938335</v>
      </c>
      <c r="T64" s="15" t="n">
        <f aca="false">IFERROR(SUM(T18:T21)/S26,0)</f>
        <v>0.0332540269474563</v>
      </c>
      <c r="U64" s="15" t="n">
        <f aca="false">IFERROR(SUM(U18:U21)/T26,0)</f>
        <v>0.0331743004481509</v>
      </c>
      <c r="V64" s="15" t="n">
        <f aca="false">IFERROR(SUM(V18:V21)/U26,0)</f>
        <v>0.0331029336517008</v>
      </c>
      <c r="W64" s="15" t="n">
        <f aca="false">IFERROR(SUM(W18:W21)/V26,0)</f>
        <v>0.0330379341442546</v>
      </c>
      <c r="X64" s="15" t="n">
        <f aca="false">IFERROR(SUM(X18:X21)/W26,0)</f>
        <v>0.0329779404675924</v>
      </c>
      <c r="Y64" s="15" t="n">
        <f aca="false">IFERROR(SUM(Y18:Y21)/X26,0)</f>
        <v>0.0329219894901782</v>
      </c>
      <c r="Z64" s="15" t="n">
        <f aca="false">IFERROR(SUM(Z18:Z21)/Y26,0)</f>
        <v>0.0328693796477761</v>
      </c>
      <c r="AA64" s="15" t="n">
        <f aca="false">IFERROR(SUM(AA18:AA21)/Z26,0)</f>
        <v>0.0301940199688604</v>
      </c>
      <c r="AB64" s="15" t="n">
        <f aca="false">IFERROR(SUM(AB18:AB21)/AA26,0)</f>
        <v>0.0300066922452907</v>
      </c>
      <c r="AC64" s="15" t="n">
        <f aca="false">IFERROR(SUM(AC18:AC21)/AB26,0)</f>
        <v>0.0298574916912733</v>
      </c>
      <c r="AD64" s="15" t="n">
        <f aca="false">IFERROR(SUM(AD18:AD21)/AC26,0)</f>
        <v>0.029734149279032</v>
      </c>
      <c r="AE64" s="15" t="n">
        <f aca="false">IFERROR(SUM(AE18:AE21)/AD26,0)</f>
        <v>0.0296292106210714</v>
      </c>
      <c r="AF64" s="15" t="n">
        <f aca="false">IFERROR(SUM(AF18:AF21)/AE26,0)</f>
        <v>0.0295378838046707</v>
      </c>
      <c r="AG64" s="15" t="n">
        <f aca="false">IFERROR(SUM(AG18:AG21)/AF26,0)</f>
        <v>0.0294569469434491</v>
      </c>
      <c r="AH64" s="15" t="n">
        <f aca="false">IFERROR(SUM(AH18:AH21)/AG26,0)</f>
        <v>0.0293841528494966</v>
      </c>
      <c r="AI64" s="15" t="n">
        <f aca="false">IFERROR(SUM(AI18:AI21)/AH26,0)</f>
        <v>0.0293178855131281</v>
      </c>
      <c r="AJ64" s="15" t="n">
        <f aca="false">IFERROR(SUM(AJ18:AJ21)/AI26,0)</f>
        <v>0.0292569523141278</v>
      </c>
      <c r="AK64" s="15" t="n">
        <f aca="false">IFERROR(SUM(AK18:AK21)/AJ26,0)</f>
        <v>0.0292004532618544</v>
      </c>
      <c r="AL64" s="15" t="n">
        <f aca="false">IFERROR(SUM(AL18:AL21)/AK26,0)</f>
        <v>0.0291476958884375</v>
      </c>
      <c r="AM64" s="15" t="n">
        <f aca="false">IFERROR(SUM(AM18:AM21)/AL26,0)</f>
        <v>0.0267702871642114</v>
      </c>
      <c r="AN64" s="15" t="n">
        <f aca="false">IFERROR(SUM(AN18:AN21)/AM26,0)</f>
        <v>0.0266989111270714</v>
      </c>
      <c r="AO64" s="15" t="n">
        <f aca="false">IFERROR(SUM(AO18:AO21)/AN26,0)</f>
        <v>0.0266355204043951</v>
      </c>
      <c r="AP64" s="15" t="n">
        <f aca="false">IFERROR(SUM(AP18:AP21)/AO26,0)</f>
        <v>0.0265783417514611</v>
      </c>
      <c r="AQ64" s="15" t="n">
        <f aca="false">IFERROR(SUM(AQ18:AQ21)/AP26,0)</f>
        <v>0.0265261135174365</v>
      </c>
      <c r="AR64" s="15" t="n">
        <f aca="false">IFERROR(SUM(AR18:AR21)/AQ26,0)</f>
        <v>0.0264779129700756</v>
      </c>
      <c r="AS64" s="15" t="n">
        <f aca="false">IFERROR(SUM(AS18:AS21)/AR26,0)</f>
        <v>0.0264330491468305</v>
      </c>
      <c r="AT64" s="15" t="n">
        <f aca="false">IFERROR(SUM(AT18:AT21)/AS26,0)</f>
        <v>0.0263909939479047</v>
      </c>
      <c r="AU64" s="15" t="n">
        <f aca="false">IFERROR(SUM(AU18:AU21)/AT26,0)</f>
        <v>0.0263513364417375</v>
      </c>
      <c r="AV64" s="15" t="n">
        <f aca="false">IFERROR(SUM(AV18:AV21)/AU26,0)</f>
        <v>0.0263137517451252</v>
      </c>
      <c r="AW64" s="15" t="n">
        <f aca="false">IFERROR(SUM(AW18:AW21)/AV26,0)</f>
        <v>0.0262779793282289</v>
      </c>
      <c r="AX64" s="15" t="n">
        <f aca="false">IFERROR(SUM(AX18:AX21)/AW26,0)</f>
        <v>0.0262438075743226</v>
      </c>
      <c r="AY64" s="15" t="n">
        <f aca="false">IFERROR(SUM(AY18:AY21)/AX26,0)</f>
        <v>0.024114177579943</v>
      </c>
      <c r="AZ64" s="15" t="n">
        <f aca="false">IFERROR(SUM(AZ18:AZ21)/AY26,0)</f>
        <v>0.0240513670870851</v>
      </c>
      <c r="BA64" s="15" t="n">
        <f aca="false">IFERROR(SUM(BA18:BA21)/AZ26,0)</f>
        <v>0.0239942073029742</v>
      </c>
      <c r="BB64" s="15" t="n">
        <f aca="false">IFERROR(SUM(BB18:BB21)/BA26,0)</f>
        <v>0.0239417655040182</v>
      </c>
      <c r="BC64" s="15" t="n">
        <f aca="false">IFERROR(SUM(BC18:BC21)/BB26,0)</f>
        <v>0.0238933119445616</v>
      </c>
      <c r="BD64" s="15" t="n">
        <f aca="false">IFERROR(SUM(BD18:BD21)/BC26,0)</f>
        <v>0.0238482672633552</v>
      </c>
      <c r="BE64" s="15" t="n">
        <f aca="false">IFERROR(SUM(BE18:BE21)/BD26,0)</f>
        <v>0.0238061654421538</v>
      </c>
      <c r="BF64" s="15" t="n">
        <f aca="false">IFERROR(SUM(BF18:BF21)/BE26,0)</f>
        <v>0.023766627203088</v>
      </c>
      <c r="BG64" s="15" t="n">
        <f aca="false">IFERROR(SUM(BG18:BG21)/BF26,0)</f>
        <v>0.0237293405666421</v>
      </c>
      <c r="BH64" s="15" t="n">
        <f aca="false">IFERROR(SUM(BH18:BH21)/BG26,0)</f>
        <v>0.0236940464180846</v>
      </c>
      <c r="BI64" s="15" t="n">
        <f aca="false">IFERROR(SUM(BI18:BI21)/BH26,0)</f>
        <v>0.0236605276390095</v>
      </c>
      <c r="BJ64" s="15" t="n">
        <f aca="false">IFERROR(SUM(BJ18:BJ21)/BI26,0)</f>
        <v>0.0236286008172142</v>
      </c>
    </row>
    <row r="65" customFormat="false" ht="15" hidden="false" customHeight="false" outlineLevel="0" collapsed="false">
      <c r="A65" s="5" t="s">
        <v>264</v>
      </c>
      <c r="C65" s="19" t="n">
        <f aca="false">IF(MIN(C56:$BJ56)&gt;0,C$3,999)</f>
        <v>999</v>
      </c>
      <c r="D65" s="19" t="n">
        <f aca="false">IF(MIN(D56:$BJ56)&gt;0,D$3,999)</f>
        <v>999</v>
      </c>
      <c r="E65" s="19" t="n">
        <f aca="false">IF(MIN(E56:$BJ56)&gt;0,E$3,999)</f>
        <v>999</v>
      </c>
      <c r="F65" s="19" t="n">
        <f aca="false">IF(MIN(F56:$BJ56)&gt;0,F$3,999)</f>
        <v>999</v>
      </c>
      <c r="G65" s="19" t="n">
        <f aca="false">IF(MIN(G56:$BJ56)&gt;0,G$3,999)</f>
        <v>999</v>
      </c>
      <c r="H65" s="19" t="n">
        <f aca="false">IF(MIN(H56:$BJ56)&gt;0,H$3,999)</f>
        <v>999</v>
      </c>
      <c r="I65" s="19" t="n">
        <f aca="false">IF(MIN(I56:$BJ56)&gt;0,I$3,999)</f>
        <v>999</v>
      </c>
      <c r="J65" s="19" t="n">
        <f aca="false">IF(MIN(J56:$BJ56)&gt;0,J$3,999)</f>
        <v>999</v>
      </c>
      <c r="K65" s="19" t="n">
        <f aca="false">IF(MIN(K56:$BJ56)&gt;0,K$3,999)</f>
        <v>999</v>
      </c>
      <c r="L65" s="19" t="n">
        <f aca="false">IF(MIN(L56:$BJ56)&gt;0,L$3,999)</f>
        <v>999</v>
      </c>
      <c r="M65" s="19" t="n">
        <f aca="false">IF(MIN(M56:$BJ56)&gt;0,M$3,999)</f>
        <v>999</v>
      </c>
      <c r="N65" s="19" t="n">
        <f aca="false">IF(MIN(N56:$BJ56)&gt;0,N$3,999)</f>
        <v>999</v>
      </c>
      <c r="O65" s="19" t="n">
        <f aca="false">IF(MIN(O56:$BJ56)&gt;0,O$3,999)</f>
        <v>999</v>
      </c>
      <c r="P65" s="19" t="n">
        <f aca="false">IF(MIN(P56:$BJ56)&gt;0,P$3,999)</f>
        <v>999</v>
      </c>
      <c r="Q65" s="19" t="n">
        <f aca="false">IF(MIN(Q56:$BJ56)&gt;0,Q$3,999)</f>
        <v>999</v>
      </c>
      <c r="R65" s="19" t="n">
        <f aca="false">IF(MIN(R56:$BJ56)&gt;0,R$3,999)</f>
        <v>999</v>
      </c>
      <c r="S65" s="19" t="n">
        <f aca="false">IF(MIN(S56:$BJ56)&gt;0,S$3,999)</f>
        <v>999</v>
      </c>
      <c r="T65" s="19" t="n">
        <f aca="false">IF(MIN(T56:$BJ56)&gt;0,T$3,999)</f>
        <v>999</v>
      </c>
      <c r="U65" s="19" t="n">
        <f aca="false">IF(MIN(U56:$BJ56)&gt;0,U$3,999)</f>
        <v>999</v>
      </c>
      <c r="V65" s="19" t="n">
        <f aca="false">IF(MIN(V56:$BJ56)&gt;0,V$3,999)</f>
        <v>999</v>
      </c>
      <c r="W65" s="19" t="n">
        <f aca="false">IF(MIN(W56:$BJ56)&gt;0,W$3,999)</f>
        <v>999</v>
      </c>
      <c r="X65" s="19" t="n">
        <f aca="false">IF(MIN(X56:$BJ56)&gt;0,X$3,999)</f>
        <v>999</v>
      </c>
      <c r="Y65" s="19" t="n">
        <f aca="false">IF(MIN(Y56:$BJ56)&gt;0,Y$3,999)</f>
        <v>999</v>
      </c>
      <c r="Z65" s="19" t="n">
        <f aca="false">IF(MIN(Z56:$BJ56)&gt;0,Z$3,999)</f>
        <v>999</v>
      </c>
      <c r="AA65" s="19" t="n">
        <f aca="false">IF(MIN(AA56:$BJ56)&gt;0,AA$3,999)</f>
        <v>999</v>
      </c>
      <c r="AB65" s="19" t="n">
        <f aca="false">IF(MIN(AB56:$BJ56)&gt;0,AB$3,999)</f>
        <v>999</v>
      </c>
      <c r="AC65" s="19" t="n">
        <f aca="false">IF(MIN(AC56:$BJ56)&gt;0,AC$3,999)</f>
        <v>999</v>
      </c>
      <c r="AD65" s="19" t="n">
        <f aca="false">IF(MIN(AD56:$BJ56)&gt;0,AD$3,999)</f>
        <v>999</v>
      </c>
      <c r="AE65" s="19" t="n">
        <f aca="false">IF(MIN(AE56:$BJ56)&gt;0,AE$3,999)</f>
        <v>999</v>
      </c>
      <c r="AF65" s="19" t="n">
        <f aca="false">IF(MIN(AF56:$BJ56)&gt;0,AF$3,999)</f>
        <v>30</v>
      </c>
      <c r="AG65" s="19" t="n">
        <f aca="false">IF(MIN(AG56:$BJ56)&gt;0,AG$3,999)</f>
        <v>31</v>
      </c>
      <c r="AH65" s="19" t="n">
        <f aca="false">IF(MIN(AH56:$BJ56)&gt;0,AH$3,999)</f>
        <v>32</v>
      </c>
      <c r="AI65" s="19" t="n">
        <f aca="false">IF(MIN(AI56:$BJ56)&gt;0,AI$3,999)</f>
        <v>33</v>
      </c>
      <c r="AJ65" s="19" t="n">
        <f aca="false">IF(MIN(AJ56:$BJ56)&gt;0,AJ$3,999)</f>
        <v>34</v>
      </c>
      <c r="AK65" s="19" t="n">
        <f aca="false">IF(MIN(AK56:$BJ56)&gt;0,AK$3,999)</f>
        <v>35</v>
      </c>
      <c r="AL65" s="19" t="n">
        <f aca="false">IF(MIN(AL56:$BJ56)&gt;0,AL$3,999)</f>
        <v>36</v>
      </c>
      <c r="AM65" s="19" t="n">
        <f aca="false">IF(MIN(AM56:$BJ56)&gt;0,AM$3,999)</f>
        <v>37</v>
      </c>
      <c r="AN65" s="19" t="n">
        <f aca="false">IF(MIN(AN56:$BJ56)&gt;0,AN$3,999)</f>
        <v>38</v>
      </c>
      <c r="AO65" s="19" t="n">
        <f aca="false">IF(MIN(AO56:$BJ56)&gt;0,AO$3,999)</f>
        <v>39</v>
      </c>
      <c r="AP65" s="19" t="n">
        <f aca="false">IF(MIN(AP56:$BJ56)&gt;0,AP$3,999)</f>
        <v>40</v>
      </c>
      <c r="AQ65" s="19" t="n">
        <f aca="false">IF(MIN(AQ56:$BJ56)&gt;0,AQ$3,999)</f>
        <v>41</v>
      </c>
      <c r="AR65" s="19" t="n">
        <f aca="false">IF(MIN(AR56:$BJ56)&gt;0,AR$3,999)</f>
        <v>42</v>
      </c>
      <c r="AS65" s="19" t="n">
        <f aca="false">IF(MIN(AS56:$BJ56)&gt;0,AS$3,999)</f>
        <v>43</v>
      </c>
      <c r="AT65" s="19" t="n">
        <f aca="false">IF(MIN(AT56:$BJ56)&gt;0,AT$3,999)</f>
        <v>44</v>
      </c>
      <c r="AU65" s="19" t="n">
        <f aca="false">IF(MIN(AU56:$BJ56)&gt;0,AU$3,999)</f>
        <v>45</v>
      </c>
      <c r="AV65" s="19" t="n">
        <f aca="false">IF(MIN(AV56:$BJ56)&gt;0,AV$3,999)</f>
        <v>46</v>
      </c>
      <c r="AW65" s="19" t="n">
        <f aca="false">IF(MIN(AW56:$BJ56)&gt;0,AW$3,999)</f>
        <v>47</v>
      </c>
      <c r="AX65" s="19" t="n">
        <f aca="false">IF(MIN(AX56:$BJ56)&gt;0,AX$3,999)</f>
        <v>48</v>
      </c>
      <c r="AY65" s="19" t="n">
        <f aca="false">IF(MIN(AY56:$BJ56)&gt;0,AY$3,999)</f>
        <v>49</v>
      </c>
      <c r="AZ65" s="19" t="n">
        <f aca="false">IF(MIN(AZ56:$BJ56)&gt;0,AZ$3,999)</f>
        <v>50</v>
      </c>
      <c r="BA65" s="19" t="n">
        <f aca="false">IF(MIN(BA56:$BJ56)&gt;0,BA$3,999)</f>
        <v>51</v>
      </c>
      <c r="BB65" s="19" t="n">
        <f aca="false">IF(MIN(BB56:$BJ56)&gt;0,BB$3,999)</f>
        <v>52</v>
      </c>
      <c r="BC65" s="19" t="n">
        <f aca="false">IF(MIN(BC56:$BJ56)&gt;0,BC$3,999)</f>
        <v>53</v>
      </c>
      <c r="BD65" s="19" t="n">
        <f aca="false">IF(MIN(BD56:$BJ56)&gt;0,BD$3,999)</f>
        <v>54</v>
      </c>
      <c r="BE65" s="19" t="n">
        <f aca="false">IF(MIN(BE56:$BJ56)&gt;0,BE$3,999)</f>
        <v>55</v>
      </c>
      <c r="BF65" s="19" t="n">
        <f aca="false">IF(MIN(BF56:$BJ56)&gt;0,BF$3,999)</f>
        <v>56</v>
      </c>
      <c r="BG65" s="19" t="n">
        <f aca="false">IF(MIN(BG56:$BJ56)&gt;0,BG$3,999)</f>
        <v>57</v>
      </c>
      <c r="BH65" s="19" t="n">
        <f aca="false">IF(MIN(BH56:$BJ56)&gt;0,BH$3,999)</f>
        <v>58</v>
      </c>
      <c r="BI65" s="19" t="n">
        <f aca="false">IF(MIN(BI56:$BJ56)&gt;0,BI$3,999)</f>
        <v>59</v>
      </c>
      <c r="BJ65" s="19" t="n">
        <f aca="false">IF(MIN(BJ56:$BJ56)&gt;0,BJ$3,999)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2" min="2" style="0" width="12"/>
  </cols>
  <sheetData>
    <row r="1" customFormat="false" ht="17.35" hidden="false" customHeight="false" outlineLevel="0" collapsed="false">
      <c r="A1" s="1" t="s">
        <v>266</v>
      </c>
    </row>
    <row r="2" customFormat="false" ht="15" hidden="false" customHeight="false" outlineLevel="0" collapsed="false">
      <c r="A2" s="5" t="s">
        <v>209</v>
      </c>
      <c r="B2" s="26" t="n">
        <v>3</v>
      </c>
    </row>
    <row r="3" customFormat="false" ht="15" hidden="false" customHeight="false" outlineLevel="0" collapsed="false">
      <c r="A3" s="5" t="s">
        <v>210</v>
      </c>
      <c r="C3" s="18" t="n">
        <v>1</v>
      </c>
      <c r="D3" s="18" t="n">
        <f aca="false">C3+1</f>
        <v>2</v>
      </c>
      <c r="E3" s="18" t="n">
        <f aca="false">D3+1</f>
        <v>3</v>
      </c>
      <c r="F3" s="18" t="n">
        <f aca="false">E3+1</f>
        <v>4</v>
      </c>
      <c r="G3" s="18" t="n">
        <f aca="false">F3+1</f>
        <v>5</v>
      </c>
      <c r="H3" s="18" t="n">
        <f aca="false">G3+1</f>
        <v>6</v>
      </c>
      <c r="I3" s="18" t="n">
        <f aca="false">H3+1</f>
        <v>7</v>
      </c>
      <c r="J3" s="18" t="n">
        <f aca="false">I3+1</f>
        <v>8</v>
      </c>
      <c r="K3" s="18" t="n">
        <f aca="false">J3+1</f>
        <v>9</v>
      </c>
      <c r="L3" s="18" t="n">
        <f aca="false">K3+1</f>
        <v>10</v>
      </c>
      <c r="M3" s="18" t="n">
        <f aca="false">L3+1</f>
        <v>11</v>
      </c>
      <c r="N3" s="18" t="n">
        <f aca="false">M3+1</f>
        <v>12</v>
      </c>
      <c r="O3" s="18" t="n">
        <f aca="false">N3+1</f>
        <v>13</v>
      </c>
      <c r="P3" s="18" t="n">
        <f aca="false">O3+1</f>
        <v>14</v>
      </c>
      <c r="Q3" s="18" t="n">
        <f aca="false">P3+1</f>
        <v>15</v>
      </c>
      <c r="R3" s="18" t="n">
        <f aca="false">Q3+1</f>
        <v>16</v>
      </c>
      <c r="S3" s="18" t="n">
        <f aca="false">R3+1</f>
        <v>17</v>
      </c>
      <c r="T3" s="18" t="n">
        <f aca="false">S3+1</f>
        <v>18</v>
      </c>
      <c r="U3" s="18" t="n">
        <f aca="false">T3+1</f>
        <v>19</v>
      </c>
      <c r="V3" s="18" t="n">
        <f aca="false">U3+1</f>
        <v>20</v>
      </c>
      <c r="W3" s="18" t="n">
        <f aca="false">V3+1</f>
        <v>21</v>
      </c>
      <c r="X3" s="18" t="n">
        <f aca="false">W3+1</f>
        <v>22</v>
      </c>
      <c r="Y3" s="18" t="n">
        <f aca="false">X3+1</f>
        <v>23</v>
      </c>
      <c r="Z3" s="18" t="n">
        <f aca="false">Y3+1</f>
        <v>24</v>
      </c>
      <c r="AA3" s="18" t="n">
        <f aca="false">Z3+1</f>
        <v>25</v>
      </c>
      <c r="AB3" s="18" t="n">
        <f aca="false">AA3+1</f>
        <v>26</v>
      </c>
      <c r="AC3" s="18" t="n">
        <f aca="false">AB3+1</f>
        <v>27</v>
      </c>
      <c r="AD3" s="18" t="n">
        <f aca="false">AC3+1</f>
        <v>28</v>
      </c>
      <c r="AE3" s="18" t="n">
        <f aca="false">AD3+1</f>
        <v>29</v>
      </c>
      <c r="AF3" s="18" t="n">
        <f aca="false">AE3+1</f>
        <v>30</v>
      </c>
      <c r="AG3" s="18" t="n">
        <f aca="false">AF3+1</f>
        <v>31</v>
      </c>
      <c r="AH3" s="18" t="n">
        <f aca="false">AG3+1</f>
        <v>32</v>
      </c>
      <c r="AI3" s="18" t="n">
        <f aca="false">AH3+1</f>
        <v>33</v>
      </c>
      <c r="AJ3" s="18" t="n">
        <f aca="false">AI3+1</f>
        <v>34</v>
      </c>
      <c r="AK3" s="18" t="n">
        <f aca="false">AJ3+1</f>
        <v>35</v>
      </c>
      <c r="AL3" s="18" t="n">
        <f aca="false">AK3+1</f>
        <v>36</v>
      </c>
      <c r="AM3" s="18" t="n">
        <f aca="false">AL3+1</f>
        <v>37</v>
      </c>
      <c r="AN3" s="18" t="n">
        <f aca="false">AM3+1</f>
        <v>38</v>
      </c>
      <c r="AO3" s="18" t="n">
        <f aca="false">AN3+1</f>
        <v>39</v>
      </c>
      <c r="AP3" s="18" t="n">
        <f aca="false">AO3+1</f>
        <v>40</v>
      </c>
      <c r="AQ3" s="18" t="n">
        <f aca="false">AP3+1</f>
        <v>41</v>
      </c>
      <c r="AR3" s="18" t="n">
        <f aca="false">AQ3+1</f>
        <v>42</v>
      </c>
      <c r="AS3" s="18" t="n">
        <f aca="false">AR3+1</f>
        <v>43</v>
      </c>
      <c r="AT3" s="18" t="n">
        <f aca="false">AS3+1</f>
        <v>44</v>
      </c>
      <c r="AU3" s="18" t="n">
        <f aca="false">AT3+1</f>
        <v>45</v>
      </c>
      <c r="AV3" s="18" t="n">
        <f aca="false">AU3+1</f>
        <v>46</v>
      </c>
      <c r="AW3" s="18" t="n">
        <f aca="false">AV3+1</f>
        <v>47</v>
      </c>
      <c r="AX3" s="18" t="n">
        <f aca="false">AW3+1</f>
        <v>48</v>
      </c>
      <c r="AY3" s="18" t="n">
        <f aca="false">AX3+1</f>
        <v>49</v>
      </c>
      <c r="AZ3" s="18" t="n">
        <f aca="false">AY3+1</f>
        <v>50</v>
      </c>
      <c r="BA3" s="18" t="n">
        <f aca="false">AZ3+1</f>
        <v>51</v>
      </c>
      <c r="BB3" s="18" t="n">
        <f aca="false">BA3+1</f>
        <v>52</v>
      </c>
      <c r="BC3" s="18" t="n">
        <f aca="false">BB3+1</f>
        <v>53</v>
      </c>
      <c r="BD3" s="18" t="n">
        <f aca="false">BC3+1</f>
        <v>54</v>
      </c>
      <c r="BE3" s="18" t="n">
        <f aca="false">BD3+1</f>
        <v>55</v>
      </c>
      <c r="BF3" s="18" t="n">
        <f aca="false">BE3+1</f>
        <v>56</v>
      </c>
      <c r="BG3" s="18" t="n">
        <f aca="false">BF3+1</f>
        <v>57</v>
      </c>
      <c r="BH3" s="18" t="n">
        <f aca="false">BG3+1</f>
        <v>58</v>
      </c>
      <c r="BI3" s="18" t="n">
        <f aca="false">BH3+1</f>
        <v>59</v>
      </c>
      <c r="BJ3" s="18" t="n">
        <f aca="false">BI3+1</f>
        <v>60</v>
      </c>
    </row>
    <row r="4" customFormat="false" ht="15" hidden="false" customHeight="false" outlineLevel="0" collapsed="false">
      <c r="A4" s="5" t="s">
        <v>46</v>
      </c>
      <c r="C4" s="5" t="n">
        <f aca="false">ROUNDUP(C3/12,0)</f>
        <v>1</v>
      </c>
      <c r="D4" s="5" t="n">
        <f aca="false">ROUNDUP(D3/12,0)</f>
        <v>1</v>
      </c>
      <c r="E4" s="5" t="n">
        <f aca="false">ROUNDUP(E3/12,0)</f>
        <v>1</v>
      </c>
      <c r="F4" s="5" t="n">
        <f aca="false">ROUNDUP(F3/12,0)</f>
        <v>1</v>
      </c>
      <c r="G4" s="5" t="n">
        <f aca="false">ROUNDUP(G3/12,0)</f>
        <v>1</v>
      </c>
      <c r="H4" s="5" t="n">
        <f aca="false">ROUNDUP(H3/12,0)</f>
        <v>1</v>
      </c>
      <c r="I4" s="5" t="n">
        <f aca="false">ROUNDUP(I3/12,0)</f>
        <v>1</v>
      </c>
      <c r="J4" s="5" t="n">
        <f aca="false">ROUNDUP(J3/12,0)</f>
        <v>1</v>
      </c>
      <c r="K4" s="5" t="n">
        <f aca="false">ROUNDUP(K3/12,0)</f>
        <v>1</v>
      </c>
      <c r="L4" s="5" t="n">
        <f aca="false">ROUNDUP(L3/12,0)</f>
        <v>1</v>
      </c>
      <c r="M4" s="5" t="n">
        <f aca="false">ROUNDUP(M3/12,0)</f>
        <v>1</v>
      </c>
      <c r="N4" s="5" t="n">
        <f aca="false">ROUNDUP(N3/12,0)</f>
        <v>1</v>
      </c>
      <c r="O4" s="5" t="n">
        <f aca="false">ROUNDUP(O3/12,0)</f>
        <v>2</v>
      </c>
      <c r="P4" s="5" t="n">
        <f aca="false">ROUNDUP(P3/12,0)</f>
        <v>2</v>
      </c>
      <c r="Q4" s="5" t="n">
        <f aca="false">ROUNDUP(Q3/12,0)</f>
        <v>2</v>
      </c>
      <c r="R4" s="5" t="n">
        <f aca="false">ROUNDUP(R3/12,0)</f>
        <v>2</v>
      </c>
      <c r="S4" s="5" t="n">
        <f aca="false">ROUNDUP(S3/12,0)</f>
        <v>2</v>
      </c>
      <c r="T4" s="5" t="n">
        <f aca="false">ROUNDUP(T3/12,0)</f>
        <v>2</v>
      </c>
      <c r="U4" s="5" t="n">
        <f aca="false">ROUNDUP(U3/12,0)</f>
        <v>2</v>
      </c>
      <c r="V4" s="5" t="n">
        <f aca="false">ROUNDUP(V3/12,0)</f>
        <v>2</v>
      </c>
      <c r="W4" s="5" t="n">
        <f aca="false">ROUNDUP(W3/12,0)</f>
        <v>2</v>
      </c>
      <c r="X4" s="5" t="n">
        <f aca="false">ROUNDUP(X3/12,0)</f>
        <v>2</v>
      </c>
      <c r="Y4" s="5" t="n">
        <f aca="false">ROUNDUP(Y3/12,0)</f>
        <v>2</v>
      </c>
      <c r="Z4" s="5" t="n">
        <f aca="false">ROUNDUP(Z3/12,0)</f>
        <v>2</v>
      </c>
      <c r="AA4" s="5" t="n">
        <f aca="false">ROUNDUP(AA3/12,0)</f>
        <v>3</v>
      </c>
      <c r="AB4" s="5" t="n">
        <f aca="false">ROUNDUP(AB3/12,0)</f>
        <v>3</v>
      </c>
      <c r="AC4" s="5" t="n">
        <f aca="false">ROUNDUP(AC3/12,0)</f>
        <v>3</v>
      </c>
      <c r="AD4" s="5" t="n">
        <f aca="false">ROUNDUP(AD3/12,0)</f>
        <v>3</v>
      </c>
      <c r="AE4" s="5" t="n">
        <f aca="false">ROUNDUP(AE3/12,0)</f>
        <v>3</v>
      </c>
      <c r="AF4" s="5" t="n">
        <f aca="false">ROUNDUP(AF3/12,0)</f>
        <v>3</v>
      </c>
      <c r="AG4" s="5" t="n">
        <f aca="false">ROUNDUP(AG3/12,0)</f>
        <v>3</v>
      </c>
      <c r="AH4" s="5" t="n">
        <f aca="false">ROUNDUP(AH3/12,0)</f>
        <v>3</v>
      </c>
      <c r="AI4" s="5" t="n">
        <f aca="false">ROUNDUP(AI3/12,0)</f>
        <v>3</v>
      </c>
      <c r="AJ4" s="5" t="n">
        <f aca="false">ROUNDUP(AJ3/12,0)</f>
        <v>3</v>
      </c>
      <c r="AK4" s="5" t="n">
        <f aca="false">ROUNDUP(AK3/12,0)</f>
        <v>3</v>
      </c>
      <c r="AL4" s="5" t="n">
        <f aca="false">ROUNDUP(AL3/12,0)</f>
        <v>3</v>
      </c>
      <c r="AM4" s="5" t="n">
        <f aca="false">ROUNDUP(AM3/12,0)</f>
        <v>4</v>
      </c>
      <c r="AN4" s="5" t="n">
        <f aca="false">ROUNDUP(AN3/12,0)</f>
        <v>4</v>
      </c>
      <c r="AO4" s="5" t="n">
        <f aca="false">ROUNDUP(AO3/12,0)</f>
        <v>4</v>
      </c>
      <c r="AP4" s="5" t="n">
        <f aca="false">ROUNDUP(AP3/12,0)</f>
        <v>4</v>
      </c>
      <c r="AQ4" s="5" t="n">
        <f aca="false">ROUNDUP(AQ3/12,0)</f>
        <v>4</v>
      </c>
      <c r="AR4" s="5" t="n">
        <f aca="false">ROUNDUP(AR3/12,0)</f>
        <v>4</v>
      </c>
      <c r="AS4" s="5" t="n">
        <f aca="false">ROUNDUP(AS3/12,0)</f>
        <v>4</v>
      </c>
      <c r="AT4" s="5" t="n">
        <f aca="false">ROUNDUP(AT3/12,0)</f>
        <v>4</v>
      </c>
      <c r="AU4" s="5" t="n">
        <f aca="false">ROUNDUP(AU3/12,0)</f>
        <v>4</v>
      </c>
      <c r="AV4" s="5" t="n">
        <f aca="false">ROUNDUP(AV3/12,0)</f>
        <v>4</v>
      </c>
      <c r="AW4" s="5" t="n">
        <f aca="false">ROUNDUP(AW3/12,0)</f>
        <v>4</v>
      </c>
      <c r="AX4" s="5" t="n">
        <f aca="false">ROUNDUP(AX3/12,0)</f>
        <v>4</v>
      </c>
      <c r="AY4" s="5" t="n">
        <f aca="false">ROUNDUP(AY3/12,0)</f>
        <v>5</v>
      </c>
      <c r="AZ4" s="5" t="n">
        <f aca="false">ROUNDUP(AZ3/12,0)</f>
        <v>5</v>
      </c>
      <c r="BA4" s="5" t="n">
        <f aca="false">ROUNDUP(BA3/12,0)</f>
        <v>5</v>
      </c>
      <c r="BB4" s="5" t="n">
        <f aca="false">ROUNDUP(BB3/12,0)</f>
        <v>5</v>
      </c>
      <c r="BC4" s="5" t="n">
        <f aca="false">ROUNDUP(BC3/12,0)</f>
        <v>5</v>
      </c>
      <c r="BD4" s="5" t="n">
        <f aca="false">ROUNDUP(BD3/12,0)</f>
        <v>5</v>
      </c>
      <c r="BE4" s="5" t="n">
        <f aca="false">ROUNDUP(BE3/12,0)</f>
        <v>5</v>
      </c>
      <c r="BF4" s="5" t="n">
        <f aca="false">ROUNDUP(BF3/12,0)</f>
        <v>5</v>
      </c>
      <c r="BG4" s="5" t="n">
        <f aca="false">ROUNDUP(BG3/12,0)</f>
        <v>5</v>
      </c>
      <c r="BH4" s="5" t="n">
        <f aca="false">ROUNDUP(BH3/12,0)</f>
        <v>5</v>
      </c>
      <c r="BI4" s="5" t="n">
        <f aca="false">ROUNDUP(BI3/12,0)</f>
        <v>5</v>
      </c>
      <c r="BJ4" s="5" t="n">
        <f aca="false">ROUNDUP(BJ3/12,0)</f>
        <v>5</v>
      </c>
    </row>
    <row r="6" customFormat="false" ht="15" hidden="false" customHeight="false" outlineLevel="0" collapsed="false">
      <c r="A6" s="3" t="s">
        <v>211</v>
      </c>
      <c r="B6" s="4"/>
    </row>
    <row r="7" customFormat="false" ht="15" hidden="false" customHeight="false" outlineLevel="0" collapsed="false">
      <c r="A7" s="5" t="s">
        <v>212</v>
      </c>
      <c r="C7" s="21" t="n">
        <f aca="false">INDEX(Premissas!$B$37:$F$37,C$4)*INDEX(Premissas!$B$51:$D$51,$B$2)</f>
        <v>28750</v>
      </c>
      <c r="D7" s="21" t="n">
        <f aca="false">INDEX(Premissas!$B$37:$F$37,D$4)*INDEX(Premissas!$B$51:$D$51,$B$2)</f>
        <v>28750</v>
      </c>
      <c r="E7" s="21" t="n">
        <f aca="false">INDEX(Premissas!$B$37:$F$37,E$4)*INDEX(Premissas!$B$51:$D$51,$B$2)</f>
        <v>28750</v>
      </c>
      <c r="F7" s="21" t="n">
        <f aca="false">INDEX(Premissas!$B$37:$F$37,F$4)*INDEX(Premissas!$B$51:$D$51,$B$2)</f>
        <v>28750</v>
      </c>
      <c r="G7" s="21" t="n">
        <f aca="false">INDEX(Premissas!$B$37:$F$37,G$4)*INDEX(Premissas!$B$51:$D$51,$B$2)</f>
        <v>28750</v>
      </c>
      <c r="H7" s="21" t="n">
        <f aca="false">INDEX(Premissas!$B$37:$F$37,H$4)*INDEX(Premissas!$B$51:$D$51,$B$2)</f>
        <v>28750</v>
      </c>
      <c r="I7" s="21" t="n">
        <f aca="false">INDEX(Premissas!$B$37:$F$37,I$4)*INDEX(Premissas!$B$51:$D$51,$B$2)</f>
        <v>28750</v>
      </c>
      <c r="J7" s="21" t="n">
        <f aca="false">INDEX(Premissas!$B$37:$F$37,J$4)*INDEX(Premissas!$B$51:$D$51,$B$2)</f>
        <v>28750</v>
      </c>
      <c r="K7" s="21" t="n">
        <f aca="false">INDEX(Premissas!$B$37:$F$37,K$4)*INDEX(Premissas!$B$51:$D$51,$B$2)</f>
        <v>28750</v>
      </c>
      <c r="L7" s="21" t="n">
        <f aca="false">INDEX(Premissas!$B$37:$F$37,L$4)*INDEX(Premissas!$B$51:$D$51,$B$2)</f>
        <v>28750</v>
      </c>
      <c r="M7" s="21" t="n">
        <f aca="false">INDEX(Premissas!$B$37:$F$37,M$4)*INDEX(Premissas!$B$51:$D$51,$B$2)</f>
        <v>28750</v>
      </c>
      <c r="N7" s="21" t="n">
        <f aca="false">INDEX(Premissas!$B$37:$F$37,N$4)*INDEX(Premissas!$B$51:$D$51,$B$2)</f>
        <v>28750</v>
      </c>
      <c r="O7" s="21" t="n">
        <f aca="false">INDEX(Premissas!$B$37:$F$37,O$4)*INDEX(Premissas!$B$51:$D$51,$B$2)</f>
        <v>80500</v>
      </c>
      <c r="P7" s="21" t="n">
        <f aca="false">INDEX(Premissas!$B$37:$F$37,P$4)*INDEX(Premissas!$B$51:$D$51,$B$2)</f>
        <v>80500</v>
      </c>
      <c r="Q7" s="21" t="n">
        <f aca="false">INDEX(Premissas!$B$37:$F$37,Q$4)*INDEX(Premissas!$B$51:$D$51,$B$2)</f>
        <v>80500</v>
      </c>
      <c r="R7" s="21" t="n">
        <f aca="false">INDEX(Premissas!$B$37:$F$37,R$4)*INDEX(Premissas!$B$51:$D$51,$B$2)</f>
        <v>80500</v>
      </c>
      <c r="S7" s="21" t="n">
        <f aca="false">INDEX(Premissas!$B$37:$F$37,S$4)*INDEX(Premissas!$B$51:$D$51,$B$2)</f>
        <v>80500</v>
      </c>
      <c r="T7" s="21" t="n">
        <f aca="false">INDEX(Premissas!$B$37:$F$37,T$4)*INDEX(Premissas!$B$51:$D$51,$B$2)</f>
        <v>80500</v>
      </c>
      <c r="U7" s="21" t="n">
        <f aca="false">INDEX(Premissas!$B$37:$F$37,U$4)*INDEX(Premissas!$B$51:$D$51,$B$2)</f>
        <v>80500</v>
      </c>
      <c r="V7" s="21" t="n">
        <f aca="false">INDEX(Premissas!$B$37:$F$37,V$4)*INDEX(Premissas!$B$51:$D$51,$B$2)</f>
        <v>80500</v>
      </c>
      <c r="W7" s="21" t="n">
        <f aca="false">INDEX(Premissas!$B$37:$F$37,W$4)*INDEX(Premissas!$B$51:$D$51,$B$2)</f>
        <v>80500</v>
      </c>
      <c r="X7" s="21" t="n">
        <f aca="false">INDEX(Premissas!$B$37:$F$37,X$4)*INDEX(Premissas!$B$51:$D$51,$B$2)</f>
        <v>80500</v>
      </c>
      <c r="Y7" s="21" t="n">
        <f aca="false">INDEX(Premissas!$B$37:$F$37,Y$4)*INDEX(Premissas!$B$51:$D$51,$B$2)</f>
        <v>80500</v>
      </c>
      <c r="Z7" s="21" t="n">
        <f aca="false">INDEX(Premissas!$B$37:$F$37,Z$4)*INDEX(Premissas!$B$51:$D$51,$B$2)</f>
        <v>80500</v>
      </c>
      <c r="AA7" s="21" t="n">
        <f aca="false">INDEX(Premissas!$B$37:$F$37,AA$4)*INDEX(Premissas!$B$51:$D$51,$B$2)</f>
        <v>172500</v>
      </c>
      <c r="AB7" s="21" t="n">
        <f aca="false">INDEX(Premissas!$B$37:$F$37,AB$4)*INDEX(Premissas!$B$51:$D$51,$B$2)</f>
        <v>172500</v>
      </c>
      <c r="AC7" s="21" t="n">
        <f aca="false">INDEX(Premissas!$B$37:$F$37,AC$4)*INDEX(Premissas!$B$51:$D$51,$B$2)</f>
        <v>172500</v>
      </c>
      <c r="AD7" s="21" t="n">
        <f aca="false">INDEX(Premissas!$B$37:$F$37,AD$4)*INDEX(Premissas!$B$51:$D$51,$B$2)</f>
        <v>172500</v>
      </c>
      <c r="AE7" s="21" t="n">
        <f aca="false">INDEX(Premissas!$B$37:$F$37,AE$4)*INDEX(Premissas!$B$51:$D$51,$B$2)</f>
        <v>172500</v>
      </c>
      <c r="AF7" s="21" t="n">
        <f aca="false">INDEX(Premissas!$B$37:$F$37,AF$4)*INDEX(Premissas!$B$51:$D$51,$B$2)</f>
        <v>172500</v>
      </c>
      <c r="AG7" s="21" t="n">
        <f aca="false">INDEX(Premissas!$B$37:$F$37,AG$4)*INDEX(Premissas!$B$51:$D$51,$B$2)</f>
        <v>172500</v>
      </c>
      <c r="AH7" s="21" t="n">
        <f aca="false">INDEX(Premissas!$B$37:$F$37,AH$4)*INDEX(Premissas!$B$51:$D$51,$B$2)</f>
        <v>172500</v>
      </c>
      <c r="AI7" s="21" t="n">
        <f aca="false">INDEX(Premissas!$B$37:$F$37,AI$4)*INDEX(Premissas!$B$51:$D$51,$B$2)</f>
        <v>172500</v>
      </c>
      <c r="AJ7" s="21" t="n">
        <f aca="false">INDEX(Premissas!$B$37:$F$37,AJ$4)*INDEX(Premissas!$B$51:$D$51,$B$2)</f>
        <v>172500</v>
      </c>
      <c r="AK7" s="21" t="n">
        <f aca="false">INDEX(Premissas!$B$37:$F$37,AK$4)*INDEX(Premissas!$B$51:$D$51,$B$2)</f>
        <v>172500</v>
      </c>
      <c r="AL7" s="21" t="n">
        <f aca="false">INDEX(Premissas!$B$37:$F$37,AL$4)*INDEX(Premissas!$B$51:$D$51,$B$2)</f>
        <v>172500</v>
      </c>
      <c r="AM7" s="21" t="n">
        <f aca="false">INDEX(Premissas!$B$37:$F$37,AM$4)*INDEX(Premissas!$B$51:$D$51,$B$2)</f>
        <v>276000</v>
      </c>
      <c r="AN7" s="21" t="n">
        <f aca="false">INDEX(Premissas!$B$37:$F$37,AN$4)*INDEX(Premissas!$B$51:$D$51,$B$2)</f>
        <v>276000</v>
      </c>
      <c r="AO7" s="21" t="n">
        <f aca="false">INDEX(Premissas!$B$37:$F$37,AO$4)*INDEX(Premissas!$B$51:$D$51,$B$2)</f>
        <v>276000</v>
      </c>
      <c r="AP7" s="21" t="n">
        <f aca="false">INDEX(Premissas!$B$37:$F$37,AP$4)*INDEX(Premissas!$B$51:$D$51,$B$2)</f>
        <v>276000</v>
      </c>
      <c r="AQ7" s="21" t="n">
        <f aca="false">INDEX(Premissas!$B$37:$F$37,AQ$4)*INDEX(Premissas!$B$51:$D$51,$B$2)</f>
        <v>276000</v>
      </c>
      <c r="AR7" s="21" t="n">
        <f aca="false">INDEX(Premissas!$B$37:$F$37,AR$4)*INDEX(Premissas!$B$51:$D$51,$B$2)</f>
        <v>276000</v>
      </c>
      <c r="AS7" s="21" t="n">
        <f aca="false">INDEX(Premissas!$B$37:$F$37,AS$4)*INDEX(Premissas!$B$51:$D$51,$B$2)</f>
        <v>276000</v>
      </c>
      <c r="AT7" s="21" t="n">
        <f aca="false">INDEX(Premissas!$B$37:$F$37,AT$4)*INDEX(Premissas!$B$51:$D$51,$B$2)</f>
        <v>276000</v>
      </c>
      <c r="AU7" s="21" t="n">
        <f aca="false">INDEX(Premissas!$B$37:$F$37,AU$4)*INDEX(Premissas!$B$51:$D$51,$B$2)</f>
        <v>276000</v>
      </c>
      <c r="AV7" s="21" t="n">
        <f aca="false">INDEX(Premissas!$B$37:$F$37,AV$4)*INDEX(Premissas!$B$51:$D$51,$B$2)</f>
        <v>276000</v>
      </c>
      <c r="AW7" s="21" t="n">
        <f aca="false">INDEX(Premissas!$B$37:$F$37,AW$4)*INDEX(Premissas!$B$51:$D$51,$B$2)</f>
        <v>276000</v>
      </c>
      <c r="AX7" s="21" t="n">
        <f aca="false">INDEX(Premissas!$B$37:$F$37,AX$4)*INDEX(Premissas!$B$51:$D$51,$B$2)</f>
        <v>276000</v>
      </c>
      <c r="AY7" s="21" t="n">
        <f aca="false">INDEX(Premissas!$B$37:$F$37,AY$4)*INDEX(Premissas!$B$51:$D$51,$B$2)</f>
        <v>368000</v>
      </c>
      <c r="AZ7" s="21" t="n">
        <f aca="false">INDEX(Premissas!$B$37:$F$37,AZ$4)*INDEX(Premissas!$B$51:$D$51,$B$2)</f>
        <v>368000</v>
      </c>
      <c r="BA7" s="21" t="n">
        <f aca="false">INDEX(Premissas!$B$37:$F$37,BA$4)*INDEX(Premissas!$B$51:$D$51,$B$2)</f>
        <v>368000</v>
      </c>
      <c r="BB7" s="21" t="n">
        <f aca="false">INDEX(Premissas!$B$37:$F$37,BB$4)*INDEX(Premissas!$B$51:$D$51,$B$2)</f>
        <v>368000</v>
      </c>
      <c r="BC7" s="21" t="n">
        <f aca="false">INDEX(Premissas!$B$37:$F$37,BC$4)*INDEX(Premissas!$B$51:$D$51,$B$2)</f>
        <v>368000</v>
      </c>
      <c r="BD7" s="21" t="n">
        <f aca="false">INDEX(Premissas!$B$37:$F$37,BD$4)*INDEX(Premissas!$B$51:$D$51,$B$2)</f>
        <v>368000</v>
      </c>
      <c r="BE7" s="21" t="n">
        <f aca="false">INDEX(Premissas!$B$37:$F$37,BE$4)*INDEX(Premissas!$B$51:$D$51,$B$2)</f>
        <v>368000</v>
      </c>
      <c r="BF7" s="21" t="n">
        <f aca="false">INDEX(Premissas!$B$37:$F$37,BF$4)*INDEX(Premissas!$B$51:$D$51,$B$2)</f>
        <v>368000</v>
      </c>
      <c r="BG7" s="21" t="n">
        <f aca="false">INDEX(Premissas!$B$37:$F$37,BG$4)*INDEX(Premissas!$B$51:$D$51,$B$2)</f>
        <v>368000</v>
      </c>
      <c r="BH7" s="21" t="n">
        <f aca="false">INDEX(Premissas!$B$37:$F$37,BH$4)*INDEX(Premissas!$B$51:$D$51,$B$2)</f>
        <v>368000</v>
      </c>
      <c r="BI7" s="21" t="n">
        <f aca="false">INDEX(Premissas!$B$37:$F$37,BI$4)*INDEX(Premissas!$B$51:$D$51,$B$2)</f>
        <v>368000</v>
      </c>
      <c r="BJ7" s="21" t="n">
        <f aca="false">INDEX(Premissas!$B$37:$F$37,BJ$4)*INDEX(Premissas!$B$51:$D$51,$B$2)</f>
        <v>368000</v>
      </c>
    </row>
    <row r="8" customFormat="false" ht="15" hidden="false" customHeight="false" outlineLevel="0" collapsed="false">
      <c r="A8" s="5" t="s">
        <v>213</v>
      </c>
      <c r="C8" s="21" t="n">
        <f aca="false">INDEX(Premissas!$B$42:$F$42,C$4)*INDEX(Premissas!$B$47:$D$47,$B$2)</f>
        <v>1440</v>
      </c>
      <c r="D8" s="21" t="n">
        <f aca="false">INDEX(Premissas!$B$42:$F$42,D$4)*INDEX(Premissas!$B$47:$D$47,$B$2)</f>
        <v>1440</v>
      </c>
      <c r="E8" s="21" t="n">
        <f aca="false">INDEX(Premissas!$B$42:$F$42,E$4)*INDEX(Premissas!$B$47:$D$47,$B$2)</f>
        <v>1440</v>
      </c>
      <c r="F8" s="21" t="n">
        <f aca="false">INDEX(Premissas!$B$42:$F$42,F$4)*INDEX(Premissas!$B$47:$D$47,$B$2)</f>
        <v>1440</v>
      </c>
      <c r="G8" s="21" t="n">
        <f aca="false">INDEX(Premissas!$B$42:$F$42,G$4)*INDEX(Premissas!$B$47:$D$47,$B$2)</f>
        <v>1440</v>
      </c>
      <c r="H8" s="21" t="n">
        <f aca="false">INDEX(Premissas!$B$42:$F$42,H$4)*INDEX(Premissas!$B$47:$D$47,$B$2)</f>
        <v>1440</v>
      </c>
      <c r="I8" s="21" t="n">
        <f aca="false">INDEX(Premissas!$B$42:$F$42,I$4)*INDEX(Premissas!$B$47:$D$47,$B$2)</f>
        <v>1440</v>
      </c>
      <c r="J8" s="21" t="n">
        <f aca="false">INDEX(Premissas!$B$42:$F$42,J$4)*INDEX(Premissas!$B$47:$D$47,$B$2)</f>
        <v>1440</v>
      </c>
      <c r="K8" s="21" t="n">
        <f aca="false">INDEX(Premissas!$B$42:$F$42,K$4)*INDEX(Premissas!$B$47:$D$47,$B$2)</f>
        <v>1440</v>
      </c>
      <c r="L8" s="21" t="n">
        <f aca="false">INDEX(Premissas!$B$42:$F$42,L$4)*INDEX(Premissas!$B$47:$D$47,$B$2)</f>
        <v>1440</v>
      </c>
      <c r="M8" s="21" t="n">
        <f aca="false">INDEX(Premissas!$B$42:$F$42,M$4)*INDEX(Premissas!$B$47:$D$47,$B$2)</f>
        <v>1440</v>
      </c>
      <c r="N8" s="21" t="n">
        <f aca="false">INDEX(Premissas!$B$42:$F$42,N$4)*INDEX(Premissas!$B$47:$D$47,$B$2)</f>
        <v>1440</v>
      </c>
      <c r="O8" s="21" t="n">
        <f aca="false">INDEX(Premissas!$B$42:$F$42,O$4)*INDEX(Premissas!$B$47:$D$47,$B$2)</f>
        <v>1339.2</v>
      </c>
      <c r="P8" s="21" t="n">
        <f aca="false">INDEX(Premissas!$B$42:$F$42,P$4)*INDEX(Premissas!$B$47:$D$47,$B$2)</f>
        <v>1339.2</v>
      </c>
      <c r="Q8" s="21" t="n">
        <f aca="false">INDEX(Premissas!$B$42:$F$42,Q$4)*INDEX(Premissas!$B$47:$D$47,$B$2)</f>
        <v>1339.2</v>
      </c>
      <c r="R8" s="21" t="n">
        <f aca="false">INDEX(Premissas!$B$42:$F$42,R$4)*INDEX(Premissas!$B$47:$D$47,$B$2)</f>
        <v>1339.2</v>
      </c>
      <c r="S8" s="21" t="n">
        <f aca="false">INDEX(Premissas!$B$42:$F$42,S$4)*INDEX(Premissas!$B$47:$D$47,$B$2)</f>
        <v>1339.2</v>
      </c>
      <c r="T8" s="21" t="n">
        <f aca="false">INDEX(Premissas!$B$42:$F$42,T$4)*INDEX(Premissas!$B$47:$D$47,$B$2)</f>
        <v>1339.2</v>
      </c>
      <c r="U8" s="21" t="n">
        <f aca="false">INDEX(Premissas!$B$42:$F$42,U$4)*INDEX(Premissas!$B$47:$D$47,$B$2)</f>
        <v>1339.2</v>
      </c>
      <c r="V8" s="21" t="n">
        <f aca="false">INDEX(Premissas!$B$42:$F$42,V$4)*INDEX(Premissas!$B$47:$D$47,$B$2)</f>
        <v>1339.2</v>
      </c>
      <c r="W8" s="21" t="n">
        <f aca="false">INDEX(Premissas!$B$42:$F$42,W$4)*INDEX(Premissas!$B$47:$D$47,$B$2)</f>
        <v>1339.2</v>
      </c>
      <c r="X8" s="21" t="n">
        <f aca="false">INDEX(Premissas!$B$42:$F$42,X$4)*INDEX(Premissas!$B$47:$D$47,$B$2)</f>
        <v>1339.2</v>
      </c>
      <c r="Y8" s="21" t="n">
        <f aca="false">INDEX(Premissas!$B$42:$F$42,Y$4)*INDEX(Premissas!$B$47:$D$47,$B$2)</f>
        <v>1339.2</v>
      </c>
      <c r="Z8" s="21" t="n">
        <f aca="false">INDEX(Premissas!$B$42:$F$42,Z$4)*INDEX(Premissas!$B$47:$D$47,$B$2)</f>
        <v>1339.2</v>
      </c>
      <c r="AA8" s="21" t="n">
        <f aca="false">INDEX(Premissas!$B$42:$F$42,AA$4)*INDEX(Premissas!$B$47:$D$47,$B$2)</f>
        <v>1245.456</v>
      </c>
      <c r="AB8" s="21" t="n">
        <f aca="false">INDEX(Premissas!$B$42:$F$42,AB$4)*INDEX(Premissas!$B$47:$D$47,$B$2)</f>
        <v>1245.456</v>
      </c>
      <c r="AC8" s="21" t="n">
        <f aca="false">INDEX(Premissas!$B$42:$F$42,AC$4)*INDEX(Premissas!$B$47:$D$47,$B$2)</f>
        <v>1245.456</v>
      </c>
      <c r="AD8" s="21" t="n">
        <f aca="false">INDEX(Premissas!$B$42:$F$42,AD$4)*INDEX(Premissas!$B$47:$D$47,$B$2)</f>
        <v>1245.456</v>
      </c>
      <c r="AE8" s="21" t="n">
        <f aca="false">INDEX(Premissas!$B$42:$F$42,AE$4)*INDEX(Premissas!$B$47:$D$47,$B$2)</f>
        <v>1245.456</v>
      </c>
      <c r="AF8" s="21" t="n">
        <f aca="false">INDEX(Premissas!$B$42:$F$42,AF$4)*INDEX(Premissas!$B$47:$D$47,$B$2)</f>
        <v>1245.456</v>
      </c>
      <c r="AG8" s="21" t="n">
        <f aca="false">INDEX(Premissas!$B$42:$F$42,AG$4)*INDEX(Premissas!$B$47:$D$47,$B$2)</f>
        <v>1245.456</v>
      </c>
      <c r="AH8" s="21" t="n">
        <f aca="false">INDEX(Premissas!$B$42:$F$42,AH$4)*INDEX(Premissas!$B$47:$D$47,$B$2)</f>
        <v>1245.456</v>
      </c>
      <c r="AI8" s="21" t="n">
        <f aca="false">INDEX(Premissas!$B$42:$F$42,AI$4)*INDEX(Premissas!$B$47:$D$47,$B$2)</f>
        <v>1245.456</v>
      </c>
      <c r="AJ8" s="21" t="n">
        <f aca="false">INDEX(Premissas!$B$42:$F$42,AJ$4)*INDEX(Premissas!$B$47:$D$47,$B$2)</f>
        <v>1245.456</v>
      </c>
      <c r="AK8" s="21" t="n">
        <f aca="false">INDEX(Premissas!$B$42:$F$42,AK$4)*INDEX(Premissas!$B$47:$D$47,$B$2)</f>
        <v>1245.456</v>
      </c>
      <c r="AL8" s="21" t="n">
        <f aca="false">INDEX(Premissas!$B$42:$F$42,AL$4)*INDEX(Premissas!$B$47:$D$47,$B$2)</f>
        <v>1245.456</v>
      </c>
      <c r="AM8" s="21" t="n">
        <f aca="false">INDEX(Premissas!$B$42:$F$42,AM$4)*INDEX(Premissas!$B$47:$D$47,$B$2)</f>
        <v>1158.27408</v>
      </c>
      <c r="AN8" s="21" t="n">
        <f aca="false">INDEX(Premissas!$B$42:$F$42,AN$4)*INDEX(Premissas!$B$47:$D$47,$B$2)</f>
        <v>1158.27408</v>
      </c>
      <c r="AO8" s="21" t="n">
        <f aca="false">INDEX(Premissas!$B$42:$F$42,AO$4)*INDEX(Premissas!$B$47:$D$47,$B$2)</f>
        <v>1158.27408</v>
      </c>
      <c r="AP8" s="21" t="n">
        <f aca="false">INDEX(Premissas!$B$42:$F$42,AP$4)*INDEX(Premissas!$B$47:$D$47,$B$2)</f>
        <v>1158.27408</v>
      </c>
      <c r="AQ8" s="21" t="n">
        <f aca="false">INDEX(Premissas!$B$42:$F$42,AQ$4)*INDEX(Premissas!$B$47:$D$47,$B$2)</f>
        <v>1158.27408</v>
      </c>
      <c r="AR8" s="21" t="n">
        <f aca="false">INDEX(Premissas!$B$42:$F$42,AR$4)*INDEX(Premissas!$B$47:$D$47,$B$2)</f>
        <v>1158.27408</v>
      </c>
      <c r="AS8" s="21" t="n">
        <f aca="false">INDEX(Premissas!$B$42:$F$42,AS$4)*INDEX(Premissas!$B$47:$D$47,$B$2)</f>
        <v>1158.27408</v>
      </c>
      <c r="AT8" s="21" t="n">
        <f aca="false">INDEX(Premissas!$B$42:$F$42,AT$4)*INDEX(Premissas!$B$47:$D$47,$B$2)</f>
        <v>1158.27408</v>
      </c>
      <c r="AU8" s="21" t="n">
        <f aca="false">INDEX(Premissas!$B$42:$F$42,AU$4)*INDEX(Premissas!$B$47:$D$47,$B$2)</f>
        <v>1158.27408</v>
      </c>
      <c r="AV8" s="21" t="n">
        <f aca="false">INDEX(Premissas!$B$42:$F$42,AV$4)*INDEX(Premissas!$B$47:$D$47,$B$2)</f>
        <v>1158.27408</v>
      </c>
      <c r="AW8" s="21" t="n">
        <f aca="false">INDEX(Premissas!$B$42:$F$42,AW$4)*INDEX(Premissas!$B$47:$D$47,$B$2)</f>
        <v>1158.27408</v>
      </c>
      <c r="AX8" s="21" t="n">
        <f aca="false">INDEX(Premissas!$B$42:$F$42,AX$4)*INDEX(Premissas!$B$47:$D$47,$B$2)</f>
        <v>1158.27408</v>
      </c>
      <c r="AY8" s="21" t="n">
        <f aca="false">INDEX(Premissas!$B$42:$F$42,AY$4)*INDEX(Premissas!$B$47:$D$47,$B$2)</f>
        <v>1077.1948944</v>
      </c>
      <c r="AZ8" s="21" t="n">
        <f aca="false">INDEX(Premissas!$B$42:$F$42,AZ$4)*INDEX(Premissas!$B$47:$D$47,$B$2)</f>
        <v>1077.1948944</v>
      </c>
      <c r="BA8" s="21" t="n">
        <f aca="false">INDEX(Premissas!$B$42:$F$42,BA$4)*INDEX(Premissas!$B$47:$D$47,$B$2)</f>
        <v>1077.1948944</v>
      </c>
      <c r="BB8" s="21" t="n">
        <f aca="false">INDEX(Premissas!$B$42:$F$42,BB$4)*INDEX(Premissas!$B$47:$D$47,$B$2)</f>
        <v>1077.1948944</v>
      </c>
      <c r="BC8" s="21" t="n">
        <f aca="false">INDEX(Premissas!$B$42:$F$42,BC$4)*INDEX(Premissas!$B$47:$D$47,$B$2)</f>
        <v>1077.1948944</v>
      </c>
      <c r="BD8" s="21" t="n">
        <f aca="false">INDEX(Premissas!$B$42:$F$42,BD$4)*INDEX(Premissas!$B$47:$D$47,$B$2)</f>
        <v>1077.1948944</v>
      </c>
      <c r="BE8" s="21" t="n">
        <f aca="false">INDEX(Premissas!$B$42:$F$42,BE$4)*INDEX(Premissas!$B$47:$D$47,$B$2)</f>
        <v>1077.1948944</v>
      </c>
      <c r="BF8" s="21" t="n">
        <f aca="false">INDEX(Premissas!$B$42:$F$42,BF$4)*INDEX(Premissas!$B$47:$D$47,$B$2)</f>
        <v>1077.1948944</v>
      </c>
      <c r="BG8" s="21" t="n">
        <f aca="false">INDEX(Premissas!$B$42:$F$42,BG$4)*INDEX(Premissas!$B$47:$D$47,$B$2)</f>
        <v>1077.1948944</v>
      </c>
      <c r="BH8" s="21" t="n">
        <f aca="false">INDEX(Premissas!$B$42:$F$42,BH$4)*INDEX(Premissas!$B$47:$D$47,$B$2)</f>
        <v>1077.1948944</v>
      </c>
      <c r="BI8" s="21" t="n">
        <f aca="false">INDEX(Premissas!$B$42:$F$42,BI$4)*INDEX(Premissas!$B$47:$D$47,$B$2)</f>
        <v>1077.1948944</v>
      </c>
      <c r="BJ8" s="21" t="n">
        <f aca="false">INDEX(Premissas!$B$42:$F$42,BJ$4)*INDEX(Premissas!$B$47:$D$47,$B$2)</f>
        <v>1077.1948944</v>
      </c>
    </row>
    <row r="9" customFormat="false" ht="15" hidden="false" customHeight="false" outlineLevel="0" collapsed="false">
      <c r="A9" s="5" t="s">
        <v>214</v>
      </c>
      <c r="C9" s="23" t="n">
        <f aca="false">IFERROR(C7/C8,0)</f>
        <v>19.9652777777778</v>
      </c>
      <c r="D9" s="23" t="n">
        <f aca="false">IFERROR(D7/D8,0)</f>
        <v>19.9652777777778</v>
      </c>
      <c r="E9" s="23" t="n">
        <f aca="false">IFERROR(E7/E8,0)</f>
        <v>19.9652777777778</v>
      </c>
      <c r="F9" s="23" t="n">
        <f aca="false">IFERROR(F7/F8,0)</f>
        <v>19.9652777777778</v>
      </c>
      <c r="G9" s="23" t="n">
        <f aca="false">IFERROR(G7/G8,0)</f>
        <v>19.9652777777778</v>
      </c>
      <c r="H9" s="23" t="n">
        <f aca="false">IFERROR(H7/H8,0)</f>
        <v>19.9652777777778</v>
      </c>
      <c r="I9" s="23" t="n">
        <f aca="false">IFERROR(I7/I8,0)</f>
        <v>19.9652777777778</v>
      </c>
      <c r="J9" s="23" t="n">
        <f aca="false">IFERROR(J7/J8,0)</f>
        <v>19.9652777777778</v>
      </c>
      <c r="K9" s="23" t="n">
        <f aca="false">IFERROR(K7/K8,0)</f>
        <v>19.9652777777778</v>
      </c>
      <c r="L9" s="23" t="n">
        <f aca="false">IFERROR(L7/L8,0)</f>
        <v>19.9652777777778</v>
      </c>
      <c r="M9" s="23" t="n">
        <f aca="false">IFERROR(M7/M8,0)</f>
        <v>19.9652777777778</v>
      </c>
      <c r="N9" s="23" t="n">
        <f aca="false">IFERROR(N7/N8,0)</f>
        <v>19.9652777777778</v>
      </c>
      <c r="O9" s="23" t="n">
        <f aca="false">IFERROR(O7/O8,0)</f>
        <v>60.110513739546</v>
      </c>
      <c r="P9" s="23" t="n">
        <f aca="false">IFERROR(P7/P8,0)</f>
        <v>60.110513739546</v>
      </c>
      <c r="Q9" s="23" t="n">
        <f aca="false">IFERROR(Q7/Q8,0)</f>
        <v>60.110513739546</v>
      </c>
      <c r="R9" s="23" t="n">
        <f aca="false">IFERROR(R7/R8,0)</f>
        <v>60.110513739546</v>
      </c>
      <c r="S9" s="23" t="n">
        <f aca="false">IFERROR(S7/S8,0)</f>
        <v>60.110513739546</v>
      </c>
      <c r="T9" s="23" t="n">
        <f aca="false">IFERROR(T7/T8,0)</f>
        <v>60.110513739546</v>
      </c>
      <c r="U9" s="23" t="n">
        <f aca="false">IFERROR(U7/U8,0)</f>
        <v>60.110513739546</v>
      </c>
      <c r="V9" s="23" t="n">
        <f aca="false">IFERROR(V7/V8,0)</f>
        <v>60.110513739546</v>
      </c>
      <c r="W9" s="23" t="n">
        <f aca="false">IFERROR(W7/W8,0)</f>
        <v>60.110513739546</v>
      </c>
      <c r="X9" s="23" t="n">
        <f aca="false">IFERROR(X7/X8,0)</f>
        <v>60.110513739546</v>
      </c>
      <c r="Y9" s="23" t="n">
        <f aca="false">IFERROR(Y7/Y8,0)</f>
        <v>60.110513739546</v>
      </c>
      <c r="Z9" s="23" t="n">
        <f aca="false">IFERROR(Z7/Z8,0)</f>
        <v>60.110513739546</v>
      </c>
      <c r="AA9" s="23" t="n">
        <f aca="false">IFERROR(AA7/AA8,0)</f>
        <v>138.503487879138</v>
      </c>
      <c r="AB9" s="23" t="n">
        <f aca="false">IFERROR(AB7/AB8,0)</f>
        <v>138.503487879138</v>
      </c>
      <c r="AC9" s="23" t="n">
        <f aca="false">IFERROR(AC7/AC8,0)</f>
        <v>138.503487879138</v>
      </c>
      <c r="AD9" s="23" t="n">
        <f aca="false">IFERROR(AD7/AD8,0)</f>
        <v>138.503487879138</v>
      </c>
      <c r="AE9" s="23" t="n">
        <f aca="false">IFERROR(AE7/AE8,0)</f>
        <v>138.503487879138</v>
      </c>
      <c r="AF9" s="23" t="n">
        <f aca="false">IFERROR(AF7/AF8,0)</f>
        <v>138.503487879138</v>
      </c>
      <c r="AG9" s="23" t="n">
        <f aca="false">IFERROR(AG7/AG8,0)</f>
        <v>138.503487879138</v>
      </c>
      <c r="AH9" s="23" t="n">
        <f aca="false">IFERROR(AH7/AH8,0)</f>
        <v>138.503487879138</v>
      </c>
      <c r="AI9" s="23" t="n">
        <f aca="false">IFERROR(AI7/AI8,0)</f>
        <v>138.503487879138</v>
      </c>
      <c r="AJ9" s="23" t="n">
        <f aca="false">IFERROR(AJ7/AJ8,0)</f>
        <v>138.503487879138</v>
      </c>
      <c r="AK9" s="23" t="n">
        <f aca="false">IFERROR(AK7/AK8,0)</f>
        <v>138.503487879138</v>
      </c>
      <c r="AL9" s="23" t="n">
        <f aca="false">IFERROR(AL7/AL8,0)</f>
        <v>138.503487879138</v>
      </c>
      <c r="AM9" s="23" t="n">
        <f aca="false">IFERROR(AM7/AM8,0)</f>
        <v>238.285570544754</v>
      </c>
      <c r="AN9" s="23" t="n">
        <f aca="false">IFERROR(AN7/AN8,0)</f>
        <v>238.285570544754</v>
      </c>
      <c r="AO9" s="23" t="n">
        <f aca="false">IFERROR(AO7/AO8,0)</f>
        <v>238.285570544754</v>
      </c>
      <c r="AP9" s="23" t="n">
        <f aca="false">IFERROR(AP7/AP8,0)</f>
        <v>238.285570544754</v>
      </c>
      <c r="AQ9" s="23" t="n">
        <f aca="false">IFERROR(AQ7/AQ8,0)</f>
        <v>238.285570544754</v>
      </c>
      <c r="AR9" s="23" t="n">
        <f aca="false">IFERROR(AR7/AR8,0)</f>
        <v>238.285570544754</v>
      </c>
      <c r="AS9" s="23" t="n">
        <f aca="false">IFERROR(AS7/AS8,0)</f>
        <v>238.285570544754</v>
      </c>
      <c r="AT9" s="23" t="n">
        <f aca="false">IFERROR(AT7/AT8,0)</f>
        <v>238.285570544754</v>
      </c>
      <c r="AU9" s="23" t="n">
        <f aca="false">IFERROR(AU7/AU8,0)</f>
        <v>238.285570544754</v>
      </c>
      <c r="AV9" s="23" t="n">
        <f aca="false">IFERROR(AV7/AV8,0)</f>
        <v>238.285570544754</v>
      </c>
      <c r="AW9" s="23" t="n">
        <f aca="false">IFERROR(AW7/AW8,0)</f>
        <v>238.285570544754</v>
      </c>
      <c r="AX9" s="23" t="n">
        <f aca="false">IFERROR(AX7/AX8,0)</f>
        <v>238.285570544754</v>
      </c>
      <c r="AY9" s="23" t="n">
        <f aca="false">IFERROR(AY7/AY8,0)</f>
        <v>341.62805812868</v>
      </c>
      <c r="AZ9" s="23" t="n">
        <f aca="false">IFERROR(AZ7/AZ8,0)</f>
        <v>341.62805812868</v>
      </c>
      <c r="BA9" s="23" t="n">
        <f aca="false">IFERROR(BA7/BA8,0)</f>
        <v>341.62805812868</v>
      </c>
      <c r="BB9" s="23" t="n">
        <f aca="false">IFERROR(BB7/BB8,0)</f>
        <v>341.62805812868</v>
      </c>
      <c r="BC9" s="23" t="n">
        <f aca="false">IFERROR(BC7/BC8,0)</f>
        <v>341.62805812868</v>
      </c>
      <c r="BD9" s="23" t="n">
        <f aca="false">IFERROR(BD7/BD8,0)</f>
        <v>341.62805812868</v>
      </c>
      <c r="BE9" s="23" t="n">
        <f aca="false">IFERROR(BE7/BE8,0)</f>
        <v>341.62805812868</v>
      </c>
      <c r="BF9" s="23" t="n">
        <f aca="false">IFERROR(BF7/BF8,0)</f>
        <v>341.62805812868</v>
      </c>
      <c r="BG9" s="23" t="n">
        <f aca="false">IFERROR(BG7/BG8,0)</f>
        <v>341.62805812868</v>
      </c>
      <c r="BH9" s="23" t="n">
        <f aca="false">IFERROR(BH7/BH8,0)</f>
        <v>341.62805812868</v>
      </c>
      <c r="BI9" s="23" t="n">
        <f aca="false">IFERROR(BI7/BI8,0)</f>
        <v>341.62805812868</v>
      </c>
      <c r="BJ9" s="23" t="n">
        <f aca="false">IFERROR(BJ7/BJ8,0)</f>
        <v>341.62805812868</v>
      </c>
    </row>
    <row r="10" customFormat="false" ht="15" hidden="false" customHeight="false" outlineLevel="0" collapsed="false">
      <c r="A10" s="5" t="s">
        <v>215</v>
      </c>
      <c r="C10" s="27" t="n">
        <f aca="false">INDEX(Premissas!$B$38:$F$38,C$4)*INDEX(Premissas!$B$49:$D$49,$B$2)</f>
        <v>5.2</v>
      </c>
      <c r="D10" s="27" t="n">
        <f aca="false">INDEX(Premissas!$B$38:$F$38,D$4)*INDEX(Premissas!$B$49:$D$49,$B$2)</f>
        <v>5.2</v>
      </c>
      <c r="E10" s="27" t="n">
        <f aca="false">INDEX(Premissas!$B$38:$F$38,E$4)*INDEX(Premissas!$B$49:$D$49,$B$2)</f>
        <v>5.2</v>
      </c>
      <c r="F10" s="27" t="n">
        <f aca="false">INDEX(Premissas!$B$38:$F$38,F$4)*INDEX(Premissas!$B$49:$D$49,$B$2)</f>
        <v>5.2</v>
      </c>
      <c r="G10" s="27" t="n">
        <f aca="false">INDEX(Premissas!$B$38:$F$38,G$4)*INDEX(Premissas!$B$49:$D$49,$B$2)</f>
        <v>5.2</v>
      </c>
      <c r="H10" s="27" t="n">
        <f aca="false">INDEX(Premissas!$B$38:$F$38,H$4)*INDEX(Premissas!$B$49:$D$49,$B$2)</f>
        <v>5.2</v>
      </c>
      <c r="I10" s="27" t="n">
        <f aca="false">INDEX(Premissas!$B$38:$F$38,I$4)*INDEX(Premissas!$B$49:$D$49,$B$2)</f>
        <v>5.2</v>
      </c>
      <c r="J10" s="27" t="n">
        <f aca="false">INDEX(Premissas!$B$38:$F$38,J$4)*INDEX(Premissas!$B$49:$D$49,$B$2)</f>
        <v>5.2</v>
      </c>
      <c r="K10" s="27" t="n">
        <f aca="false">INDEX(Premissas!$B$38:$F$38,K$4)*INDEX(Premissas!$B$49:$D$49,$B$2)</f>
        <v>5.2</v>
      </c>
      <c r="L10" s="27" t="n">
        <f aca="false">INDEX(Premissas!$B$38:$F$38,L$4)*INDEX(Premissas!$B$49:$D$49,$B$2)</f>
        <v>5.2</v>
      </c>
      <c r="M10" s="27" t="n">
        <f aca="false">INDEX(Premissas!$B$38:$F$38,M$4)*INDEX(Premissas!$B$49:$D$49,$B$2)</f>
        <v>5.2</v>
      </c>
      <c r="N10" s="27" t="n">
        <f aca="false">INDEX(Premissas!$B$38:$F$38,N$4)*INDEX(Premissas!$B$49:$D$49,$B$2)</f>
        <v>5.2</v>
      </c>
      <c r="O10" s="27" t="n">
        <f aca="false">INDEX(Premissas!$B$38:$F$38,O$4)*INDEX(Premissas!$B$49:$D$49,$B$2)</f>
        <v>15.6</v>
      </c>
      <c r="P10" s="27" t="n">
        <f aca="false">INDEX(Premissas!$B$38:$F$38,P$4)*INDEX(Premissas!$B$49:$D$49,$B$2)</f>
        <v>15.6</v>
      </c>
      <c r="Q10" s="27" t="n">
        <f aca="false">INDEX(Premissas!$B$38:$F$38,Q$4)*INDEX(Premissas!$B$49:$D$49,$B$2)</f>
        <v>15.6</v>
      </c>
      <c r="R10" s="27" t="n">
        <f aca="false">INDEX(Premissas!$B$38:$F$38,R$4)*INDEX(Premissas!$B$49:$D$49,$B$2)</f>
        <v>15.6</v>
      </c>
      <c r="S10" s="27" t="n">
        <f aca="false">INDEX(Premissas!$B$38:$F$38,S$4)*INDEX(Premissas!$B$49:$D$49,$B$2)</f>
        <v>15.6</v>
      </c>
      <c r="T10" s="27" t="n">
        <f aca="false">INDEX(Premissas!$B$38:$F$38,T$4)*INDEX(Premissas!$B$49:$D$49,$B$2)</f>
        <v>15.6</v>
      </c>
      <c r="U10" s="27" t="n">
        <f aca="false">INDEX(Premissas!$B$38:$F$38,U$4)*INDEX(Premissas!$B$49:$D$49,$B$2)</f>
        <v>15.6</v>
      </c>
      <c r="V10" s="27" t="n">
        <f aca="false">INDEX(Premissas!$B$38:$F$38,V$4)*INDEX(Premissas!$B$49:$D$49,$B$2)</f>
        <v>15.6</v>
      </c>
      <c r="W10" s="27" t="n">
        <f aca="false">INDEX(Premissas!$B$38:$F$38,W$4)*INDEX(Premissas!$B$49:$D$49,$B$2)</f>
        <v>15.6</v>
      </c>
      <c r="X10" s="27" t="n">
        <f aca="false">INDEX(Premissas!$B$38:$F$38,X$4)*INDEX(Premissas!$B$49:$D$49,$B$2)</f>
        <v>15.6</v>
      </c>
      <c r="Y10" s="27" t="n">
        <f aca="false">INDEX(Premissas!$B$38:$F$38,Y$4)*INDEX(Premissas!$B$49:$D$49,$B$2)</f>
        <v>15.6</v>
      </c>
      <c r="Z10" s="27" t="n">
        <f aca="false">INDEX(Premissas!$B$38:$F$38,Z$4)*INDEX(Premissas!$B$49:$D$49,$B$2)</f>
        <v>15.6</v>
      </c>
      <c r="AA10" s="27" t="n">
        <f aca="false">INDEX(Premissas!$B$38:$F$38,AA$4)*INDEX(Premissas!$B$49:$D$49,$B$2)</f>
        <v>32.5</v>
      </c>
      <c r="AB10" s="27" t="n">
        <f aca="false">INDEX(Premissas!$B$38:$F$38,AB$4)*INDEX(Premissas!$B$49:$D$49,$B$2)</f>
        <v>32.5</v>
      </c>
      <c r="AC10" s="27" t="n">
        <f aca="false">INDEX(Premissas!$B$38:$F$38,AC$4)*INDEX(Premissas!$B$49:$D$49,$B$2)</f>
        <v>32.5</v>
      </c>
      <c r="AD10" s="27" t="n">
        <f aca="false">INDEX(Premissas!$B$38:$F$38,AD$4)*INDEX(Premissas!$B$49:$D$49,$B$2)</f>
        <v>32.5</v>
      </c>
      <c r="AE10" s="27" t="n">
        <f aca="false">INDEX(Premissas!$B$38:$F$38,AE$4)*INDEX(Premissas!$B$49:$D$49,$B$2)</f>
        <v>32.5</v>
      </c>
      <c r="AF10" s="27" t="n">
        <f aca="false">INDEX(Premissas!$B$38:$F$38,AF$4)*INDEX(Premissas!$B$49:$D$49,$B$2)</f>
        <v>32.5</v>
      </c>
      <c r="AG10" s="27" t="n">
        <f aca="false">INDEX(Premissas!$B$38:$F$38,AG$4)*INDEX(Premissas!$B$49:$D$49,$B$2)</f>
        <v>32.5</v>
      </c>
      <c r="AH10" s="27" t="n">
        <f aca="false">INDEX(Premissas!$B$38:$F$38,AH$4)*INDEX(Premissas!$B$49:$D$49,$B$2)</f>
        <v>32.5</v>
      </c>
      <c r="AI10" s="27" t="n">
        <f aca="false">INDEX(Premissas!$B$38:$F$38,AI$4)*INDEX(Premissas!$B$49:$D$49,$B$2)</f>
        <v>32.5</v>
      </c>
      <c r="AJ10" s="27" t="n">
        <f aca="false">INDEX(Premissas!$B$38:$F$38,AJ$4)*INDEX(Premissas!$B$49:$D$49,$B$2)</f>
        <v>32.5</v>
      </c>
      <c r="AK10" s="27" t="n">
        <f aca="false">INDEX(Premissas!$B$38:$F$38,AK$4)*INDEX(Premissas!$B$49:$D$49,$B$2)</f>
        <v>32.5</v>
      </c>
      <c r="AL10" s="27" t="n">
        <f aca="false">INDEX(Premissas!$B$38:$F$38,AL$4)*INDEX(Premissas!$B$49:$D$49,$B$2)</f>
        <v>32.5</v>
      </c>
      <c r="AM10" s="27" t="n">
        <f aca="false">INDEX(Premissas!$B$38:$F$38,AM$4)*INDEX(Premissas!$B$49:$D$49,$B$2)</f>
        <v>52</v>
      </c>
      <c r="AN10" s="27" t="n">
        <f aca="false">INDEX(Premissas!$B$38:$F$38,AN$4)*INDEX(Premissas!$B$49:$D$49,$B$2)</f>
        <v>52</v>
      </c>
      <c r="AO10" s="27" t="n">
        <f aca="false">INDEX(Premissas!$B$38:$F$38,AO$4)*INDEX(Premissas!$B$49:$D$49,$B$2)</f>
        <v>52</v>
      </c>
      <c r="AP10" s="27" t="n">
        <f aca="false">INDEX(Premissas!$B$38:$F$38,AP$4)*INDEX(Premissas!$B$49:$D$49,$B$2)</f>
        <v>52</v>
      </c>
      <c r="AQ10" s="27" t="n">
        <f aca="false">INDEX(Premissas!$B$38:$F$38,AQ$4)*INDEX(Premissas!$B$49:$D$49,$B$2)</f>
        <v>52</v>
      </c>
      <c r="AR10" s="27" t="n">
        <f aca="false">INDEX(Premissas!$B$38:$F$38,AR$4)*INDEX(Premissas!$B$49:$D$49,$B$2)</f>
        <v>52</v>
      </c>
      <c r="AS10" s="27" t="n">
        <f aca="false">INDEX(Premissas!$B$38:$F$38,AS$4)*INDEX(Premissas!$B$49:$D$49,$B$2)</f>
        <v>52</v>
      </c>
      <c r="AT10" s="27" t="n">
        <f aca="false">INDEX(Premissas!$B$38:$F$38,AT$4)*INDEX(Premissas!$B$49:$D$49,$B$2)</f>
        <v>52</v>
      </c>
      <c r="AU10" s="27" t="n">
        <f aca="false">INDEX(Premissas!$B$38:$F$38,AU$4)*INDEX(Premissas!$B$49:$D$49,$B$2)</f>
        <v>52</v>
      </c>
      <c r="AV10" s="27" t="n">
        <f aca="false">INDEX(Premissas!$B$38:$F$38,AV$4)*INDEX(Premissas!$B$49:$D$49,$B$2)</f>
        <v>52</v>
      </c>
      <c r="AW10" s="27" t="n">
        <f aca="false">INDEX(Premissas!$B$38:$F$38,AW$4)*INDEX(Premissas!$B$49:$D$49,$B$2)</f>
        <v>52</v>
      </c>
      <c r="AX10" s="27" t="n">
        <f aca="false">INDEX(Premissas!$B$38:$F$38,AX$4)*INDEX(Premissas!$B$49:$D$49,$B$2)</f>
        <v>52</v>
      </c>
      <c r="AY10" s="27" t="n">
        <f aca="false">INDEX(Premissas!$B$38:$F$38,AY$4)*INDEX(Premissas!$B$49:$D$49,$B$2)</f>
        <v>71.5</v>
      </c>
      <c r="AZ10" s="27" t="n">
        <f aca="false">INDEX(Premissas!$B$38:$F$38,AZ$4)*INDEX(Premissas!$B$49:$D$49,$B$2)</f>
        <v>71.5</v>
      </c>
      <c r="BA10" s="27" t="n">
        <f aca="false">INDEX(Premissas!$B$38:$F$38,BA$4)*INDEX(Premissas!$B$49:$D$49,$B$2)</f>
        <v>71.5</v>
      </c>
      <c r="BB10" s="27" t="n">
        <f aca="false">INDEX(Premissas!$B$38:$F$38,BB$4)*INDEX(Premissas!$B$49:$D$49,$B$2)</f>
        <v>71.5</v>
      </c>
      <c r="BC10" s="27" t="n">
        <f aca="false">INDEX(Premissas!$B$38:$F$38,BC$4)*INDEX(Premissas!$B$49:$D$49,$B$2)</f>
        <v>71.5</v>
      </c>
      <c r="BD10" s="27" t="n">
        <f aca="false">INDEX(Premissas!$B$38:$F$38,BD$4)*INDEX(Premissas!$B$49:$D$49,$B$2)</f>
        <v>71.5</v>
      </c>
      <c r="BE10" s="27" t="n">
        <f aca="false">INDEX(Premissas!$B$38:$F$38,BE$4)*INDEX(Premissas!$B$49:$D$49,$B$2)</f>
        <v>71.5</v>
      </c>
      <c r="BF10" s="27" t="n">
        <f aca="false">INDEX(Premissas!$B$38:$F$38,BF$4)*INDEX(Premissas!$B$49:$D$49,$B$2)</f>
        <v>71.5</v>
      </c>
      <c r="BG10" s="27" t="n">
        <f aca="false">INDEX(Premissas!$B$38:$F$38,BG$4)*INDEX(Premissas!$B$49:$D$49,$B$2)</f>
        <v>71.5</v>
      </c>
      <c r="BH10" s="27" t="n">
        <f aca="false">INDEX(Premissas!$B$38:$F$38,BH$4)*INDEX(Premissas!$B$49:$D$49,$B$2)</f>
        <v>71.5</v>
      </c>
      <c r="BI10" s="27" t="n">
        <f aca="false">INDEX(Premissas!$B$38:$F$38,BI$4)*INDEX(Premissas!$B$49:$D$49,$B$2)</f>
        <v>71.5</v>
      </c>
      <c r="BJ10" s="27" t="n">
        <f aca="false">INDEX(Premissas!$B$38:$F$38,BJ$4)*INDEX(Premissas!$B$49:$D$49,$B$2)</f>
        <v>71.5</v>
      </c>
    </row>
    <row r="11" customFormat="false" ht="15" hidden="false" customHeight="false" outlineLevel="0" collapsed="false">
      <c r="A11" s="5" t="s">
        <v>216</v>
      </c>
      <c r="C11" s="23" t="n">
        <f aca="false">0</f>
        <v>0</v>
      </c>
      <c r="D11" s="27" t="n">
        <f aca="false">C26*Premissas!$B$43*INDEX(Premissas!$B$49:$D$49,$B$2)</f>
        <v>0.327148611111111</v>
      </c>
      <c r="E11" s="27" t="n">
        <f aca="false">D26*Premissas!$B$43*INDEX(Premissas!$B$49:$D$49,$B$2)</f>
        <v>0.648735695833333</v>
      </c>
      <c r="F11" s="27" t="n">
        <f aca="false">E26*Premissas!$B$43*INDEX(Premissas!$B$49:$D$49,$B$2)</f>
        <v>0.964878046220833</v>
      </c>
      <c r="G11" s="27" t="n">
        <f aca="false">F26*Premissas!$B$43*INDEX(Premissas!$B$49:$D$49,$B$2)</f>
        <v>1.27568936048336</v>
      </c>
      <c r="H11" s="27" t="n">
        <f aca="false">G26*Premissas!$B$43*INDEX(Premissas!$B$49:$D$49,$B$2)</f>
        <v>1.58128034006205</v>
      </c>
      <c r="I11" s="27" t="n">
        <f aca="false">H26*Premissas!$B$43*INDEX(Premissas!$B$49:$D$49,$B$2)</f>
        <v>1.8817587833733</v>
      </c>
      <c r="J11" s="27" t="n">
        <f aca="false">I26*Premissas!$B$43*INDEX(Premissas!$B$49:$D$49,$B$2)</f>
        <v>2.17722967633989</v>
      </c>
      <c r="K11" s="27" t="n">
        <f aca="false">J26*Premissas!$B$43*INDEX(Premissas!$B$49:$D$49,$B$2)</f>
        <v>2.46779527982375</v>
      </c>
      <c r="L11" s="27" t="n">
        <f aca="false">K26*Premissas!$B$43*INDEX(Premissas!$B$49:$D$49,$B$2)</f>
        <v>2.75355521407113</v>
      </c>
      <c r="M11" s="27" t="n">
        <f aca="false">L26*Premissas!$B$43*INDEX(Premissas!$B$49:$D$49,$B$2)</f>
        <v>3.03460654027654</v>
      </c>
      <c r="N11" s="27" t="n">
        <f aca="false">M26*Premissas!$B$43*INDEX(Premissas!$B$49:$D$49,$B$2)</f>
        <v>3.31104383936816</v>
      </c>
      <c r="O11" s="27" t="n">
        <f aca="false">N26*Premissas!$B$43*INDEX(Premissas!$B$49:$D$49,$B$2)</f>
        <v>3.58295928811352</v>
      </c>
      <c r="P11" s="27" t="n">
        <f aca="false">O26*Premissas!$B$43*INDEX(Premissas!$B$49:$D$49,$B$2)</f>
        <v>4.51603029113028</v>
      </c>
      <c r="Q11" s="27" t="n">
        <f aca="false">P26*Premissas!$B$43*INDEX(Premissas!$B$49:$D$49,$B$2)</f>
        <v>5.43667432608093</v>
      </c>
      <c r="R11" s="27" t="n">
        <f aca="false">Q26*Premissas!$B$43*INDEX(Premissas!$B$49:$D$49,$B$2)</f>
        <v>6.34510681176724</v>
      </c>
      <c r="S11" s="27" t="n">
        <f aca="false">R26*Premissas!$B$43*INDEX(Premissas!$B$49:$D$49,$B$2)</f>
        <v>7.24153810578151</v>
      </c>
      <c r="T11" s="27" t="n">
        <f aca="false">S26*Premissas!$B$43*INDEX(Premissas!$B$49:$D$49,$B$2)</f>
        <v>8.12617365120488</v>
      </c>
      <c r="U11" s="27" t="n">
        <f aca="false">T26*Premissas!$B$43*INDEX(Premissas!$B$49:$D$49,$B$2)</f>
        <v>8.99921411861221</v>
      </c>
      <c r="V11" s="27" t="n">
        <f aca="false">U26*Premissas!$B$43*INDEX(Premissas!$B$49:$D$49,$B$2)</f>
        <v>9.86085554353945</v>
      </c>
      <c r="W11" s="27" t="n">
        <f aca="false">V26*Premissas!$B$43*INDEX(Premissas!$B$49:$D$49,$B$2)</f>
        <v>10.7112894595645</v>
      </c>
      <c r="X11" s="27" t="n">
        <f aca="false">W26*Premissas!$B$43*INDEX(Premissas!$B$49:$D$49,$B$2)</f>
        <v>11.5507030271472</v>
      </c>
      <c r="Y11" s="27" t="n">
        <f aca="false">X26*Premissas!$B$43*INDEX(Premissas!$B$49:$D$49,$B$2)</f>
        <v>12.3792791583689</v>
      </c>
      <c r="Z11" s="27" t="n">
        <f aca="false">Y26*Premissas!$B$43*INDEX(Premissas!$B$49:$D$49,$B$2)</f>
        <v>13.1971966377086</v>
      </c>
      <c r="AA11" s="27" t="n">
        <f aca="false">Z26*Premissas!$B$43*INDEX(Premissas!$B$49:$D$49,$B$2)</f>
        <v>14.0046302389858</v>
      </c>
      <c r="AB11" s="27" t="n">
        <f aca="false">AA26*Premissas!$B$43*INDEX(Premissas!$B$49:$D$49,$B$2)</f>
        <v>16.0700936041817</v>
      </c>
      <c r="AC11" s="27" t="n">
        <f aca="false">AB26*Premissas!$B$43*INDEX(Premissas!$B$49:$D$49,$B$2)</f>
        <v>18.1147222795739</v>
      </c>
      <c r="AD11" s="27" t="n">
        <f aca="false">AC26*Premissas!$B$43*INDEX(Premissas!$B$49:$D$49,$B$2)</f>
        <v>20.1388112009843</v>
      </c>
      <c r="AE11" s="27" t="n">
        <f aca="false">AD26*Premissas!$B$43*INDEX(Premissas!$B$49:$D$49,$B$2)</f>
        <v>22.1426490698542</v>
      </c>
      <c r="AF11" s="27" t="n">
        <f aca="false">AE26*Premissas!$B$43*INDEX(Premissas!$B$49:$D$49,$B$2)</f>
        <v>24.1265185223118</v>
      </c>
      <c r="AG11" s="27" t="n">
        <f aca="false">AF26*Premissas!$B$43*INDEX(Premissas!$B$49:$D$49,$B$2)</f>
        <v>26.0906962931761</v>
      </c>
      <c r="AH11" s="27" t="n">
        <f aca="false">AG26*Premissas!$B$43*INDEX(Premissas!$B$49:$D$49,$B$2)</f>
        <v>28.0354533750548</v>
      </c>
      <c r="AI11" s="27" t="n">
        <f aca="false">AH26*Premissas!$B$43*INDEX(Premissas!$B$49:$D$49,$B$2)</f>
        <v>29.9610551726861</v>
      </c>
      <c r="AJ11" s="27" t="n">
        <f aca="false">AI26*Premissas!$B$43*INDEX(Premissas!$B$49:$D$49,$B$2)</f>
        <v>31.8677616526743</v>
      </c>
      <c r="AK11" s="27" t="n">
        <f aca="false">AJ26*Premissas!$B$43*INDEX(Premissas!$B$49:$D$49,$B$2)</f>
        <v>33.7558274887592</v>
      </c>
      <c r="AL11" s="27" t="n">
        <f aca="false">AK26*Premissas!$B$43*INDEX(Premissas!$B$49:$D$49,$B$2)</f>
        <v>35.6255022027589</v>
      </c>
      <c r="AM11" s="27" t="n">
        <f aca="false">AL26*Premissas!$B$43*INDEX(Premissas!$B$49:$D$49,$B$2)</f>
        <v>37.4770303013199</v>
      </c>
      <c r="AN11" s="27" t="n">
        <f aca="false">AM26*Premissas!$B$43*INDEX(Premissas!$B$49:$D$49,$B$2)</f>
        <v>40.931448533581</v>
      </c>
      <c r="AO11" s="27" t="n">
        <f aca="false">AN26*Premissas!$B$43*INDEX(Premissas!$B$49:$D$49,$B$2)</f>
        <v>44.358838988424</v>
      </c>
      <c r="AP11" s="27" t="n">
        <f aca="false">AO26*Premissas!$B$43*INDEX(Premissas!$B$49:$D$49,$B$2)</f>
        <v>47.759523868868</v>
      </c>
      <c r="AQ11" s="27" t="n">
        <f aca="false">AP26*Premissas!$B$43*INDEX(Premissas!$B$49:$D$49,$B$2)</f>
        <v>51.1338190902649</v>
      </c>
      <c r="AR11" s="27" t="n">
        <f aca="false">AQ26*Premissas!$B$43*INDEX(Premissas!$B$49:$D$49,$B$2)</f>
        <v>54.4820344405765</v>
      </c>
      <c r="AS11" s="27" t="n">
        <f aca="false">AR26*Premissas!$B$43*INDEX(Premissas!$B$49:$D$49,$B$2)</f>
        <v>57.8044737361819</v>
      </c>
      <c r="AT11" s="27" t="n">
        <f aca="false">AS26*Premissas!$B$43*INDEX(Premissas!$B$49:$D$49,$B$2)</f>
        <v>61.1014349733436</v>
      </c>
      <c r="AU11" s="27" t="n">
        <f aca="false">AT26*Premissas!$B$43*INDEX(Premissas!$B$49:$D$49,$B$2)</f>
        <v>64.3732104754565</v>
      </c>
      <c r="AV11" s="27" t="n">
        <f aca="false">AU26*Premissas!$B$43*INDEX(Premissas!$B$49:$D$49,$B$2)</f>
        <v>67.6200870362003</v>
      </c>
      <c r="AW11" s="27" t="n">
        <f aca="false">AV26*Premissas!$B$43*INDEX(Premissas!$B$49:$D$49,$B$2)</f>
        <v>70.8423460587128</v>
      </c>
      <c r="AX11" s="27" t="n">
        <f aca="false">AW26*Premissas!$B$43*INDEX(Premissas!$B$49:$D$49,$B$2)</f>
        <v>74.0402636908987</v>
      </c>
      <c r="AY11" s="27" t="n">
        <f aca="false">AX26*Premissas!$B$43*INDEX(Premissas!$B$49:$D$49,$B$2)</f>
        <v>77.2141109569832</v>
      </c>
      <c r="AZ11" s="27" t="n">
        <f aca="false">AY26*Premissas!$B$43*INDEX(Premissas!$B$49:$D$49,$B$2)</f>
        <v>82.0913024584966</v>
      </c>
      <c r="BA11" s="27" t="n">
        <f aca="false">AZ26*Premissas!$B$43*INDEX(Premissas!$B$49:$D$49,$B$2)</f>
        <v>86.9414401879414</v>
      </c>
      <c r="BB11" s="27" t="n">
        <f aca="false">BA26*Premissas!$B$43*INDEX(Premissas!$B$49:$D$49,$B$2)</f>
        <v>91.7647818347734</v>
      </c>
      <c r="BC11" s="27" t="n">
        <f aca="false">BB26*Premissas!$B$43*INDEX(Premissas!$B$49:$D$49,$B$2)</f>
        <v>96.5615804509963</v>
      </c>
      <c r="BD11" s="27" t="n">
        <f aca="false">BC26*Premissas!$B$43*INDEX(Premissas!$B$49:$D$49,$B$2)</f>
        <v>101.332084562513</v>
      </c>
      <c r="BE11" s="27" t="n">
        <f aca="false">BD26*Premissas!$B$43*INDEX(Premissas!$B$49:$D$49,$B$2)</f>
        <v>106.076538277586</v>
      </c>
      <c r="BF11" s="27" t="n">
        <f aca="false">BE26*Premissas!$B$43*INDEX(Premissas!$B$49:$D$49,$B$2)</f>
        <v>110.795181392477</v>
      </c>
      <c r="BG11" s="27" t="n">
        <f aca="false">BF26*Premissas!$B$43*INDEX(Premissas!$B$49:$D$49,$B$2)</f>
        <v>115.488249494357</v>
      </c>
      <c r="BH11" s="27" t="n">
        <f aca="false">BG26*Premissas!$B$43*INDEX(Premissas!$B$49:$D$49,$B$2)</f>
        <v>120.155974061538</v>
      </c>
      <c r="BI11" s="27" t="n">
        <f aca="false">BH26*Premissas!$B$43*INDEX(Premissas!$B$49:$D$49,$B$2)</f>
        <v>124.798582561112</v>
      </c>
      <c r="BJ11" s="27" t="n">
        <f aca="false">BI26*Premissas!$B$43*INDEX(Premissas!$B$49:$D$49,$B$2)</f>
        <v>129.416298544067</v>
      </c>
    </row>
    <row r="12" customFormat="false" ht="15" hidden="false" customHeight="false" outlineLevel="0" collapsed="false">
      <c r="A12" s="18" t="s">
        <v>217</v>
      </c>
      <c r="C12" s="28" t="n">
        <f aca="false">C9+C10+C11</f>
        <v>25.1652777777778</v>
      </c>
      <c r="D12" s="28" t="n">
        <f aca="false">D9+D10+D11</f>
        <v>25.4924263888889</v>
      </c>
      <c r="E12" s="28" t="n">
        <f aca="false">E9+E10+E11</f>
        <v>25.8140134736111</v>
      </c>
      <c r="F12" s="28" t="n">
        <f aca="false">F9+F10+F11</f>
        <v>26.1301558239986</v>
      </c>
      <c r="G12" s="28" t="n">
        <f aca="false">G9+G10+G11</f>
        <v>26.4409671382611</v>
      </c>
      <c r="H12" s="28" t="n">
        <f aca="false">H9+H10+H11</f>
        <v>26.7465581178398</v>
      </c>
      <c r="I12" s="28" t="n">
        <f aca="false">I9+I10+I11</f>
        <v>27.0470365611511</v>
      </c>
      <c r="J12" s="28" t="n">
        <f aca="false">J9+J10+J11</f>
        <v>27.3425074541177</v>
      </c>
      <c r="K12" s="28" t="n">
        <f aca="false">K9+K10+K11</f>
        <v>27.6330730576015</v>
      </c>
      <c r="L12" s="28" t="n">
        <f aca="false">L9+L10+L11</f>
        <v>27.9188329918489</v>
      </c>
      <c r="M12" s="28" t="n">
        <f aca="false">M9+M10+M11</f>
        <v>28.1998843180543</v>
      </c>
      <c r="N12" s="28" t="n">
        <f aca="false">N9+N10+N11</f>
        <v>28.4763216171459</v>
      </c>
      <c r="O12" s="28" t="n">
        <f aca="false">O9+O10+O11</f>
        <v>79.2934730276595</v>
      </c>
      <c r="P12" s="28" t="n">
        <f aca="false">P9+P10+P11</f>
        <v>80.2265440306763</v>
      </c>
      <c r="Q12" s="28" t="n">
        <f aca="false">Q9+Q10+Q11</f>
        <v>81.1471880656269</v>
      </c>
      <c r="R12" s="28" t="n">
        <f aca="false">R9+R10+R11</f>
        <v>82.0556205513132</v>
      </c>
      <c r="S12" s="28" t="n">
        <f aca="false">S9+S10+S11</f>
        <v>82.9520518453275</v>
      </c>
      <c r="T12" s="28" t="n">
        <f aca="false">T9+T10+T11</f>
        <v>83.8366873907509</v>
      </c>
      <c r="U12" s="28" t="n">
        <f aca="false">U9+U10+U11</f>
        <v>84.7097278581582</v>
      </c>
      <c r="V12" s="28" t="n">
        <f aca="false">V9+V10+V11</f>
        <v>85.5713692830855</v>
      </c>
      <c r="W12" s="28" t="n">
        <f aca="false">W9+W10+W11</f>
        <v>86.4218031991105</v>
      </c>
      <c r="X12" s="28" t="n">
        <f aca="false">X9+X10+X11</f>
        <v>87.2612167666932</v>
      </c>
      <c r="Y12" s="28" t="n">
        <f aca="false">Y9+Y10+Y11</f>
        <v>88.0897928979149</v>
      </c>
      <c r="Z12" s="28" t="n">
        <f aca="false">Z9+Z10+Z11</f>
        <v>88.9077103772546</v>
      </c>
      <c r="AA12" s="28" t="n">
        <f aca="false">AA9+AA10+AA11</f>
        <v>185.008118118124</v>
      </c>
      <c r="AB12" s="28" t="n">
        <f aca="false">AB9+AB10+AB11</f>
        <v>187.07358148332</v>
      </c>
      <c r="AC12" s="28" t="n">
        <f aca="false">AC9+AC10+AC11</f>
        <v>189.118210158712</v>
      </c>
      <c r="AD12" s="28" t="n">
        <f aca="false">AD9+AD10+AD11</f>
        <v>191.142299080122</v>
      </c>
      <c r="AE12" s="28" t="n">
        <f aca="false">AE9+AE10+AE11</f>
        <v>193.146136948992</v>
      </c>
      <c r="AF12" s="28" t="n">
        <f aca="false">AF9+AF10+AF11</f>
        <v>195.13000640145</v>
      </c>
      <c r="AG12" s="28" t="n">
        <f aca="false">AG9+AG10+AG11</f>
        <v>197.094184172314</v>
      </c>
      <c r="AH12" s="28" t="n">
        <f aca="false">AH9+AH10+AH11</f>
        <v>199.038941254193</v>
      </c>
      <c r="AI12" s="28" t="n">
        <f aca="false">AI9+AI10+AI11</f>
        <v>200.964543051824</v>
      </c>
      <c r="AJ12" s="28" t="n">
        <f aca="false">AJ9+AJ10+AJ11</f>
        <v>202.871249531813</v>
      </c>
      <c r="AK12" s="28" t="n">
        <f aca="false">AK9+AK10+AK11</f>
        <v>204.759315367897</v>
      </c>
      <c r="AL12" s="28" t="n">
        <f aca="false">AL9+AL10+AL11</f>
        <v>206.628990081897</v>
      </c>
      <c r="AM12" s="28" t="n">
        <f aca="false">AM9+AM10+AM11</f>
        <v>327.762600846074</v>
      </c>
      <c r="AN12" s="28" t="n">
        <f aca="false">AN9+AN10+AN11</f>
        <v>331.217019078335</v>
      </c>
      <c r="AO12" s="28" t="n">
        <f aca="false">AO9+AO10+AO11</f>
        <v>334.644409533178</v>
      </c>
      <c r="AP12" s="28" t="n">
        <f aca="false">AP9+AP10+AP11</f>
        <v>338.045094413622</v>
      </c>
      <c r="AQ12" s="28" t="n">
        <f aca="false">AQ9+AQ10+AQ11</f>
        <v>341.419389635019</v>
      </c>
      <c r="AR12" s="28" t="n">
        <f aca="false">AR9+AR10+AR11</f>
        <v>344.767604985331</v>
      </c>
      <c r="AS12" s="28" t="n">
        <f aca="false">AS9+AS10+AS11</f>
        <v>348.090044280936</v>
      </c>
      <c r="AT12" s="28" t="n">
        <f aca="false">AT9+AT10+AT11</f>
        <v>351.387005518098</v>
      </c>
      <c r="AU12" s="28" t="n">
        <f aca="false">AU9+AU10+AU11</f>
        <v>354.658781020211</v>
      </c>
      <c r="AV12" s="28" t="n">
        <f aca="false">AV9+AV10+AV11</f>
        <v>357.905657580954</v>
      </c>
      <c r="AW12" s="28" t="n">
        <f aca="false">AW9+AW10+AW11</f>
        <v>361.127916603467</v>
      </c>
      <c r="AX12" s="28" t="n">
        <f aca="false">AX9+AX10+AX11</f>
        <v>364.325834235653</v>
      </c>
      <c r="AY12" s="28" t="n">
        <f aca="false">AY9+AY10+AY11</f>
        <v>490.342169085663</v>
      </c>
      <c r="AZ12" s="28" t="n">
        <f aca="false">AZ9+AZ10+AZ11</f>
        <v>495.219360587176</v>
      </c>
      <c r="BA12" s="28" t="n">
        <f aca="false">BA9+BA10+BA11</f>
        <v>500.069498316621</v>
      </c>
      <c r="BB12" s="28" t="n">
        <f aca="false">BB9+BB10+BB11</f>
        <v>504.892839963453</v>
      </c>
      <c r="BC12" s="28" t="n">
        <f aca="false">BC9+BC10+BC11</f>
        <v>509.689638579676</v>
      </c>
      <c r="BD12" s="28" t="n">
        <f aca="false">BD9+BD10+BD11</f>
        <v>514.460142691193</v>
      </c>
      <c r="BE12" s="28" t="n">
        <f aca="false">BE9+BE10+BE11</f>
        <v>519.204596406265</v>
      </c>
      <c r="BF12" s="28" t="n">
        <f aca="false">BF9+BF10+BF11</f>
        <v>523.923239521157</v>
      </c>
      <c r="BG12" s="28" t="n">
        <f aca="false">BG9+BG10+BG11</f>
        <v>528.616307623037</v>
      </c>
      <c r="BH12" s="28" t="n">
        <f aca="false">BH9+BH10+BH11</f>
        <v>533.284032190217</v>
      </c>
      <c r="BI12" s="28" t="n">
        <f aca="false">BI9+BI10+BI11</f>
        <v>537.926640689792</v>
      </c>
      <c r="BJ12" s="28" t="n">
        <f aca="false">BJ9+BJ10+BJ11</f>
        <v>542.544356672746</v>
      </c>
    </row>
    <row r="13" customFormat="false" ht="15" hidden="false" customHeight="false" outlineLevel="0" collapsed="false">
      <c r="A13" s="3" t="s">
        <v>218</v>
      </c>
      <c r="B13" s="4"/>
    </row>
    <row r="14" customFormat="false" ht="15" hidden="false" customHeight="false" outlineLevel="0" collapsed="false">
      <c r="A14" s="5" t="s">
        <v>219</v>
      </c>
      <c r="C14" s="27" t="n">
        <f aca="false">C12*INDEX(Premissas!$B$29:$B$33,C$4)</f>
        <v>10.0661111111111</v>
      </c>
      <c r="D14" s="27" t="n">
        <f aca="false">D12*INDEX(Premissas!$B$29:$B$33,D$4)</f>
        <v>10.1969705555556</v>
      </c>
      <c r="E14" s="27" t="n">
        <f aca="false">E12*INDEX(Premissas!$B$29:$B$33,E$4)</f>
        <v>10.3256053894444</v>
      </c>
      <c r="F14" s="27" t="n">
        <f aca="false">F12*INDEX(Premissas!$B$29:$B$33,F$4)</f>
        <v>10.4520623295994</v>
      </c>
      <c r="G14" s="27" t="n">
        <f aca="false">G12*INDEX(Premissas!$B$29:$B$33,G$4)</f>
        <v>10.5763868553045</v>
      </c>
      <c r="H14" s="27" t="n">
        <f aca="false">H12*INDEX(Premissas!$B$29:$B$33,H$4)</f>
        <v>10.6986232471359</v>
      </c>
      <c r="I14" s="27" t="n">
        <f aca="false">I12*INDEX(Premissas!$B$29:$B$33,I$4)</f>
        <v>10.8188146244604</v>
      </c>
      <c r="J14" s="27" t="n">
        <f aca="false">J12*INDEX(Premissas!$B$29:$B$33,J$4)</f>
        <v>10.9370029816471</v>
      </c>
      <c r="K14" s="27" t="n">
        <f aca="false">K12*INDEX(Premissas!$B$29:$B$33,K$4)</f>
        <v>11.0532292230406</v>
      </c>
      <c r="L14" s="27" t="n">
        <f aca="false">L12*INDEX(Premissas!$B$29:$B$33,L$4)</f>
        <v>11.1675331967396</v>
      </c>
      <c r="M14" s="27" t="n">
        <f aca="false">M12*INDEX(Premissas!$B$29:$B$33,M$4)</f>
        <v>11.2799537272217</v>
      </c>
      <c r="N14" s="27" t="n">
        <f aca="false">N12*INDEX(Premissas!$B$29:$B$33,N$4)</f>
        <v>11.3905286468584</v>
      </c>
      <c r="O14" s="27" t="n">
        <f aca="false">O12*INDEX(Premissas!$B$29:$B$33,O$4)</f>
        <v>27.7527155596808</v>
      </c>
      <c r="P14" s="27" t="n">
        <f aca="false">P12*INDEX(Premissas!$B$29:$B$33,P$4)</f>
        <v>28.0792904107367</v>
      </c>
      <c r="Q14" s="27" t="n">
        <f aca="false">Q12*INDEX(Premissas!$B$29:$B$33,Q$4)</f>
        <v>28.4015158229694</v>
      </c>
      <c r="R14" s="27" t="n">
        <f aca="false">R12*INDEX(Premissas!$B$29:$B$33,R$4)</f>
        <v>28.7194671929596</v>
      </c>
      <c r="S14" s="27" t="n">
        <f aca="false">S12*INDEX(Premissas!$B$29:$B$33,S$4)</f>
        <v>29.0332181458646</v>
      </c>
      <c r="T14" s="27" t="n">
        <f aca="false">T12*INDEX(Premissas!$B$29:$B$33,T$4)</f>
        <v>29.3428405867628</v>
      </c>
      <c r="U14" s="27" t="n">
        <f aca="false">U12*INDEX(Premissas!$B$29:$B$33,U$4)</f>
        <v>29.6484047503554</v>
      </c>
      <c r="V14" s="27" t="n">
        <f aca="false">V12*INDEX(Premissas!$B$29:$B$33,V$4)</f>
        <v>29.9499792490799</v>
      </c>
      <c r="W14" s="27" t="n">
        <f aca="false">W12*INDEX(Premissas!$B$29:$B$33,W$4)</f>
        <v>30.2476311196887</v>
      </c>
      <c r="X14" s="27" t="n">
        <f aca="false">X12*INDEX(Premissas!$B$29:$B$33,X$4)</f>
        <v>30.5414258683426</v>
      </c>
      <c r="Y14" s="27" t="n">
        <f aca="false">Y12*INDEX(Premissas!$B$29:$B$33,Y$4)</f>
        <v>30.8314275142702</v>
      </c>
      <c r="Z14" s="27" t="n">
        <f aca="false">Z12*INDEX(Premissas!$B$29:$B$33,Z$4)</f>
        <v>31.1176986320391</v>
      </c>
      <c r="AA14" s="27" t="n">
        <f aca="false">AA12*INDEX(Premissas!$B$29:$B$33,AA$4)</f>
        <v>55.5024354354372</v>
      </c>
      <c r="AB14" s="27" t="n">
        <f aca="false">AB12*INDEX(Premissas!$B$29:$B$33,AB$4)</f>
        <v>56.122074444996</v>
      </c>
      <c r="AC14" s="27" t="n">
        <f aca="false">AC12*INDEX(Premissas!$B$29:$B$33,AC$4)</f>
        <v>56.7354630476136</v>
      </c>
      <c r="AD14" s="27" t="n">
        <f aca="false">AD12*INDEX(Premissas!$B$29:$B$33,AD$4)</f>
        <v>57.3426897240367</v>
      </c>
      <c r="AE14" s="27" t="n">
        <f aca="false">AE12*INDEX(Premissas!$B$29:$B$33,AE$4)</f>
        <v>57.9438410846977</v>
      </c>
      <c r="AF14" s="27" t="n">
        <f aca="false">AF12*INDEX(Premissas!$B$29:$B$33,AF$4)</f>
        <v>58.539001920435</v>
      </c>
      <c r="AG14" s="27" t="n">
        <f aca="false">AG12*INDEX(Premissas!$B$29:$B$33,AG$4)</f>
        <v>59.1282552516943</v>
      </c>
      <c r="AH14" s="27" t="n">
        <f aca="false">AH12*INDEX(Premissas!$B$29:$B$33,AH$4)</f>
        <v>59.7116823762579</v>
      </c>
      <c r="AI14" s="27" t="n">
        <f aca="false">AI12*INDEX(Premissas!$B$29:$B$33,AI$4)</f>
        <v>60.2893629155473</v>
      </c>
      <c r="AJ14" s="27" t="n">
        <f aca="false">AJ12*INDEX(Premissas!$B$29:$B$33,AJ$4)</f>
        <v>60.8613748595438</v>
      </c>
      <c r="AK14" s="27" t="n">
        <f aca="false">AK12*INDEX(Premissas!$B$29:$B$33,AK$4)</f>
        <v>61.4277946103692</v>
      </c>
      <c r="AL14" s="27" t="n">
        <f aca="false">AL12*INDEX(Premissas!$B$29:$B$33,AL$4)</f>
        <v>61.9886970245691</v>
      </c>
      <c r="AM14" s="27" t="n">
        <f aca="false">AM12*INDEX(Premissas!$B$29:$B$33,AM$4)</f>
        <v>91.7735282369007</v>
      </c>
      <c r="AN14" s="27" t="n">
        <f aca="false">AN12*INDEX(Premissas!$B$29:$B$33,AN$4)</f>
        <v>92.7407653419338</v>
      </c>
      <c r="AO14" s="27" t="n">
        <f aca="false">AO12*INDEX(Premissas!$B$29:$B$33,AO$4)</f>
        <v>93.7004346692898</v>
      </c>
      <c r="AP14" s="27" t="n">
        <f aca="false">AP12*INDEX(Premissas!$B$29:$B$33,AP$4)</f>
        <v>94.6526264358142</v>
      </c>
      <c r="AQ14" s="27" t="n">
        <f aca="false">AQ12*INDEX(Premissas!$B$29:$B$33,AQ$4)</f>
        <v>95.5974290978053</v>
      </c>
      <c r="AR14" s="27" t="n">
        <f aca="false">AR12*INDEX(Premissas!$B$29:$B$33,AR$4)</f>
        <v>96.5349293958926</v>
      </c>
      <c r="AS14" s="27" t="n">
        <f aca="false">AS12*INDEX(Premissas!$B$29:$B$33,AS$4)</f>
        <v>97.4652123986621</v>
      </c>
      <c r="AT14" s="27" t="n">
        <f aca="false">AT12*INDEX(Premissas!$B$29:$B$33,AT$4)</f>
        <v>98.3883615450674</v>
      </c>
      <c r="AU14" s="27" t="n">
        <f aca="false">AU12*INDEX(Premissas!$B$29:$B$33,AU$4)</f>
        <v>99.304458685659</v>
      </c>
      <c r="AV14" s="27" t="n">
        <f aca="false">AV12*INDEX(Premissas!$B$29:$B$33,AV$4)</f>
        <v>100.213584122667</v>
      </c>
      <c r="AW14" s="27" t="n">
        <f aca="false">AW12*INDEX(Premissas!$B$29:$B$33,AW$4)</f>
        <v>101.115816648971</v>
      </c>
      <c r="AX14" s="27" t="n">
        <f aca="false">AX12*INDEX(Premissas!$B$29:$B$33,AX$4)</f>
        <v>102.011233585983</v>
      </c>
      <c r="AY14" s="27" t="n">
        <f aca="false">AY12*INDEX(Premissas!$B$29:$B$33,AY$4)</f>
        <v>122.585542271416</v>
      </c>
      <c r="AZ14" s="27" t="n">
        <f aca="false">AZ12*INDEX(Premissas!$B$29:$B$33,AZ$4)</f>
        <v>123.804840146794</v>
      </c>
      <c r="BA14" s="27" t="n">
        <f aca="false">BA12*INDEX(Premissas!$B$29:$B$33,BA$4)</f>
        <v>125.017374579155</v>
      </c>
      <c r="BB14" s="27" t="n">
        <f aca="false">BB12*INDEX(Premissas!$B$29:$B$33,BB$4)</f>
        <v>126.223209990863</v>
      </c>
      <c r="BC14" s="27" t="n">
        <f aca="false">BC12*INDEX(Premissas!$B$29:$B$33,BC$4)</f>
        <v>127.422409644919</v>
      </c>
      <c r="BD14" s="27" t="n">
        <f aca="false">BD12*INDEX(Premissas!$B$29:$B$33,BD$4)</f>
        <v>128.615035672798</v>
      </c>
      <c r="BE14" s="27" t="n">
        <f aca="false">BE12*INDEX(Premissas!$B$29:$B$33,BE$4)</f>
        <v>129.801149101566</v>
      </c>
      <c r="BF14" s="27" t="n">
        <f aca="false">BF12*INDEX(Premissas!$B$29:$B$33,BF$4)</f>
        <v>130.980809880289</v>
      </c>
      <c r="BG14" s="27" t="n">
        <f aca="false">BG12*INDEX(Premissas!$B$29:$B$33,BG$4)</f>
        <v>132.154076905759</v>
      </c>
      <c r="BH14" s="27" t="n">
        <f aca="false">BH12*INDEX(Premissas!$B$29:$B$33,BH$4)</f>
        <v>133.321008047554</v>
      </c>
      <c r="BI14" s="27" t="n">
        <f aca="false">BI12*INDEX(Premissas!$B$29:$B$33,BI$4)</f>
        <v>134.481660172448</v>
      </c>
      <c r="BJ14" s="27" t="n">
        <f aca="false">BJ12*INDEX(Premissas!$B$29:$B$33,BJ$4)</f>
        <v>135.636089168187</v>
      </c>
    </row>
    <row r="15" customFormat="false" ht="15" hidden="false" customHeight="false" outlineLevel="0" collapsed="false">
      <c r="A15" s="5" t="s">
        <v>220</v>
      </c>
      <c r="C15" s="27" t="n">
        <f aca="false">C12*INDEX(Premissas!$C$29:$C$33,C$4)</f>
        <v>12.5826388888889</v>
      </c>
      <c r="D15" s="27" t="n">
        <f aca="false">D12*INDEX(Premissas!$C$29:$C$33,D$4)</f>
        <v>12.7462131944444</v>
      </c>
      <c r="E15" s="27" t="n">
        <f aca="false">E12*INDEX(Premissas!$C$29:$C$33,E$4)</f>
        <v>12.9070067368056</v>
      </c>
      <c r="F15" s="27" t="n">
        <f aca="false">F12*INDEX(Premissas!$C$29:$C$33,F$4)</f>
        <v>13.0650779119993</v>
      </c>
      <c r="G15" s="27" t="n">
        <f aca="false">G12*INDEX(Premissas!$C$29:$C$33,G$4)</f>
        <v>13.2204835691306</v>
      </c>
      <c r="H15" s="27" t="n">
        <f aca="false">H12*INDEX(Premissas!$C$29:$C$33,H$4)</f>
        <v>13.3732790589199</v>
      </c>
      <c r="I15" s="27" t="n">
        <f aca="false">I12*INDEX(Premissas!$C$29:$C$33,I$4)</f>
        <v>13.5235182805755</v>
      </c>
      <c r="J15" s="27" t="n">
        <f aca="false">J12*INDEX(Premissas!$C$29:$C$33,J$4)</f>
        <v>13.6712537270588</v>
      </c>
      <c r="K15" s="27" t="n">
        <f aca="false">K12*INDEX(Premissas!$C$29:$C$33,K$4)</f>
        <v>13.8165365288008</v>
      </c>
      <c r="L15" s="27" t="n">
        <f aca="false">L12*INDEX(Premissas!$C$29:$C$33,L$4)</f>
        <v>13.9594164959245</v>
      </c>
      <c r="M15" s="27" t="n">
        <f aca="false">M12*INDEX(Premissas!$C$29:$C$33,M$4)</f>
        <v>14.0999421590272</v>
      </c>
      <c r="N15" s="27" t="n">
        <f aca="false">N12*INDEX(Premissas!$C$29:$C$33,N$4)</f>
        <v>14.238160808573</v>
      </c>
      <c r="O15" s="27" t="n">
        <f aca="false">O12*INDEX(Premissas!$C$29:$C$33,O$4)</f>
        <v>39.6467365138298</v>
      </c>
      <c r="P15" s="27" t="n">
        <f aca="false">P12*INDEX(Premissas!$C$29:$C$33,P$4)</f>
        <v>40.1132720153381</v>
      </c>
      <c r="Q15" s="27" t="n">
        <f aca="false">Q12*INDEX(Premissas!$C$29:$C$33,Q$4)</f>
        <v>40.5735940328135</v>
      </c>
      <c r="R15" s="27" t="n">
        <f aca="false">R12*INDEX(Premissas!$C$29:$C$33,R$4)</f>
        <v>41.0278102756566</v>
      </c>
      <c r="S15" s="27" t="n">
        <f aca="false">S12*INDEX(Premissas!$C$29:$C$33,S$4)</f>
        <v>41.4760259226638</v>
      </c>
      <c r="T15" s="27" t="n">
        <f aca="false">T12*INDEX(Premissas!$C$29:$C$33,T$4)</f>
        <v>41.9183436953754</v>
      </c>
      <c r="U15" s="27" t="n">
        <f aca="false">U12*INDEX(Premissas!$C$29:$C$33,U$4)</f>
        <v>42.3548639290791</v>
      </c>
      <c r="V15" s="27" t="n">
        <f aca="false">V12*INDEX(Premissas!$C$29:$C$33,V$4)</f>
        <v>42.7856846415427</v>
      </c>
      <c r="W15" s="27" t="n">
        <f aca="false">W12*INDEX(Premissas!$C$29:$C$33,W$4)</f>
        <v>43.2109015995553</v>
      </c>
      <c r="X15" s="27" t="n">
        <f aca="false">X12*INDEX(Premissas!$C$29:$C$33,X$4)</f>
        <v>43.6306083833466</v>
      </c>
      <c r="Y15" s="27" t="n">
        <f aca="false">Y12*INDEX(Premissas!$C$29:$C$33,Y$4)</f>
        <v>44.0448964489574</v>
      </c>
      <c r="Z15" s="27" t="n">
        <f aca="false">Z12*INDEX(Premissas!$C$29:$C$33,Z$4)</f>
        <v>44.4538551886273</v>
      </c>
      <c r="AA15" s="27" t="n">
        <f aca="false">AA12*INDEX(Premissas!$C$29:$C$33,AA$4)</f>
        <v>92.504059059062</v>
      </c>
      <c r="AB15" s="27" t="n">
        <f aca="false">AB12*INDEX(Premissas!$C$29:$C$33,AB$4)</f>
        <v>93.53679074166</v>
      </c>
      <c r="AC15" s="27" t="n">
        <f aca="false">AC12*INDEX(Premissas!$C$29:$C$33,AC$4)</f>
        <v>94.559105079356</v>
      </c>
      <c r="AD15" s="27" t="n">
        <f aca="false">AD12*INDEX(Premissas!$C$29:$C$33,AD$4)</f>
        <v>95.5711495400612</v>
      </c>
      <c r="AE15" s="27" t="n">
        <f aca="false">AE12*INDEX(Premissas!$C$29:$C$33,AE$4)</f>
        <v>96.5730684744962</v>
      </c>
      <c r="AF15" s="27" t="n">
        <f aca="false">AF12*INDEX(Premissas!$C$29:$C$33,AF$4)</f>
        <v>97.565003200725</v>
      </c>
      <c r="AG15" s="27" t="n">
        <f aca="false">AG12*INDEX(Premissas!$C$29:$C$33,AG$4)</f>
        <v>98.5470920861572</v>
      </c>
      <c r="AH15" s="27" t="n">
        <f aca="false">AH12*INDEX(Premissas!$C$29:$C$33,AH$4)</f>
        <v>99.5194706270965</v>
      </c>
      <c r="AI15" s="27" t="n">
        <f aca="false">AI12*INDEX(Premissas!$C$29:$C$33,AI$4)</f>
        <v>100.482271525912</v>
      </c>
      <c r="AJ15" s="27" t="n">
        <f aca="false">AJ12*INDEX(Premissas!$C$29:$C$33,AJ$4)</f>
        <v>101.435624765906</v>
      </c>
      <c r="AK15" s="27" t="n">
        <f aca="false">AK12*INDEX(Premissas!$C$29:$C$33,AK$4)</f>
        <v>102.379657683949</v>
      </c>
      <c r="AL15" s="27" t="n">
        <f aca="false">AL12*INDEX(Premissas!$C$29:$C$33,AL$4)</f>
        <v>103.314495040949</v>
      </c>
      <c r="AM15" s="27" t="n">
        <f aca="false">AM12*INDEX(Premissas!$C$29:$C$33,AM$4)</f>
        <v>163.881300423037</v>
      </c>
      <c r="AN15" s="27" t="n">
        <f aca="false">AN12*INDEX(Premissas!$C$29:$C$33,AN$4)</f>
        <v>165.608509539168</v>
      </c>
      <c r="AO15" s="27" t="n">
        <f aca="false">AO12*INDEX(Premissas!$C$29:$C$33,AO$4)</f>
        <v>167.322204766589</v>
      </c>
      <c r="AP15" s="27" t="n">
        <f aca="false">AP12*INDEX(Premissas!$C$29:$C$33,AP$4)</f>
        <v>169.022547206811</v>
      </c>
      <c r="AQ15" s="27" t="n">
        <f aca="false">AQ12*INDEX(Premissas!$C$29:$C$33,AQ$4)</f>
        <v>170.709694817509</v>
      </c>
      <c r="AR15" s="27" t="n">
        <f aca="false">AR12*INDEX(Premissas!$C$29:$C$33,AR$4)</f>
        <v>172.383802492665</v>
      </c>
      <c r="AS15" s="27" t="n">
        <f aca="false">AS12*INDEX(Premissas!$C$29:$C$33,AS$4)</f>
        <v>174.045022140468</v>
      </c>
      <c r="AT15" s="27" t="n">
        <f aca="false">AT12*INDEX(Premissas!$C$29:$C$33,AT$4)</f>
        <v>175.693502759049</v>
      </c>
      <c r="AU15" s="27" t="n">
        <f aca="false">AU12*INDEX(Premissas!$C$29:$C$33,AU$4)</f>
        <v>177.329390510105</v>
      </c>
      <c r="AV15" s="27" t="n">
        <f aca="false">AV12*INDEX(Premissas!$C$29:$C$33,AV$4)</f>
        <v>178.952828790477</v>
      </c>
      <c r="AW15" s="27" t="n">
        <f aca="false">AW12*INDEX(Premissas!$C$29:$C$33,AW$4)</f>
        <v>180.563958301733</v>
      </c>
      <c r="AX15" s="27" t="n">
        <f aca="false">AX12*INDEX(Premissas!$C$29:$C$33,AX$4)</f>
        <v>182.162917117826</v>
      </c>
      <c r="AY15" s="27" t="n">
        <f aca="false">AY12*INDEX(Premissas!$C$29:$C$33,AY$4)</f>
        <v>245.171084542831</v>
      </c>
      <c r="AZ15" s="27" t="n">
        <f aca="false">AZ12*INDEX(Premissas!$C$29:$C$33,AZ$4)</f>
        <v>247.609680293588</v>
      </c>
      <c r="BA15" s="27" t="n">
        <f aca="false">BA12*INDEX(Premissas!$C$29:$C$33,BA$4)</f>
        <v>250.034749158311</v>
      </c>
      <c r="BB15" s="27" t="n">
        <f aca="false">BB12*INDEX(Premissas!$C$29:$C$33,BB$4)</f>
        <v>252.446419981726</v>
      </c>
      <c r="BC15" s="27" t="n">
        <f aca="false">BC12*INDEX(Premissas!$C$29:$C$33,BC$4)</f>
        <v>254.844819289838</v>
      </c>
      <c r="BD15" s="27" t="n">
        <f aca="false">BD12*INDEX(Premissas!$C$29:$C$33,BD$4)</f>
        <v>257.230071345596</v>
      </c>
      <c r="BE15" s="27" t="n">
        <f aca="false">BE12*INDEX(Premissas!$C$29:$C$33,BE$4)</f>
        <v>259.602298203133</v>
      </c>
      <c r="BF15" s="27" t="n">
        <f aca="false">BF12*INDEX(Premissas!$C$29:$C$33,BF$4)</f>
        <v>261.961619760578</v>
      </c>
      <c r="BG15" s="27" t="n">
        <f aca="false">BG12*INDEX(Premissas!$C$29:$C$33,BG$4)</f>
        <v>264.308153811518</v>
      </c>
      <c r="BH15" s="27" t="n">
        <f aca="false">BH12*INDEX(Premissas!$C$29:$C$33,BH$4)</f>
        <v>266.642016095109</v>
      </c>
      <c r="BI15" s="27" t="n">
        <f aca="false">BI12*INDEX(Premissas!$C$29:$C$33,BI$4)</f>
        <v>268.963320344896</v>
      </c>
      <c r="BJ15" s="27" t="n">
        <f aca="false">BJ12*INDEX(Premissas!$C$29:$C$33,BJ$4)</f>
        <v>271.272178336373</v>
      </c>
    </row>
    <row r="16" customFormat="false" ht="15" hidden="false" customHeight="false" outlineLevel="0" collapsed="false">
      <c r="A16" s="5" t="s">
        <v>221</v>
      </c>
      <c r="C16" s="27" t="n">
        <f aca="false">C12*INDEX(Premissas!$D$29:$D$33,C$4)</f>
        <v>2.51652777777778</v>
      </c>
      <c r="D16" s="27" t="n">
        <f aca="false">D12*INDEX(Premissas!$D$29:$D$33,D$4)</f>
        <v>2.54924263888889</v>
      </c>
      <c r="E16" s="27" t="n">
        <f aca="false">E12*INDEX(Premissas!$D$29:$D$33,E$4)</f>
        <v>2.58140134736111</v>
      </c>
      <c r="F16" s="27" t="n">
        <f aca="false">F12*INDEX(Premissas!$D$29:$D$33,F$4)</f>
        <v>2.61301558239986</v>
      </c>
      <c r="G16" s="27" t="n">
        <f aca="false">G12*INDEX(Premissas!$D$29:$D$33,G$4)</f>
        <v>2.64409671382611</v>
      </c>
      <c r="H16" s="27" t="n">
        <f aca="false">H12*INDEX(Premissas!$D$29:$D$33,H$4)</f>
        <v>2.67465581178398</v>
      </c>
      <c r="I16" s="27" t="n">
        <f aca="false">I12*INDEX(Premissas!$D$29:$D$33,I$4)</f>
        <v>2.70470365611511</v>
      </c>
      <c r="J16" s="27" t="n">
        <f aca="false">J12*INDEX(Premissas!$D$29:$D$33,J$4)</f>
        <v>2.73425074541177</v>
      </c>
      <c r="K16" s="27" t="n">
        <f aca="false">K12*INDEX(Premissas!$D$29:$D$33,K$4)</f>
        <v>2.76330730576015</v>
      </c>
      <c r="L16" s="27" t="n">
        <f aca="false">L12*INDEX(Premissas!$D$29:$D$33,L$4)</f>
        <v>2.79188329918489</v>
      </c>
      <c r="M16" s="27" t="n">
        <f aca="false">M12*INDEX(Premissas!$D$29:$D$33,M$4)</f>
        <v>2.81998843180543</v>
      </c>
      <c r="N16" s="27" t="n">
        <f aca="false">N12*INDEX(Premissas!$D$29:$D$33,N$4)</f>
        <v>2.84763216171459</v>
      </c>
      <c r="O16" s="27" t="n">
        <f aca="false">O12*INDEX(Premissas!$D$29:$D$33,O$4)</f>
        <v>10.3081514935957</v>
      </c>
      <c r="P16" s="27" t="n">
        <f aca="false">P12*INDEX(Premissas!$D$29:$D$33,P$4)</f>
        <v>10.4294507239879</v>
      </c>
      <c r="Q16" s="27" t="n">
        <f aca="false">Q12*INDEX(Premissas!$D$29:$D$33,Q$4)</f>
        <v>10.5491344485315</v>
      </c>
      <c r="R16" s="27" t="n">
        <f aca="false">R12*INDEX(Premissas!$D$29:$D$33,R$4)</f>
        <v>10.6672306716707</v>
      </c>
      <c r="S16" s="27" t="n">
        <f aca="false">S12*INDEX(Premissas!$D$29:$D$33,S$4)</f>
        <v>10.7837667398926</v>
      </c>
      <c r="T16" s="27" t="n">
        <f aca="false">T12*INDEX(Premissas!$D$29:$D$33,T$4)</f>
        <v>10.8987693607976</v>
      </c>
      <c r="U16" s="27" t="n">
        <f aca="false">U12*INDEX(Premissas!$D$29:$D$33,U$4)</f>
        <v>11.0122646215606</v>
      </c>
      <c r="V16" s="27" t="n">
        <f aca="false">V12*INDEX(Premissas!$D$29:$D$33,V$4)</f>
        <v>11.1242780068011</v>
      </c>
      <c r="W16" s="27" t="n">
        <f aca="false">W12*INDEX(Premissas!$D$29:$D$33,W$4)</f>
        <v>11.2348344158844</v>
      </c>
      <c r="X16" s="27" t="n">
        <f aca="false">X12*INDEX(Premissas!$D$29:$D$33,X$4)</f>
        <v>11.3439581796701</v>
      </c>
      <c r="Y16" s="27" t="n">
        <f aca="false">Y12*INDEX(Premissas!$D$29:$D$33,Y$4)</f>
        <v>11.4516730767289</v>
      </c>
      <c r="Z16" s="27" t="n">
        <f aca="false">Z12*INDEX(Premissas!$D$29:$D$33,Z$4)</f>
        <v>11.5580023490431</v>
      </c>
      <c r="AA16" s="27" t="n">
        <f aca="false">AA12*INDEX(Premissas!$D$29:$D$33,AA$4)</f>
        <v>27.7512177177186</v>
      </c>
      <c r="AB16" s="27" t="n">
        <f aca="false">AB12*INDEX(Premissas!$D$29:$D$33,AB$4)</f>
        <v>28.061037222498</v>
      </c>
      <c r="AC16" s="27" t="n">
        <f aca="false">AC12*INDEX(Premissas!$D$29:$D$33,AC$4)</f>
        <v>28.3677315238068</v>
      </c>
      <c r="AD16" s="27" t="n">
        <f aca="false">AD12*INDEX(Premissas!$D$29:$D$33,AD$4)</f>
        <v>28.6713448620184</v>
      </c>
      <c r="AE16" s="27" t="n">
        <f aca="false">AE12*INDEX(Premissas!$D$29:$D$33,AE$4)</f>
        <v>28.9719205423489</v>
      </c>
      <c r="AF16" s="27" t="n">
        <f aca="false">AF12*INDEX(Premissas!$D$29:$D$33,AF$4)</f>
        <v>29.2695009602175</v>
      </c>
      <c r="AG16" s="27" t="n">
        <f aca="false">AG12*INDEX(Premissas!$D$29:$D$33,AG$4)</f>
        <v>29.5641276258472</v>
      </c>
      <c r="AH16" s="27" t="n">
        <f aca="false">AH12*INDEX(Premissas!$D$29:$D$33,AH$4)</f>
        <v>29.855841188129</v>
      </c>
      <c r="AI16" s="27" t="n">
        <f aca="false">AI12*INDEX(Premissas!$D$29:$D$33,AI$4)</f>
        <v>30.1446814577737</v>
      </c>
      <c r="AJ16" s="27" t="n">
        <f aca="false">AJ12*INDEX(Premissas!$D$29:$D$33,AJ$4)</f>
        <v>30.4306874297719</v>
      </c>
      <c r="AK16" s="27" t="n">
        <f aca="false">AK12*INDEX(Premissas!$D$29:$D$33,AK$4)</f>
        <v>30.7138973051846</v>
      </c>
      <c r="AL16" s="27" t="n">
        <f aca="false">AL12*INDEX(Premissas!$D$29:$D$33,AL$4)</f>
        <v>30.9943485122846</v>
      </c>
      <c r="AM16" s="27" t="n">
        <f aca="false">AM12*INDEX(Premissas!$D$29:$D$33,AM$4)</f>
        <v>52.4420161353718</v>
      </c>
      <c r="AN16" s="27" t="n">
        <f aca="false">AN12*INDEX(Premissas!$D$29:$D$33,AN$4)</f>
        <v>52.9947230525336</v>
      </c>
      <c r="AO16" s="27" t="n">
        <f aca="false">AO12*INDEX(Premissas!$D$29:$D$33,AO$4)</f>
        <v>53.5431055253085</v>
      </c>
      <c r="AP16" s="27" t="n">
        <f aca="false">AP12*INDEX(Premissas!$D$29:$D$33,AP$4)</f>
        <v>54.0872151061795</v>
      </c>
      <c r="AQ16" s="27" t="n">
        <f aca="false">AQ12*INDEX(Premissas!$D$29:$D$33,AQ$4)</f>
        <v>54.627102341603</v>
      </c>
      <c r="AR16" s="27" t="n">
        <f aca="false">AR12*INDEX(Premissas!$D$29:$D$33,AR$4)</f>
        <v>55.1628167976529</v>
      </c>
      <c r="AS16" s="27" t="n">
        <f aca="false">AS12*INDEX(Premissas!$D$29:$D$33,AS$4)</f>
        <v>55.6944070849498</v>
      </c>
      <c r="AT16" s="27" t="n">
        <f aca="false">AT12*INDEX(Premissas!$D$29:$D$33,AT$4)</f>
        <v>56.2219208828956</v>
      </c>
      <c r="AU16" s="27" t="n">
        <f aca="false">AU12*INDEX(Premissas!$D$29:$D$33,AU$4)</f>
        <v>56.7454049632337</v>
      </c>
      <c r="AV16" s="27" t="n">
        <f aca="false">AV12*INDEX(Premissas!$D$29:$D$33,AV$4)</f>
        <v>57.2649052129527</v>
      </c>
      <c r="AW16" s="27" t="n">
        <f aca="false">AW12*INDEX(Premissas!$D$29:$D$33,AW$4)</f>
        <v>57.7804666565547</v>
      </c>
      <c r="AX16" s="27" t="n">
        <f aca="false">AX12*INDEX(Premissas!$D$29:$D$33,AX$4)</f>
        <v>58.2921334777044</v>
      </c>
      <c r="AY16" s="27" t="n">
        <f aca="false">AY12*INDEX(Premissas!$D$29:$D$33,AY$4)</f>
        <v>88.2615904354193</v>
      </c>
      <c r="AZ16" s="27" t="n">
        <f aca="false">AZ12*INDEX(Premissas!$D$29:$D$33,AZ$4)</f>
        <v>89.1394849056917</v>
      </c>
      <c r="BA16" s="27" t="n">
        <f aca="false">BA12*INDEX(Premissas!$D$29:$D$33,BA$4)</f>
        <v>90.0125096969918</v>
      </c>
      <c r="BB16" s="27" t="n">
        <f aca="false">BB12*INDEX(Premissas!$D$29:$D$33,BB$4)</f>
        <v>90.8807111934215</v>
      </c>
      <c r="BC16" s="27" t="n">
        <f aca="false">BC12*INDEX(Premissas!$D$29:$D$33,BC$4)</f>
        <v>91.7441349443416</v>
      </c>
      <c r="BD16" s="27" t="n">
        <f aca="false">BD12*INDEX(Premissas!$D$29:$D$33,BD$4)</f>
        <v>92.6028256844147</v>
      </c>
      <c r="BE16" s="27" t="n">
        <f aca="false">BE12*INDEX(Premissas!$D$29:$D$33,BE$4)</f>
        <v>93.4568273531277</v>
      </c>
      <c r="BF16" s="27" t="n">
        <f aca="false">BF12*INDEX(Premissas!$D$29:$D$33,BF$4)</f>
        <v>94.3061831138082</v>
      </c>
      <c r="BG16" s="27" t="n">
        <f aca="false">BG12*INDEX(Premissas!$D$29:$D$33,BG$4)</f>
        <v>95.1509353721466</v>
      </c>
      <c r="BH16" s="27" t="n">
        <f aca="false">BH12*INDEX(Premissas!$D$29:$D$33,BH$4)</f>
        <v>95.9911257942391</v>
      </c>
      <c r="BI16" s="27" t="n">
        <f aca="false">BI12*INDEX(Premissas!$D$29:$D$33,BI$4)</f>
        <v>96.8267953241626</v>
      </c>
      <c r="BJ16" s="27" t="n">
        <f aca="false">BJ12*INDEX(Premissas!$D$29:$D$33,BJ$4)</f>
        <v>97.6579842010944</v>
      </c>
    </row>
    <row r="17" customFormat="false" ht="15" hidden="false" customHeight="false" outlineLevel="0" collapsed="false">
      <c r="A17" s="5" t="s">
        <v>222</v>
      </c>
      <c r="C17" s="27" t="n">
        <f aca="false">C12*INDEX(Premissas!$E$29:$E$33,C$4)</f>
        <v>0</v>
      </c>
      <c r="D17" s="27" t="n">
        <f aca="false">D12*INDEX(Premissas!$E$29:$E$33,D$4)</f>
        <v>0</v>
      </c>
      <c r="E17" s="27" t="n">
        <f aca="false">E12*INDEX(Premissas!$E$29:$E$33,E$4)</f>
        <v>0</v>
      </c>
      <c r="F17" s="27" t="n">
        <f aca="false">F12*INDEX(Premissas!$E$29:$E$33,F$4)</f>
        <v>0</v>
      </c>
      <c r="G17" s="27" t="n">
        <f aca="false">G12*INDEX(Premissas!$E$29:$E$33,G$4)</f>
        <v>0</v>
      </c>
      <c r="H17" s="27" t="n">
        <f aca="false">H12*INDEX(Premissas!$E$29:$E$33,H$4)</f>
        <v>0</v>
      </c>
      <c r="I17" s="27" t="n">
        <f aca="false">I12*INDEX(Premissas!$E$29:$E$33,I$4)</f>
        <v>0</v>
      </c>
      <c r="J17" s="27" t="n">
        <f aca="false">J12*INDEX(Premissas!$E$29:$E$33,J$4)</f>
        <v>0</v>
      </c>
      <c r="K17" s="27" t="n">
        <f aca="false">K12*INDEX(Premissas!$E$29:$E$33,K$4)</f>
        <v>0</v>
      </c>
      <c r="L17" s="27" t="n">
        <f aca="false">L12*INDEX(Premissas!$E$29:$E$33,L$4)</f>
        <v>0</v>
      </c>
      <c r="M17" s="27" t="n">
        <f aca="false">M12*INDEX(Premissas!$E$29:$E$33,M$4)</f>
        <v>0</v>
      </c>
      <c r="N17" s="27" t="n">
        <f aca="false">N12*INDEX(Premissas!$E$29:$E$33,N$4)</f>
        <v>0</v>
      </c>
      <c r="O17" s="27" t="n">
        <f aca="false">O12*INDEX(Premissas!$E$29:$E$33,O$4)</f>
        <v>1.58586946055319</v>
      </c>
      <c r="P17" s="27" t="n">
        <f aca="false">P12*INDEX(Premissas!$E$29:$E$33,P$4)</f>
        <v>1.60453088061353</v>
      </c>
      <c r="Q17" s="27" t="n">
        <f aca="false">Q12*INDEX(Premissas!$E$29:$E$33,Q$4)</f>
        <v>1.62294376131254</v>
      </c>
      <c r="R17" s="27" t="n">
        <f aca="false">R12*INDEX(Premissas!$E$29:$E$33,R$4)</f>
        <v>1.64111241102627</v>
      </c>
      <c r="S17" s="27" t="n">
        <f aca="false">S12*INDEX(Premissas!$E$29:$E$33,S$4)</f>
        <v>1.65904103690655</v>
      </c>
      <c r="T17" s="27" t="n">
        <f aca="false">T12*INDEX(Premissas!$E$29:$E$33,T$4)</f>
        <v>1.67673374781502</v>
      </c>
      <c r="U17" s="27" t="n">
        <f aca="false">U12*INDEX(Premissas!$E$29:$E$33,U$4)</f>
        <v>1.69419455716316</v>
      </c>
      <c r="V17" s="27" t="n">
        <f aca="false">V12*INDEX(Premissas!$E$29:$E$33,V$4)</f>
        <v>1.71142738566171</v>
      </c>
      <c r="W17" s="27" t="n">
        <f aca="false">W12*INDEX(Premissas!$E$29:$E$33,W$4)</f>
        <v>1.72843606398221</v>
      </c>
      <c r="X17" s="27" t="n">
        <f aca="false">X12*INDEX(Premissas!$E$29:$E$33,X$4)</f>
        <v>1.74522433533386</v>
      </c>
      <c r="Y17" s="27" t="n">
        <f aca="false">Y12*INDEX(Premissas!$E$29:$E$33,Y$4)</f>
        <v>1.7617958579583</v>
      </c>
      <c r="Z17" s="27" t="n">
        <f aca="false">Z12*INDEX(Premissas!$E$29:$E$33,Z$4)</f>
        <v>1.77815420754509</v>
      </c>
      <c r="AA17" s="27" t="n">
        <f aca="false">AA12*INDEX(Premissas!$E$29:$E$33,AA$4)</f>
        <v>9.2504059059062</v>
      </c>
      <c r="AB17" s="27" t="n">
        <f aca="false">AB12*INDEX(Premissas!$E$29:$E$33,AB$4)</f>
        <v>9.353679074166</v>
      </c>
      <c r="AC17" s="27" t="n">
        <f aca="false">AC12*INDEX(Premissas!$E$29:$E$33,AC$4)</f>
        <v>9.4559105079356</v>
      </c>
      <c r="AD17" s="27" t="n">
        <f aca="false">AD12*INDEX(Premissas!$E$29:$E$33,AD$4)</f>
        <v>9.55711495400612</v>
      </c>
      <c r="AE17" s="27" t="n">
        <f aca="false">AE12*INDEX(Premissas!$E$29:$E$33,AE$4)</f>
        <v>9.65730684744962</v>
      </c>
      <c r="AF17" s="27" t="n">
        <f aca="false">AF12*INDEX(Premissas!$E$29:$E$33,AF$4)</f>
        <v>9.7565003200725</v>
      </c>
      <c r="AG17" s="27" t="n">
        <f aca="false">AG12*INDEX(Premissas!$E$29:$E$33,AG$4)</f>
        <v>9.85470920861572</v>
      </c>
      <c r="AH17" s="27" t="n">
        <f aca="false">AH12*INDEX(Premissas!$E$29:$E$33,AH$4)</f>
        <v>9.95194706270965</v>
      </c>
      <c r="AI17" s="27" t="n">
        <f aca="false">AI12*INDEX(Premissas!$E$29:$E$33,AI$4)</f>
        <v>10.0482271525912</v>
      </c>
      <c r="AJ17" s="27" t="n">
        <f aca="false">AJ12*INDEX(Premissas!$E$29:$E$33,AJ$4)</f>
        <v>10.1435624765906</v>
      </c>
      <c r="AK17" s="27" t="n">
        <f aca="false">AK12*INDEX(Premissas!$E$29:$E$33,AK$4)</f>
        <v>10.2379657683949</v>
      </c>
      <c r="AL17" s="27" t="n">
        <f aca="false">AL12*INDEX(Premissas!$E$29:$E$33,AL$4)</f>
        <v>10.3314495040949</v>
      </c>
      <c r="AM17" s="27" t="n">
        <f aca="false">AM12*INDEX(Premissas!$E$29:$E$33,AM$4)</f>
        <v>19.6657560507644</v>
      </c>
      <c r="AN17" s="27" t="n">
        <f aca="false">AN12*INDEX(Premissas!$E$29:$E$33,AN$4)</f>
        <v>19.8730211447001</v>
      </c>
      <c r="AO17" s="27" t="n">
        <f aca="false">AO12*INDEX(Premissas!$E$29:$E$33,AO$4)</f>
        <v>20.0786645719907</v>
      </c>
      <c r="AP17" s="27" t="n">
        <f aca="false">AP12*INDEX(Premissas!$E$29:$E$33,AP$4)</f>
        <v>20.2827056648173</v>
      </c>
      <c r="AQ17" s="27" t="n">
        <f aca="false">AQ12*INDEX(Premissas!$E$29:$E$33,AQ$4)</f>
        <v>20.4851633781011</v>
      </c>
      <c r="AR17" s="27" t="n">
        <f aca="false">AR12*INDEX(Premissas!$E$29:$E$33,AR$4)</f>
        <v>20.6860562991198</v>
      </c>
      <c r="AS17" s="27" t="n">
        <f aca="false">AS12*INDEX(Premissas!$E$29:$E$33,AS$4)</f>
        <v>20.8854026568562</v>
      </c>
      <c r="AT17" s="27" t="n">
        <f aca="false">AT12*INDEX(Premissas!$E$29:$E$33,AT$4)</f>
        <v>21.0832203310859</v>
      </c>
      <c r="AU17" s="27" t="n">
        <f aca="false">AU12*INDEX(Premissas!$E$29:$E$33,AU$4)</f>
        <v>21.2795268612126</v>
      </c>
      <c r="AV17" s="27" t="n">
        <f aca="false">AV12*INDEX(Premissas!$E$29:$E$33,AV$4)</f>
        <v>21.4743394548573</v>
      </c>
      <c r="AW17" s="27" t="n">
        <f aca="false">AW12*INDEX(Premissas!$E$29:$E$33,AW$4)</f>
        <v>21.667674996208</v>
      </c>
      <c r="AX17" s="27" t="n">
        <f aca="false">AX12*INDEX(Premissas!$E$29:$E$33,AX$4)</f>
        <v>21.8595500541392</v>
      </c>
      <c r="AY17" s="27" t="n">
        <f aca="false">AY12*INDEX(Premissas!$E$29:$E$33,AY$4)</f>
        <v>34.3239518359964</v>
      </c>
      <c r="AZ17" s="27" t="n">
        <f aca="false">AZ12*INDEX(Premissas!$E$29:$E$33,AZ$4)</f>
        <v>34.6653552411023</v>
      </c>
      <c r="BA17" s="27" t="n">
        <f aca="false">BA12*INDEX(Premissas!$E$29:$E$33,BA$4)</f>
        <v>35.0048648821635</v>
      </c>
      <c r="BB17" s="27" t="n">
        <f aca="false">BB12*INDEX(Premissas!$E$29:$E$33,BB$4)</f>
        <v>35.3424987974417</v>
      </c>
      <c r="BC17" s="27" t="n">
        <f aca="false">BC12*INDEX(Premissas!$E$29:$E$33,BC$4)</f>
        <v>35.6782747005773</v>
      </c>
      <c r="BD17" s="27" t="n">
        <f aca="false">BD12*INDEX(Premissas!$E$29:$E$33,BD$4)</f>
        <v>36.0122099883835</v>
      </c>
      <c r="BE17" s="27" t="n">
        <f aca="false">BE12*INDEX(Premissas!$E$29:$E$33,BE$4)</f>
        <v>36.3443217484386</v>
      </c>
      <c r="BF17" s="27" t="n">
        <f aca="false">BF12*INDEX(Premissas!$E$29:$E$33,BF$4)</f>
        <v>36.674626766481</v>
      </c>
      <c r="BG17" s="27" t="n">
        <f aca="false">BG12*INDEX(Premissas!$E$29:$E$33,BG$4)</f>
        <v>37.0031415336126</v>
      </c>
      <c r="BH17" s="27" t="n">
        <f aca="false">BH12*INDEX(Premissas!$E$29:$E$33,BH$4)</f>
        <v>37.3298822533152</v>
      </c>
      <c r="BI17" s="27" t="n">
        <f aca="false">BI12*INDEX(Premissas!$E$29:$E$33,BI$4)</f>
        <v>37.6548648482854</v>
      </c>
      <c r="BJ17" s="27" t="n">
        <f aca="false">BJ12*INDEX(Premissas!$E$29:$E$33,BJ$4)</f>
        <v>37.9781049670923</v>
      </c>
    </row>
    <row r="18" customFormat="false" ht="15" hidden="false" customHeight="false" outlineLevel="0" collapsed="false">
      <c r="A18" s="5" t="s">
        <v>223</v>
      </c>
      <c r="C18" s="23" t="n">
        <f aca="false">0</f>
        <v>0</v>
      </c>
      <c r="D18" s="27" t="n">
        <f aca="false">C22*Premissas!$B$20*INDEX(Premissas!$B$48:$D$48,$B$2)*(1-Premissas!$B$25)^(D$4-1)</f>
        <v>0.402644444444444</v>
      </c>
      <c r="E18" s="27" t="n">
        <f aca="false">D22*Premissas!$B$20*INDEX(Premissas!$B$48:$D$48,$B$2)*(1-Premissas!$B$25)^(E$4-1)</f>
        <v>0.794417488888889</v>
      </c>
      <c r="F18" s="27" t="n">
        <f aca="false">E22*Premissas!$B$20*INDEX(Premissas!$B$48:$D$48,$B$2)*(1-Premissas!$B$25)^(F$4-1)</f>
        <v>1.17566500491111</v>
      </c>
      <c r="G18" s="27" t="n">
        <f aca="false">F22*Premissas!$B$20*INDEX(Premissas!$B$48:$D$48,$B$2)*(1-Premissas!$B$25)^(G$4-1)</f>
        <v>1.54672089789864</v>
      </c>
      <c r="H18" s="27" t="n">
        <f aca="false">G22*Premissas!$B$20*INDEX(Premissas!$B$48:$D$48,$B$2)*(1-Premissas!$B$25)^(H$4-1)</f>
        <v>1.90790753619488</v>
      </c>
      <c r="I18" s="27" t="n">
        <f aca="false">H22*Premissas!$B$20*INDEX(Premissas!$B$48:$D$48,$B$2)*(1-Premissas!$B$25)^(I$4-1)</f>
        <v>2.25953616463252</v>
      </c>
      <c r="J18" s="27" t="n">
        <f aca="false">I22*Premissas!$B$20*INDEX(Premissas!$B$48:$D$48,$B$2)*(1-Premissas!$B$25)^(J$4-1)</f>
        <v>2.60190730302564</v>
      </c>
      <c r="K18" s="27" t="n">
        <f aca="false">J22*Premissas!$B$20*INDEX(Premissas!$B$48:$D$48,$B$2)*(1-Premissas!$B$25)^(K$4-1)</f>
        <v>2.93531113017049</v>
      </c>
      <c r="L18" s="27" t="n">
        <f aca="false">K22*Premissas!$B$20*INDEX(Premissas!$B$48:$D$48,$B$2)*(1-Premissas!$B$25)^(L$4-1)</f>
        <v>3.2600278538853</v>
      </c>
      <c r="M18" s="27" t="n">
        <f aca="false">L22*Premissas!$B$20*INDEX(Premissas!$B$48:$D$48,$B$2)*(1-Premissas!$B$25)^(M$4-1)</f>
        <v>3.57632806759947</v>
      </c>
      <c r="N18" s="27" t="n">
        <f aca="false">M22*Premissas!$B$20*INDEX(Premissas!$B$48:$D$48,$B$2)*(1-Premissas!$B$25)^(N$4-1)</f>
        <v>3.88447309398436</v>
      </c>
      <c r="O18" s="27" t="n">
        <f aca="false">N22*Premissas!$B$20*INDEX(Premissas!$B$48:$D$48,$B$2)*(1-Premissas!$B$25)^(O$4-1)</f>
        <v>3.84993809081137</v>
      </c>
      <c r="P18" s="27" t="n">
        <f aca="false">O22*Premissas!$B$20*INDEX(Premissas!$B$48:$D$48,$B$2)*(1-Premissas!$B$25)^(P$4-1)</f>
        <v>4.72956030166577</v>
      </c>
      <c r="Q18" s="27" t="n">
        <f aca="false">P22*Premissas!$B$20*INDEX(Premissas!$B$48:$D$48,$B$2)*(1-Premissas!$B$25)^(Q$4-1)</f>
        <v>5.58883036967958</v>
      </c>
      <c r="R18" s="27" t="n">
        <f aca="false">Q22*Premissas!$B$20*INDEX(Premissas!$B$48:$D$48,$B$2)*(1-Premissas!$B$25)^(R$4-1)</f>
        <v>6.42833719436065</v>
      </c>
      <c r="S18" s="27" t="n">
        <f aca="false">R22*Premissas!$B$20*INDEX(Premissas!$B$48:$D$48,$B$2)*(1-Premissas!$B$25)^(S$4-1)</f>
        <v>7.24865077830909</v>
      </c>
      <c r="T18" s="27" t="n">
        <f aca="false">S22*Premissas!$B$20*INDEX(Premissas!$B$48:$D$48,$B$2)*(1-Premissas!$B$25)^(T$4-1)</f>
        <v>8.05032285743513</v>
      </c>
      <c r="U18" s="27" t="n">
        <f aca="false">T22*Premissas!$B$20*INDEX(Premissas!$B$48:$D$48,$B$2)*(1-Premissas!$B$25)^(U$4-1)</f>
        <v>8.83388750987439</v>
      </c>
      <c r="V18" s="27" t="n">
        <f aca="false">U22*Premissas!$B$20*INDEX(Premissas!$B$48:$D$48,$B$2)*(1-Premissas!$B$25)^(V$4-1)</f>
        <v>9.59986174432409</v>
      </c>
      <c r="W18" s="27" t="n">
        <f aca="false">V22*Premissas!$B$20*INDEX(Premissas!$B$48:$D$48,$B$2)*(1-Premissas!$B$25)^(W$4-1)</f>
        <v>10.3487460684991</v>
      </c>
      <c r="X18" s="27" t="n">
        <f aca="false">W22*Premissas!$B$20*INDEX(Premissas!$B$48:$D$48,$B$2)*(1-Premissas!$B$25)^(X$4-1)</f>
        <v>11.0810250383829</v>
      </c>
      <c r="Y18" s="27" t="n">
        <f aca="false">X22*Premissas!$B$20*INDEX(Premissas!$B$48:$D$48,$B$2)*(1-Premissas!$B$25)^(Y$4-1)</f>
        <v>11.7971677889254</v>
      </c>
      <c r="Z18" s="27" t="n">
        <f aca="false">Y22*Premissas!$B$20*INDEX(Premissas!$B$48:$D$48,$B$2)*(1-Premissas!$B$25)^(Z$4-1)</f>
        <v>12.4976285468181</v>
      </c>
      <c r="AA18" s="27" t="n">
        <f aca="false">Z22*Premissas!$B$20*INDEX(Premissas!$B$48:$D$48,$B$2)*(1-Premissas!$B$25)^(AA$4-1)</f>
        <v>12.1282193558779</v>
      </c>
      <c r="AB18" s="27" t="n">
        <f aca="false">AA22*Premissas!$B$20*INDEX(Premissas!$B$48:$D$48,$B$2)*(1-Premissas!$B$25)^(AB$4-1)</f>
        <v>13.5966968154674</v>
      </c>
      <c r="AC18" s="27" t="n">
        <f aca="false">AB22*Premissas!$B$20*INDEX(Premissas!$B$48:$D$48,$B$2)*(1-Premissas!$B$25)^(AC$4-1)</f>
        <v>15.0364360004928</v>
      </c>
      <c r="AD18" s="27" t="n">
        <f aca="false">AC22*Premissas!$B$20*INDEX(Premissas!$B$48:$D$48,$B$2)*(1-Premissas!$B$25)^(AD$4-1)</f>
        <v>16.4481982602001</v>
      </c>
      <c r="AE18" s="27" t="n">
        <f aca="false">AD22*Premissas!$B$20*INDEX(Premissas!$B$48:$D$48,$B$2)*(1-Premissas!$B$25)^(AE$4-1)</f>
        <v>17.8327221631997</v>
      </c>
      <c r="AF18" s="27" t="n">
        <f aca="false">AE22*Premissas!$B$20*INDEX(Premissas!$B$48:$D$48,$B$2)*(1-Premissas!$B$25)^(AF$4-1)</f>
        <v>19.190724205406</v>
      </c>
      <c r="AG18" s="27" t="n">
        <f aca="false">AF22*Premissas!$B$20*INDEX(Premissas!$B$48:$D$48,$B$2)*(1-Premissas!$B$25)^(AG$4-1)</f>
        <v>20.522899495726</v>
      </c>
      <c r="AH18" s="27" t="n">
        <f aca="false">AG22*Premissas!$B$20*INDEX(Premissas!$B$48:$D$48,$B$2)*(1-Premissas!$B$25)^(AH$4-1)</f>
        <v>21.8299224202001</v>
      </c>
      <c r="AI18" s="27" t="n">
        <f aca="false">AH22*Premissas!$B$20*INDEX(Premissas!$B$48:$D$48,$B$2)*(1-Premissas!$B$25)^(AI$4-1)</f>
        <v>23.1124472852724</v>
      </c>
      <c r="AJ18" s="27" t="n">
        <f aca="false">AI22*Premissas!$B$20*INDEX(Premissas!$B$48:$D$48,$B$2)*(1-Premissas!$B$25)^(AJ$4-1)</f>
        <v>24.3711089408509</v>
      </c>
      <c r="AK18" s="27" t="n">
        <f aca="false">AJ22*Premissas!$B$20*INDEX(Premissas!$B$48:$D$48,$B$2)*(1-Premissas!$B$25)^(AK$4-1)</f>
        <v>25.6065233837942</v>
      </c>
      <c r="AL18" s="27" t="n">
        <f aca="false">AK22*Premissas!$B$20*INDEX(Premissas!$B$48:$D$48,$B$2)*(1-Premissas!$B$25)^(AL$4-1)</f>
        <v>26.8192883424411</v>
      </c>
      <c r="AM18" s="27" t="n">
        <f aca="false">AL22*Premissas!$B$20*INDEX(Premissas!$B$48:$D$48,$B$2)*(1-Premissas!$B$25)^(AM$4-1)</f>
        <v>25.7691851353606</v>
      </c>
      <c r="AN18" s="27" t="n">
        <f aca="false">AM22*Premissas!$B$20*INDEX(Premissas!$B$48:$D$48,$B$2)*(1-Premissas!$B$25)^(AN$4-1)</f>
        <v>27.8250567322027</v>
      </c>
      <c r="AO18" s="27" t="n">
        <f aca="false">AN22*Premissas!$B$20*INDEX(Premissas!$B$48:$D$48,$B$2)*(1-Premissas!$B$25)^(AO$4-1)</f>
        <v>29.8470200644385</v>
      </c>
      <c r="AP18" s="27" t="n">
        <f aca="false">AO22*Premissas!$B$20*INDEX(Premissas!$B$48:$D$48,$B$2)*(1-Premissas!$B$25)^(AP$4-1)</f>
        <v>31.8358955729114</v>
      </c>
      <c r="AQ18" s="27" t="n">
        <f aca="false">AP22*Premissas!$B$20*INDEX(Premissas!$B$48:$D$48,$B$2)*(1-Premissas!$B$25)^(AQ$4-1)</f>
        <v>33.7924809537982</v>
      </c>
      <c r="AR18" s="27" t="n">
        <f aca="false">AQ22*Premissas!$B$20*INDEX(Premissas!$B$48:$D$48,$B$2)*(1-Premissas!$B$25)^(AR$4-1)</f>
        <v>35.7175518122127</v>
      </c>
      <c r="AS18" s="27" t="n">
        <f aca="false">AR22*Premissas!$B$20*INDEX(Premissas!$B$48:$D$48,$B$2)*(1-Premissas!$B$25)^(AS$4-1)</f>
        <v>37.6118622968479</v>
      </c>
      <c r="AT18" s="27" t="n">
        <f aca="false">AS22*Premissas!$B$20*INDEX(Premissas!$B$48:$D$48,$B$2)*(1-Premissas!$B$25)^(AT$4-1)</f>
        <v>39.4761457162111</v>
      </c>
      <c r="AU18" s="27" t="n">
        <f aca="false">AT22*Premissas!$B$20*INDEX(Premissas!$B$48:$D$48,$B$2)*(1-Premissas!$B$25)^(AU$4-1)</f>
        <v>41.3111151369848</v>
      </c>
      <c r="AV18" s="27" t="n">
        <f aca="false">AU22*Premissas!$B$20*INDEX(Premissas!$B$48:$D$48,$B$2)*(1-Premissas!$B$25)^(AV$4-1)</f>
        <v>43.117463965034</v>
      </c>
      <c r="AW18" s="27" t="n">
        <f aca="false">AV22*Premissas!$B$20*INDEX(Premissas!$B$48:$D$48,$B$2)*(1-Premissas!$B$25)^(AW$4-1)</f>
        <v>44.8958665095663</v>
      </c>
      <c r="AX18" s="27" t="n">
        <f aca="false">AW22*Premissas!$B$20*INDEX(Premissas!$B$48:$D$48,$B$2)*(1-Premissas!$B$25)^(AX$4-1)</f>
        <v>46.6469785309324</v>
      </c>
      <c r="AY18" s="27" t="n">
        <f aca="false">AX22*Premissas!$B$20*INDEX(Premissas!$B$48:$D$48,$B$2)*(1-Premissas!$B$25)^(AY$4-1)</f>
        <v>44.5017227507411</v>
      </c>
      <c r="AZ18" s="27" t="n">
        <f aca="false">AY22*Premissas!$B$20*INDEX(Premissas!$B$48:$D$48,$B$2)*(1-Premissas!$B$25)^(AZ$4-1)</f>
        <v>46.739270694522</v>
      </c>
      <c r="BA18" s="27" t="n">
        <f aca="false">AZ22*Premissas!$B$20*INDEX(Premissas!$B$48:$D$48,$B$2)*(1-Premissas!$B$25)^(BA$4-1)</f>
        <v>48.9476399510819</v>
      </c>
      <c r="BB18" s="27" t="n">
        <f aca="false">BA22*Premissas!$B$20*INDEX(Premissas!$B$48:$D$48,$B$2)*(1-Premissas!$B$25)^(BB$4-1)</f>
        <v>51.1274728453467</v>
      </c>
      <c r="BC18" s="27" t="n">
        <f aca="false">BB22*Premissas!$B$20*INDEX(Premissas!$B$48:$D$48,$B$2)*(1-Premissas!$B$25)^(BC$4-1)</f>
        <v>53.279395142029</v>
      </c>
      <c r="BD18" s="27" t="n">
        <f aca="false">BC22*Premissas!$B$20*INDEX(Premissas!$B$48:$D$48,$B$2)*(1-Premissas!$B$25)^(BD$4-1)</f>
        <v>55.404016486951</v>
      </c>
      <c r="BE18" s="27" t="n">
        <f aca="false">BD22*Premissas!$B$20*INDEX(Premissas!$B$48:$D$48,$B$2)*(1-Premissas!$B$25)^(BE$4-1)</f>
        <v>57.5019308365176</v>
      </c>
      <c r="BF18" s="27" t="n">
        <f aca="false">BE22*Premissas!$B$20*INDEX(Premissas!$B$48:$D$48,$B$2)*(1-Premissas!$B$25)^(BF$4-1)</f>
        <v>59.573716875661</v>
      </c>
      <c r="BG18" s="27" t="n">
        <f aca="false">BF22*Premissas!$B$20*INDEX(Premissas!$B$48:$D$48,$B$2)*(1-Premissas!$B$25)^(BG$4-1)</f>
        <v>61.6199384245642</v>
      </c>
      <c r="BH18" s="27" t="n">
        <f aca="false">BG22*Premissas!$B$20*INDEX(Premissas!$B$48:$D$48,$B$2)*(1-Premissas!$B$25)^(BH$4-1)</f>
        <v>63.6411448344679</v>
      </c>
      <c r="BI18" s="27" t="n">
        <f aca="false">BH22*Premissas!$B$20*INDEX(Premissas!$B$48:$D$48,$B$2)*(1-Premissas!$B$25)^(BI$4-1)</f>
        <v>65.6378713728526</v>
      </c>
      <c r="BJ18" s="27" t="n">
        <f aca="false">BI22*Premissas!$B$20*INDEX(Premissas!$B$48:$D$48,$B$2)*(1-Premissas!$B$25)^(BJ$4-1)</f>
        <v>67.6106395982829</v>
      </c>
    </row>
    <row r="19" customFormat="false" ht="15" hidden="false" customHeight="false" outlineLevel="0" collapsed="false">
      <c r="A19" s="5" t="s">
        <v>224</v>
      </c>
      <c r="C19" s="23" t="n">
        <f aca="false">0</f>
        <v>0</v>
      </c>
      <c r="D19" s="27" t="n">
        <f aca="false">C23*Premissas!$C$20*INDEX(Premissas!$B$48:$D$48,$B$2)*(1-Premissas!$B$25)^(D$4-1)</f>
        <v>0.301983333333333</v>
      </c>
      <c r="E19" s="27" t="n">
        <f aca="false">D23*Premissas!$C$20*INDEX(Premissas!$B$48:$D$48,$B$2)*(1-Premissas!$B$25)^(E$4-1)</f>
        <v>0.60064485</v>
      </c>
      <c r="F19" s="27" t="n">
        <f aca="false">E23*Premissas!$C$20*INDEX(Premissas!$B$48:$D$48,$B$2)*(1-Premissas!$B$25)^(F$4-1)</f>
        <v>0.895997535283333</v>
      </c>
      <c r="G19" s="27" t="n">
        <f aca="false">F23*Premissas!$C$20*INDEX(Premissas!$B$48:$D$48,$B$2)*(1-Premissas!$B$25)^(G$4-1)</f>
        <v>1.18805546432452</v>
      </c>
      <c r="H19" s="27" t="n">
        <f aca="false">G23*Premissas!$C$20*INDEX(Premissas!$B$48:$D$48,$B$2)*(1-Premissas!$B$25)^(H$4-1)</f>
        <v>1.47683373883986</v>
      </c>
      <c r="I19" s="27" t="n">
        <f aca="false">H23*Premissas!$C$20*INDEX(Premissas!$B$48:$D$48,$B$2)*(1-Premissas!$B$25)^(I$4-1)</f>
        <v>1.76234842652178</v>
      </c>
      <c r="J19" s="27" t="n">
        <f aca="false">I23*Premissas!$C$20*INDEX(Premissas!$B$48:$D$48,$B$2)*(1-Premissas!$B$25)^(J$4-1)</f>
        <v>2.04461650301907</v>
      </c>
      <c r="K19" s="27" t="n">
        <f aca="false">J23*Premissas!$C$20*INDEX(Premissas!$B$48:$D$48,$B$2)*(1-Premissas!$B$25)^(K$4-1)</f>
        <v>2.32365579639603</v>
      </c>
      <c r="L19" s="27" t="n">
        <f aca="false">K23*Premissas!$C$20*INDEX(Premissas!$B$48:$D$48,$B$2)*(1-Premissas!$B$25)^(L$4-1)</f>
        <v>2.59948493397374</v>
      </c>
      <c r="M19" s="27" t="n">
        <f aca="false">L23*Premissas!$C$20*INDEX(Premissas!$B$48:$D$48,$B$2)*(1-Premissas!$B$25)^(M$4-1)</f>
        <v>2.87212329146056</v>
      </c>
      <c r="N19" s="27" t="n">
        <f aca="false">M23*Premissas!$C$20*INDEX(Premissas!$B$48:$D$48,$B$2)*(1-Premissas!$B$25)^(N$4-1)</f>
        <v>3.14159094428216</v>
      </c>
      <c r="O19" s="27" t="n">
        <f aca="false">N23*Premissas!$C$20*INDEX(Premissas!$B$48:$D$48,$B$2)*(1-Premissas!$B$25)^(O$4-1)</f>
        <v>3.13527593134313</v>
      </c>
      <c r="P19" s="27" t="n">
        <f aca="false">O23*Premissas!$C$20*INDEX(Premissas!$B$48:$D$48,$B$2)*(1-Premissas!$B$25)^(P$4-1)</f>
        <v>3.94144898100443</v>
      </c>
      <c r="Q19" s="27" t="n">
        <f aca="false">P23*Premissas!$C$20*INDEX(Premissas!$B$48:$D$48,$B$2)*(1-Premissas!$B$25)^(Q$4-1)</f>
        <v>4.74012283360252</v>
      </c>
      <c r="R19" s="27" t="n">
        <f aca="false">Q23*Premissas!$C$20*INDEX(Premissas!$B$48:$D$48,$B$2)*(1-Premissas!$B$25)^(R$4-1)</f>
        <v>5.5313258776811</v>
      </c>
      <c r="S19" s="27" t="n">
        <f aca="false">R23*Premissas!$C$20*INDEX(Premissas!$B$48:$D$48,$B$2)*(1-Premissas!$B$25)^(S$4-1)</f>
        <v>6.3150882531884</v>
      </c>
      <c r="T19" s="27" t="n">
        <f aca="false">S23*Premissas!$C$20*INDEX(Premissas!$B$48:$D$48,$B$2)*(1-Premissas!$B$25)^(T$4-1)</f>
        <v>7.09144175693041</v>
      </c>
      <c r="U19" s="27" t="n">
        <f aca="false">T23*Premissas!$C$20*INDEX(Premissas!$B$48:$D$48,$B$2)*(1-Premissas!$B$25)^(U$4-1)</f>
        <v>7.86041975173128</v>
      </c>
      <c r="V19" s="27" t="n">
        <f aca="false">U23*Premissas!$C$20*INDEX(Premissas!$B$48:$D$48,$B$2)*(1-Premissas!$B$25)^(V$4-1)</f>
        <v>8.62205707916712</v>
      </c>
      <c r="W19" s="27" t="n">
        <f aca="false">V23*Premissas!$C$20*INDEX(Premissas!$B$48:$D$48,$B$2)*(1-Premissas!$B$25)^(W$4-1)</f>
        <v>9.37638997574437</v>
      </c>
      <c r="X19" s="27" t="n">
        <f aca="false">W23*Premissas!$C$20*INDEX(Premissas!$B$48:$D$48,$B$2)*(1-Premissas!$B$25)^(X$4-1)</f>
        <v>10.1234559923981</v>
      </c>
      <c r="Y19" s="27" t="n">
        <f aca="false">X23*Premissas!$C$20*INDEX(Premissas!$B$48:$D$48,$B$2)*(1-Premissas!$B$25)^(Y$4-1)</f>
        <v>10.8632939171903</v>
      </c>
      <c r="Z19" s="27" t="n">
        <f aca="false">Y23*Premissas!$C$20*INDEX(Premissas!$B$48:$D$48,$B$2)*(1-Premissas!$B$25)^(Z$4-1)</f>
        <v>11.5959437010917</v>
      </c>
      <c r="AA19" s="27" t="n">
        <f aca="false">Z23*Premissas!$C$20*INDEX(Premissas!$B$48:$D$48,$B$2)*(1-Premissas!$B$25)^(AA$4-1)</f>
        <v>11.3357306757975</v>
      </c>
      <c r="AB19" s="27" t="n">
        <f aca="false">AA23*Premissas!$C$20*INDEX(Premissas!$B$48:$D$48,$B$2)*(1-Premissas!$B$25)^(AB$4-1)</f>
        <v>12.9845516312438</v>
      </c>
      <c r="AC19" s="27" t="n">
        <f aca="false">AB23*Premissas!$C$20*INDEX(Premissas!$B$48:$D$48,$B$2)*(1-Premissas!$B$25)^(AC$4-1)</f>
        <v>14.6208575956372</v>
      </c>
      <c r="AD19" s="27" t="n">
        <f aca="false">AC23*Premissas!$C$20*INDEX(Premissas!$B$48:$D$48,$B$2)*(1-Premissas!$B$25)^(AD$4-1)</f>
        <v>16.2446911797225</v>
      </c>
      <c r="AE19" s="27" t="n">
        <f aca="false">AD23*Premissas!$C$20*INDEX(Premissas!$B$48:$D$48,$B$2)*(1-Premissas!$B$25)^(AE$4-1)</f>
        <v>17.856097124271</v>
      </c>
      <c r="AF19" s="27" t="n">
        <f aca="false">AE23*Premissas!$C$20*INDEX(Premissas!$B$48:$D$48,$B$2)*(1-Premissas!$B$25)^(AF$4-1)</f>
        <v>19.455122193491</v>
      </c>
      <c r="AG19" s="27" t="n">
        <f aca="false">AF23*Premissas!$C$20*INDEX(Premissas!$B$48:$D$48,$B$2)*(1-Premissas!$B$25)^(AG$4-1)</f>
        <v>21.0418150723195</v>
      </c>
      <c r="AH19" s="27" t="n">
        <f aca="false">AG23*Premissas!$C$20*INDEX(Premissas!$B$48:$D$48,$B$2)*(1-Premissas!$B$25)^(AH$4-1)</f>
        <v>22.6162262674678</v>
      </c>
      <c r="AI19" s="27" t="n">
        <f aca="false">AH23*Premissas!$C$20*INDEX(Premissas!$B$48:$D$48,$B$2)*(1-Premissas!$B$25)^(AI$4-1)</f>
        <v>24.1784080120916</v>
      </c>
      <c r="AJ19" s="27" t="n">
        <f aca="false">AI23*Premissas!$C$20*INDEX(Premissas!$B$48:$D$48,$B$2)*(1-Premissas!$B$25)^(AJ$4-1)</f>
        <v>25.7284141739659</v>
      </c>
      <c r="AK19" s="27" t="n">
        <f aca="false">AJ23*Premissas!$C$20*INDEX(Premissas!$B$48:$D$48,$B$2)*(1-Premissas!$B$25)^(AK$4-1)</f>
        <v>27.2663001670464</v>
      </c>
      <c r="AL19" s="27" t="n">
        <f aca="false">AK23*Premissas!$C$20*INDEX(Premissas!$B$48:$D$48,$B$2)*(1-Premissas!$B$25)^(AL$4-1)</f>
        <v>28.7921228663017</v>
      </c>
      <c r="AM19" s="27" t="n">
        <f aca="false">AL23*Premissas!$C$20*INDEX(Premissas!$B$48:$D$48,$B$2)*(1-Premissas!$B$25)^(AM$4-1)</f>
        <v>27.8814652836519</v>
      </c>
      <c r="AN19" s="27" t="n">
        <f aca="false">AM23*Premissas!$C$20*INDEX(Premissas!$B$48:$D$48,$B$2)*(1-Premissas!$B$25)^(AN$4-1)</f>
        <v>30.4230998346523</v>
      </c>
      <c r="AO19" s="27" t="n">
        <f aca="false">AN23*Premissas!$C$20*INDEX(Premissas!$B$48:$D$48,$B$2)*(1-Premissas!$B$25)^(AO$4-1)</f>
        <v>32.9495139861401</v>
      </c>
      <c r="AP19" s="27" t="n">
        <f aca="false">AO23*Premissas!$C$20*INDEX(Premissas!$B$48:$D$48,$B$2)*(1-Premissas!$B$25)^(AP$4-1)</f>
        <v>35.4607396302628</v>
      </c>
      <c r="AQ19" s="27" t="n">
        <f aca="false">AP23*Premissas!$C$20*INDEX(Premissas!$B$48:$D$48,$B$2)*(1-Premissas!$B$25)^(AQ$4-1)</f>
        <v>37.9568110738988</v>
      </c>
      <c r="AR19" s="27" t="n">
        <f aca="false">AQ23*Premissas!$C$20*INDEX(Premissas!$B$48:$D$48,$B$2)*(1-Premissas!$B$25)^(AR$4-1)</f>
        <v>40.4377649347759</v>
      </c>
      <c r="AS19" s="27" t="n">
        <f aca="false">AR23*Premissas!$C$20*INDEX(Premissas!$B$48:$D$48,$B$2)*(1-Premissas!$B$25)^(AS$4-1)</f>
        <v>42.903640041029</v>
      </c>
      <c r="AT19" s="27" t="n">
        <f aca="false">AS23*Premissas!$C$20*INDEX(Premissas!$B$48:$D$48,$B$2)*(1-Premissas!$B$25)^(AT$4-1)</f>
        <v>45.3544773340909</v>
      </c>
      <c r="AU19" s="27" t="n">
        <f aca="false">AT23*Premissas!$C$20*INDEX(Premissas!$B$48:$D$48,$B$2)*(1-Premissas!$B$25)^(AU$4-1)</f>
        <v>47.7903197748135</v>
      </c>
      <c r="AV19" s="27" t="n">
        <f aca="false">AU23*Premissas!$C$20*INDEX(Premissas!$B$48:$D$48,$B$2)*(1-Premissas!$B$25)^(AV$4-1)</f>
        <v>50.2112122527189</v>
      </c>
      <c r="AW19" s="27" t="n">
        <f aca="false">AV23*Premissas!$C$20*INDEX(Premissas!$B$48:$D$48,$B$2)*(1-Premissas!$B$25)^(AW$4-1)</f>
        <v>52.6172014982842</v>
      </c>
      <c r="AX19" s="27" t="n">
        <f aca="false">AW23*Premissas!$C$20*INDEX(Premissas!$B$48:$D$48,$B$2)*(1-Premissas!$B$25)^(AX$4-1)</f>
        <v>55.0083359981665</v>
      </c>
      <c r="AY19" s="27" t="n">
        <f aca="false">AX23*Premissas!$C$20*INDEX(Premissas!$B$48:$D$48,$B$2)*(1-Premissas!$B$25)^(AY$4-1)</f>
        <v>52.7938926402142</v>
      </c>
      <c r="AZ19" s="27" t="n">
        <f aca="false">AY23*Premissas!$C$20*INDEX(Premissas!$B$48:$D$48,$B$2)*(1-Premissas!$B$25)^(AZ$4-1)</f>
        <v>56.1015166228607</v>
      </c>
      <c r="BA19" s="27" t="n">
        <f aca="false">AZ23*Premissas!$C$20*INDEX(Premissas!$B$48:$D$48,$B$2)*(1-Premissas!$B$25)^(BA$4-1)</f>
        <v>59.3941990285304</v>
      </c>
      <c r="BB19" s="27" t="n">
        <f aca="false">BA23*Premissas!$C$20*INDEX(Premissas!$B$48:$D$48,$B$2)*(1-Premissas!$B$25)^(BB$4-1)</f>
        <v>62.6719641806144</v>
      </c>
      <c r="BC19" s="27" t="n">
        <f aca="false">BB23*Premissas!$C$20*INDEX(Premissas!$B$48:$D$48,$B$2)*(1-Premissas!$B$25)^(BC$4-1)</f>
        <v>65.9348381995844</v>
      </c>
      <c r="BD19" s="27" t="n">
        <f aca="false">BC23*Premissas!$C$20*INDEX(Premissas!$B$48:$D$48,$B$2)*(1-Premissas!$B$25)^(BD$4-1)</f>
        <v>69.1828489322273</v>
      </c>
      <c r="BE19" s="27" t="n">
        <f aca="false">BD23*Premissas!$C$20*INDEX(Premissas!$B$48:$D$48,$B$2)*(1-Premissas!$B$25)^(BE$4-1)</f>
        <v>72.4160258830551</v>
      </c>
      <c r="BF19" s="27" t="n">
        <f aca="false">BE23*Premissas!$C$20*INDEX(Premissas!$B$48:$D$48,$B$2)*(1-Premissas!$B$25)^(BF$4-1)</f>
        <v>75.6344001478251</v>
      </c>
      <c r="BG19" s="27" t="n">
        <f aca="false">BF23*Premissas!$C$20*INDEX(Premissas!$B$48:$D$48,$B$2)*(1-Premissas!$B$25)^(BG$4-1)</f>
        <v>78.8380043491119</v>
      </c>
      <c r="BH19" s="27" t="n">
        <f aca="false">BG23*Premissas!$C$20*INDEX(Premissas!$B$48:$D$48,$B$2)*(1-Premissas!$B$25)^(BH$4-1)</f>
        <v>82.0268725738723</v>
      </c>
      <c r="BI19" s="27" t="n">
        <f aca="false">BH23*Premissas!$C$20*INDEX(Premissas!$B$48:$D$48,$B$2)*(1-Premissas!$B$25)^(BI$4-1)</f>
        <v>85.2010403129443</v>
      </c>
      <c r="BJ19" s="27" t="n">
        <f aca="false">BI23*Premissas!$C$20*INDEX(Premissas!$B$48:$D$48,$B$2)*(1-Premissas!$B$25)^(BJ$4-1)</f>
        <v>88.3605444024269</v>
      </c>
    </row>
    <row r="20" customFormat="false" ht="15" hidden="false" customHeight="false" outlineLevel="0" collapsed="false">
      <c r="A20" s="5" t="s">
        <v>225</v>
      </c>
      <c r="C20" s="23" t="n">
        <f aca="false">0</f>
        <v>0</v>
      </c>
      <c r="D20" s="27" t="n">
        <f aca="false">C24*Premissas!$D$20*INDEX(Premissas!$B$48:$D$48,$B$2)*(1-Premissas!$B$25)^(D$4-1)</f>
        <v>0.0503305555555556</v>
      </c>
      <c r="E20" s="27" t="n">
        <f aca="false">D24*Premissas!$D$20*INDEX(Premissas!$B$48:$D$48,$B$2)*(1-Premissas!$B$25)^(E$4-1)</f>
        <v>0.100308797222222</v>
      </c>
      <c r="F20" s="27" t="n">
        <f aca="false">E24*Premissas!$D$20*INDEX(Premissas!$B$48:$D$48,$B$2)*(1-Premissas!$B$25)^(F$4-1)</f>
        <v>0.149930648225</v>
      </c>
      <c r="G20" s="27" t="n">
        <f aca="false">F24*Premissas!$D$20*INDEX(Premissas!$B$48:$D$48,$B$2)*(1-Premissas!$B$25)^(G$4-1)</f>
        <v>0.199192346908497</v>
      </c>
      <c r="H20" s="27" t="n">
        <f aca="false">G24*Premissas!$D$20*INDEX(Premissas!$B$48:$D$48,$B$2)*(1-Premissas!$B$25)^(H$4-1)</f>
        <v>0.24809043424685</v>
      </c>
      <c r="I20" s="27" t="n">
        <f aca="false">H24*Premissas!$D$20*INDEX(Premissas!$B$48:$D$48,$B$2)*(1-Premissas!$B$25)^(I$4-1)</f>
        <v>0.296621741797592</v>
      </c>
      <c r="J20" s="27" t="n">
        <f aca="false">I24*Premissas!$D$20*INDEX(Premissas!$B$48:$D$48,$B$2)*(1-Premissas!$B$25)^(J$4-1)</f>
        <v>0.344783380083943</v>
      </c>
      <c r="K20" s="27" t="n">
        <f aca="false">J24*Premissas!$D$20*INDEX(Premissas!$B$48:$D$48,$B$2)*(1-Premissas!$B$25)^(K$4-1)</f>
        <v>0.392572727390499</v>
      </c>
      <c r="L20" s="27" t="n">
        <f aca="false">K24*Premissas!$D$20*INDEX(Premissas!$B$48:$D$48,$B$2)*(1-Premissas!$B$25)^(L$4-1)</f>
        <v>0.439987418957892</v>
      </c>
      <c r="M20" s="27" t="n">
        <f aca="false">L24*Premissas!$D$20*INDEX(Premissas!$B$48:$D$48,$B$2)*(1-Premissas!$B$25)^(M$4-1)</f>
        <v>0.487025336562432</v>
      </c>
      <c r="N20" s="27" t="n">
        <f aca="false">M24*Premissas!$D$20*INDEX(Premissas!$B$48:$D$48,$B$2)*(1-Premissas!$B$25)^(N$4-1)</f>
        <v>0.533684598467292</v>
      </c>
      <c r="O20" s="27" t="n">
        <f aca="false">N24*Premissas!$D$20*INDEX(Premissas!$B$48:$D$48,$B$2)*(1-Premissas!$B$25)^(O$4-1)</f>
        <v>0.533566465753659</v>
      </c>
      <c r="P20" s="27" t="n">
        <f aca="false">O24*Premissas!$D$20*INDEX(Premissas!$B$48:$D$48,$B$2)*(1-Premissas!$B$25)^(P$4-1)</f>
        <v>0.713418830265953</v>
      </c>
      <c r="Q20" s="27" t="n">
        <f aca="false">P24*Premissas!$D$20*INDEX(Premissas!$B$48:$D$48,$B$2)*(1-Premissas!$B$25)^(Q$4-1)</f>
        <v>0.892193817110438</v>
      </c>
      <c r="R20" s="27" t="n">
        <f aca="false">Q24*Premissas!$D$20*INDEX(Premissas!$B$48:$D$48,$B$2)*(1-Premissas!$B$25)^(R$4-1)</f>
        <v>1.06988152472859</v>
      </c>
      <c r="S20" s="27" t="n">
        <f aca="false">R24*Premissas!$D$20*INDEX(Premissas!$B$48:$D$48,$B$2)*(1-Premissas!$B$25)^(S$4-1)</f>
        <v>1.24647274903232</v>
      </c>
      <c r="T20" s="27" t="n">
        <f aca="false">S24*Premissas!$D$20*INDEX(Premissas!$B$48:$D$48,$B$2)*(1-Premissas!$B$25)^(T$4-1)</f>
        <v>1.42195895846415</v>
      </c>
      <c r="U20" s="27" t="n">
        <f aca="false">T24*Premissas!$D$20*INDEX(Premissas!$B$48:$D$48,$B$2)*(1-Premissas!$B$25)^(U$4-1)</f>
        <v>1.59633226986708</v>
      </c>
      <c r="V20" s="27" t="n">
        <f aca="false">U24*Premissas!$D$20*INDEX(Premissas!$B$48:$D$48,$B$2)*(1-Premissas!$B$25)^(V$4-1)</f>
        <v>1.76958542513825</v>
      </c>
      <c r="W20" s="27" t="n">
        <f aca="false">V24*Premissas!$D$20*INDEX(Premissas!$B$48:$D$48,$B$2)*(1-Premissas!$B$25)^(W$4-1)</f>
        <v>1.94171176864084</v>
      </c>
      <c r="X20" s="27" t="n">
        <f aca="false">W24*Premissas!$D$20*INDEX(Premissas!$B$48:$D$48,$B$2)*(1-Premissas!$B$25)^(X$4-1)</f>
        <v>2.11270522535012</v>
      </c>
      <c r="Y20" s="27" t="n">
        <f aca="false">X24*Premissas!$D$20*INDEX(Premissas!$B$48:$D$48,$B$2)*(1-Premissas!$B$25)^(Y$4-1)</f>
        <v>2.28256027970961</v>
      </c>
      <c r="Z20" s="27" t="n">
        <f aca="false">Y24*Premissas!$D$20*INDEX(Premissas!$B$48:$D$48,$B$2)*(1-Premissas!$B$25)^(Z$4-1)</f>
        <v>2.45127195517477</v>
      </c>
      <c r="AA20" s="27" t="n">
        <f aca="false">Z24*Premissas!$D$20*INDEX(Premissas!$B$48:$D$48,$B$2)*(1-Premissas!$B$25)^(AA$4-1)</f>
        <v>2.40932893086819</v>
      </c>
      <c r="AB20" s="27" t="n">
        <f aca="false">AA24*Premissas!$D$20*INDEX(Premissas!$B$48:$D$48,$B$2)*(1-Premissas!$B$25)^(AB$4-1)</f>
        <v>2.83831642425199</v>
      </c>
      <c r="AC20" s="27" t="n">
        <f aca="false">AB24*Premissas!$D$20*INDEX(Premissas!$B$48:$D$48,$B$2)*(1-Premissas!$B$25)^(AC$4-1)</f>
        <v>3.2652866419247</v>
      </c>
      <c r="AD20" s="27" t="n">
        <f aca="false">AC24*Premissas!$D$20*INDEX(Premissas!$B$48:$D$48,$B$2)*(1-Premissas!$B$25)^(AD$4-1)</f>
        <v>3.6902208288852</v>
      </c>
      <c r="AE20" s="27" t="n">
        <f aca="false">AD24*Premissas!$D$20*INDEX(Premissas!$B$48:$D$48,$B$2)*(1-Premissas!$B$25)^(AE$4-1)</f>
        <v>4.11310129651808</v>
      </c>
      <c r="AF20" s="27" t="n">
        <f aca="false">AE24*Premissas!$D$20*INDEX(Premissas!$B$48:$D$48,$B$2)*(1-Premissas!$B$25)^(AF$4-1)</f>
        <v>4.5339113887115</v>
      </c>
      <c r="AG20" s="27" t="n">
        <f aca="false">AF24*Premissas!$D$20*INDEX(Premissas!$B$48:$D$48,$B$2)*(1-Premissas!$B$25)^(AG$4-1)</f>
        <v>4.95263544897796</v>
      </c>
      <c r="AH20" s="27" t="n">
        <f aca="false">AG24*Premissas!$D$20*INDEX(Premissas!$B$48:$D$48,$B$2)*(1-Premissas!$B$25)^(AH$4-1)</f>
        <v>5.369258788548</v>
      </c>
      <c r="AI20" s="27" t="n">
        <f aca="false">AH24*Premissas!$D$20*INDEX(Premissas!$B$48:$D$48,$B$2)*(1-Premissas!$B$25)^(AI$4-1)</f>
        <v>5.7837676554081</v>
      </c>
      <c r="AJ20" s="27" t="n">
        <f aca="false">AI24*Premissas!$D$20*INDEX(Premissas!$B$48:$D$48,$B$2)*(1-Premissas!$B$25)^(AJ$4-1)</f>
        <v>6.19614920425455</v>
      </c>
      <c r="AK20" s="27" t="n">
        <f aca="false">AJ24*Premissas!$D$20*INDEX(Premissas!$B$48:$D$48,$B$2)*(1-Premissas!$B$25)^(AK$4-1)</f>
        <v>6.6063914673361</v>
      </c>
      <c r="AL20" s="27" t="n">
        <f aca="false">AK24*Premissas!$D$20*INDEX(Premissas!$B$48:$D$48,$B$2)*(1-Premissas!$B$25)^(AL$4-1)</f>
        <v>7.0144833261592</v>
      </c>
      <c r="AM20" s="27" t="n">
        <f aca="false">AL24*Premissas!$D$20*INDEX(Premissas!$B$48:$D$48,$B$2)*(1-Premissas!$B$25)^(AM$4-1)</f>
        <v>6.82678132530754</v>
      </c>
      <c r="AN20" s="27" t="n">
        <f aca="false">AM24*Premissas!$D$20*INDEX(Premissas!$B$48:$D$48,$B$2)*(1-Premissas!$B$25)^(AN$4-1)</f>
        <v>7.53718204458313</v>
      </c>
      <c r="AO20" s="27" t="n">
        <f aca="false">AN24*Premissas!$D$20*INDEX(Premissas!$B$48:$D$48,$B$2)*(1-Premissas!$B$25)^(AO$4-1)</f>
        <v>8.24512687843111</v>
      </c>
      <c r="AP20" s="27" t="n">
        <f aca="false">AO24*Premissas!$D$20*INDEX(Premissas!$B$48:$D$48,$B$2)*(1-Premissas!$B$25)^(AP$4-1)</f>
        <v>8.9505867263627</v>
      </c>
      <c r="AQ20" s="27" t="n">
        <f aca="false">AP24*Premissas!$D$20*INDEX(Premissas!$B$48:$D$48,$B$2)*(1-Premissas!$B$25)^(AQ$4-1)</f>
        <v>9.65353374395916</v>
      </c>
      <c r="AR20" s="27" t="n">
        <f aca="false">AQ24*Premissas!$D$20*INDEX(Premissas!$B$48:$D$48,$B$2)*(1-Premissas!$B$25)^(AR$4-1)</f>
        <v>10.3539413076424</v>
      </c>
      <c r="AS20" s="27" t="n">
        <f aca="false">AR24*Premissas!$D$20*INDEX(Premissas!$B$48:$D$48,$B$2)*(1-Premissas!$B$25)^(AS$4-1)</f>
        <v>11.0517839803937</v>
      </c>
      <c r="AT20" s="27" t="n">
        <f aca="false">AS24*Premissas!$D$20*INDEX(Premissas!$B$48:$D$48,$B$2)*(1-Premissas!$B$25)^(AT$4-1)</f>
        <v>11.7470374783945</v>
      </c>
      <c r="AU20" s="27" t="n">
        <f aca="false">AT24*Premissas!$D$20*INDEX(Premissas!$B$48:$D$48,$B$2)*(1-Premissas!$B$25)^(AU$4-1)</f>
        <v>12.4396786385642</v>
      </c>
      <c r="AV20" s="27" t="n">
        <f aca="false">AU24*Premissas!$D$20*INDEX(Premissas!$B$48:$D$48,$B$2)*(1-Premissas!$B$25)^(AV$4-1)</f>
        <v>13.1296853869703</v>
      </c>
      <c r="AW20" s="27" t="n">
        <f aca="false">AV24*Premissas!$D$20*INDEX(Premissas!$B$48:$D$48,$B$2)*(1-Premissas!$B$25)^(AW$4-1)</f>
        <v>13.8170367080874</v>
      </c>
      <c r="AX20" s="27" t="n">
        <f aca="false">AW24*Premissas!$D$20*INDEX(Premissas!$B$48:$D$48,$B$2)*(1-Premissas!$B$25)^(AX$4-1)</f>
        <v>14.5017126148816</v>
      </c>
      <c r="AY20" s="27" t="n">
        <f aca="false">AX24*Premissas!$D$20*INDEX(Premissas!$B$48:$D$48,$B$2)*(1-Premissas!$B$25)^(AY$4-1)</f>
        <v>13.9689985901224</v>
      </c>
      <c r="AZ20" s="27" t="n">
        <f aca="false">AY24*Premissas!$D$20*INDEX(Premissas!$B$48:$D$48,$B$2)*(1-Premissas!$B$25)^(AZ$4-1)</f>
        <v>15.0334523856848</v>
      </c>
      <c r="BA20" s="27" t="n">
        <f aca="false">AZ24*Premissas!$D$20*INDEX(Premissas!$B$48:$D$48,$B$2)*(1-Premissas!$B$25)^(BA$4-1)</f>
        <v>16.0952331855021</v>
      </c>
      <c r="BB20" s="27" t="n">
        <f aca="false">BA24*Premissas!$D$20*INDEX(Premissas!$B$48:$D$48,$B$2)*(1-Premissas!$B$25)^(BB$4-1)</f>
        <v>17.1543095158062</v>
      </c>
      <c r="BC20" s="27" t="n">
        <f aca="false">BB24*Premissas!$D$20*INDEX(Premissas!$B$48:$D$48,$B$2)*(1-Premissas!$B$25)^(BC$4-1)</f>
        <v>18.2106510183657</v>
      </c>
      <c r="BD20" s="27" t="n">
        <f aca="false">BC24*Premissas!$D$20*INDEX(Premissas!$B$48:$D$48,$B$2)*(1-Premissas!$B$25)^(BD$4-1)</f>
        <v>19.2642284225426</v>
      </c>
      <c r="BE20" s="27" t="n">
        <f aca="false">BD24*Premissas!$D$20*INDEX(Premissas!$B$48:$D$48,$B$2)*(1-Premissas!$B$25)^(BE$4-1)</f>
        <v>20.3150135180362</v>
      </c>
      <c r="BF20" s="27" t="n">
        <f aca="false">BE24*Premissas!$D$20*INDEX(Premissas!$B$48:$D$48,$B$2)*(1-Premissas!$B$25)^(BF$4-1)</f>
        <v>21.362979128298</v>
      </c>
      <c r="BG20" s="27" t="n">
        <f aca="false">BF24*Premissas!$D$20*INDEX(Premissas!$B$48:$D$48,$B$2)*(1-Premissas!$B$25)^(BG$4-1)</f>
        <v>22.4080990845993</v>
      </c>
      <c r="BH20" s="27" t="n">
        <f aca="false">BG24*Premissas!$D$20*INDEX(Premissas!$B$48:$D$48,$B$2)*(1-Premissas!$B$25)^(BH$4-1)</f>
        <v>23.4503482007359</v>
      </c>
      <c r="BI20" s="27" t="n">
        <f aca="false">BH24*Premissas!$D$20*INDEX(Premissas!$B$48:$D$48,$B$2)*(1-Premissas!$B$25)^(BI$4-1)</f>
        <v>24.4897022483541</v>
      </c>
      <c r="BJ20" s="27" t="n">
        <f aca="false">BI24*Premissas!$D$20*INDEX(Premissas!$B$48:$D$48,$B$2)*(1-Premissas!$B$25)^(BJ$4-1)</f>
        <v>25.5261379328816</v>
      </c>
    </row>
    <row r="21" customFormat="false" ht="15" hidden="false" customHeight="false" outlineLevel="0" collapsed="false">
      <c r="A21" s="5" t="s">
        <v>226</v>
      </c>
      <c r="C21" s="23" t="n">
        <f aca="false">0</f>
        <v>0</v>
      </c>
      <c r="D21" s="27" t="n">
        <f aca="false">C25*Premissas!$E$20*INDEX(Premissas!$B$48:$D$48,$B$2)*(1-Premissas!$B$25)^(D$4-1)</f>
        <v>0</v>
      </c>
      <c r="E21" s="27" t="n">
        <f aca="false">D25*Premissas!$E$20*INDEX(Premissas!$B$48:$D$48,$B$2)*(1-Premissas!$B$25)^(E$4-1)</f>
        <v>0</v>
      </c>
      <c r="F21" s="27" t="n">
        <f aca="false">E25*Premissas!$E$20*INDEX(Premissas!$B$48:$D$48,$B$2)*(1-Premissas!$B$25)^(F$4-1)</f>
        <v>0</v>
      </c>
      <c r="G21" s="27" t="n">
        <f aca="false">F25*Premissas!$E$20*INDEX(Premissas!$B$48:$D$48,$B$2)*(1-Premissas!$B$25)^(G$4-1)</f>
        <v>0</v>
      </c>
      <c r="H21" s="27" t="n">
        <f aca="false">G25*Premissas!$E$20*INDEX(Premissas!$B$48:$D$48,$B$2)*(1-Premissas!$B$25)^(H$4-1)</f>
        <v>0</v>
      </c>
      <c r="I21" s="27" t="n">
        <f aca="false">H25*Premissas!$E$20*INDEX(Premissas!$B$48:$D$48,$B$2)*(1-Premissas!$B$25)^(I$4-1)</f>
        <v>0</v>
      </c>
      <c r="J21" s="27" t="n">
        <f aca="false">I25*Premissas!$E$20*INDEX(Premissas!$B$48:$D$48,$B$2)*(1-Premissas!$B$25)^(J$4-1)</f>
        <v>0</v>
      </c>
      <c r="K21" s="27" t="n">
        <f aca="false">J25*Premissas!$E$20*INDEX(Premissas!$B$48:$D$48,$B$2)*(1-Premissas!$B$25)^(K$4-1)</f>
        <v>0</v>
      </c>
      <c r="L21" s="27" t="n">
        <f aca="false">K25*Premissas!$E$20*INDEX(Premissas!$B$48:$D$48,$B$2)*(1-Premissas!$B$25)^(L$4-1)</f>
        <v>0</v>
      </c>
      <c r="M21" s="27" t="n">
        <f aca="false">L25*Premissas!$E$20*INDEX(Premissas!$B$48:$D$48,$B$2)*(1-Premissas!$B$25)^(M$4-1)</f>
        <v>0</v>
      </c>
      <c r="N21" s="27" t="n">
        <f aca="false">M25*Premissas!$E$20*INDEX(Premissas!$B$48:$D$48,$B$2)*(1-Premissas!$B$25)^(N$4-1)</f>
        <v>0</v>
      </c>
      <c r="O21" s="27" t="n">
        <f aca="false">N25*Premissas!$E$20*INDEX(Premissas!$B$48:$D$48,$B$2)*(1-Premissas!$B$25)^(O$4-1)</f>
        <v>0</v>
      </c>
      <c r="P21" s="27" t="n">
        <f aca="false">O25*Premissas!$E$20*INDEX(Premissas!$B$48:$D$48,$B$2)*(1-Premissas!$B$25)^(P$4-1)</f>
        <v>0.023343998459343</v>
      </c>
      <c r="Q21" s="27" t="n">
        <f aca="false">P25*Premissas!$E$20*INDEX(Premissas!$B$48:$D$48,$B$2)*(1-Premissas!$B$25)^(Q$4-1)</f>
        <v>0.0466190693646525</v>
      </c>
      <c r="R21" s="27" t="n">
        <f aca="false">Q25*Premissas!$E$20*INDEX(Premissas!$B$48:$D$48,$B$2)*(1-Premissas!$B$25)^(R$4-1)</f>
        <v>0.0698225688301254</v>
      </c>
      <c r="S21" s="27" t="n">
        <f aca="false">R25*Premissas!$E$20*INDEX(Premissas!$B$48:$D$48,$B$2)*(1-Premissas!$B$25)^(S$4-1)</f>
        <v>0.0929519553072526</v>
      </c>
      <c r="T21" s="27" t="n">
        <f aca="false">S25*Premissas!$E$20*INDEX(Premissas!$B$48:$D$48,$B$2)*(1-Premissas!$B$25)^(T$4-1)</f>
        <v>0.116004786588394</v>
      </c>
      <c r="U21" s="27" t="n">
        <f aca="false">T25*Premissas!$E$20*INDEX(Premissas!$B$48:$D$48,$B$2)*(1-Premissas!$B$25)^(U$4-1)</f>
        <v>0.13897871689765</v>
      </c>
      <c r="V21" s="27" t="n">
        <f aca="false">U25*Premissas!$E$20*INDEX(Premissas!$B$48:$D$48,$B$2)*(1-Premissas!$B$25)^(V$4-1)</f>
        <v>0.161871494066359</v>
      </c>
      <c r="W21" s="27" t="n">
        <f aca="false">V25*Premissas!$E$20*INDEX(Premissas!$B$48:$D$48,$B$2)*(1-Premissas!$B$25)^(W$4-1)</f>
        <v>0.184680956790642</v>
      </c>
      <c r="X21" s="27" t="n">
        <f aca="false">W25*Premissas!$E$20*INDEX(Premissas!$B$48:$D$48,$B$2)*(1-Premissas!$B$25)^(X$4-1)</f>
        <v>0.207405031968502</v>
      </c>
      <c r="Y21" s="27" t="n">
        <f aca="false">X25*Premissas!$E$20*INDEX(Premissas!$B$48:$D$48,$B$2)*(1-Premissas!$B$25)^(Y$4-1)</f>
        <v>0.23004173211404</v>
      </c>
      <c r="Z21" s="27" t="n">
        <f aca="false">Y25*Premissas!$E$20*INDEX(Premissas!$B$48:$D$48,$B$2)*(1-Premissas!$B$25)^(Z$4-1)</f>
        <v>0.252589152846468</v>
      </c>
      <c r="AA21" s="27" t="n">
        <f aca="false">Z25*Premissas!$E$20*INDEX(Premissas!$B$48:$D$48,$B$2)*(1-Premissas!$B$25)^(AA$4-1)</f>
        <v>0.253041832815501</v>
      </c>
      <c r="AB21" s="27" t="n">
        <f aca="false">AA25*Premissas!$E$20*INDEX(Premissas!$B$48:$D$48,$B$2)*(1-Premissas!$B$25)^(AB$4-1)</f>
        <v>0.374887736038924</v>
      </c>
      <c r="AC21" s="27" t="n">
        <f aca="false">AB25*Premissas!$E$20*INDEX(Premissas!$B$48:$D$48,$B$2)*(1-Premissas!$B$25)^(AC$4-1)</f>
        <v>0.496482119856376</v>
      </c>
      <c r="AD21" s="27" t="n">
        <f aca="false">AC25*Premissas!$E$20*INDEX(Premissas!$B$48:$D$48,$B$2)*(1-Premissas!$B$25)^(AD$4-1)</f>
        <v>0.617814282859101</v>
      </c>
      <c r="AE21" s="27" t="n">
        <f aca="false">AD25*Premissas!$E$20*INDEX(Premissas!$B$48:$D$48,$B$2)*(1-Premissas!$B$25)^(AE$4-1)</f>
        <v>0.738873868268042</v>
      </c>
      <c r="AF21" s="27" t="n">
        <f aca="false">AE25*Premissas!$E$20*INDEX(Premissas!$B$48:$D$48,$B$2)*(1-Premissas!$B$25)^(AF$4-1)</f>
        <v>0.859650855045311</v>
      </c>
      <c r="AG21" s="27" t="n">
        <f aca="false">AF25*Premissas!$E$20*INDEX(Premissas!$B$48:$D$48,$B$2)*(1-Premissas!$B$25)^(AG$4-1)</f>
        <v>0.980135549240495</v>
      </c>
      <c r="AH21" s="27" t="n">
        <f aca="false">AG25*Premissas!$E$20*INDEX(Premissas!$B$48:$D$48,$B$2)*(1-Premissas!$B$25)^(AH$4-1)</f>
        <v>1.10031857556522</v>
      </c>
      <c r="AI21" s="27" t="n">
        <f aca="false">AH25*Premissas!$E$20*INDEX(Premissas!$B$48:$D$48,$B$2)*(1-Premissas!$B$25)^(AI$4-1)</f>
        <v>1.22019086918952</v>
      </c>
      <c r="AJ21" s="27" t="n">
        <f aca="false">AI25*Premissas!$E$20*INDEX(Premissas!$B$48:$D$48,$B$2)*(1-Premissas!$B$25)^(AJ$4-1)</f>
        <v>1.33974366775386</v>
      </c>
      <c r="AK21" s="27" t="n">
        <f aca="false">AJ25*Premissas!$E$20*INDEX(Premissas!$B$48:$D$48,$B$2)*(1-Premissas!$B$25)^(AK$4-1)</f>
        <v>1.45896850359065</v>
      </c>
      <c r="AL21" s="27" t="n">
        <f aca="false">AK25*Premissas!$E$20*INDEX(Premissas!$B$48:$D$48,$B$2)*(1-Premissas!$B$25)^(AL$4-1)</f>
        <v>1.57785719614954</v>
      </c>
      <c r="AM21" s="27" t="n">
        <f aca="false">AL25*Premissas!$E$20*INDEX(Premissas!$B$48:$D$48,$B$2)*(1-Premissas!$B$25)^(AM$4-1)</f>
        <v>1.560689697051</v>
      </c>
      <c r="AN21" s="27" t="n">
        <f aca="false">AM25*Premissas!$E$20*INDEX(Premissas!$B$48:$D$48,$B$2)*(1-Premissas!$B$25)^(AN$4-1)</f>
        <v>1.78626086359245</v>
      </c>
      <c r="AO21" s="27" t="n">
        <f aca="false">AN25*Premissas!$E$20*INDEX(Premissas!$B$48:$D$48,$B$2)*(1-Premissas!$B$25)^(AO$4-1)</f>
        <v>2.01160395462885</v>
      </c>
      <c r="AP21" s="27" t="n">
        <f aca="false">AO25*Premissas!$E$20*INDEX(Premissas!$B$48:$D$48,$B$2)*(1-Premissas!$B$25)^(AP$4-1)</f>
        <v>2.23670160739705</v>
      </c>
      <c r="AQ21" s="27" t="n">
        <f aca="false">AP25*Premissas!$E$20*INDEX(Premissas!$B$48:$D$48,$B$2)*(1-Premissas!$B$25)^(AQ$4-1)</f>
        <v>2.46153691631648</v>
      </c>
      <c r="AR21" s="27" t="n">
        <f aca="false">AQ25*Premissas!$E$20*INDEX(Premissas!$B$48:$D$48,$B$2)*(1-Premissas!$B$25)^(AR$4-1)</f>
        <v>2.68609342259287</v>
      </c>
      <c r="AS21" s="27" t="n">
        <f aca="false">AR25*Premissas!$E$20*INDEX(Premissas!$B$48:$D$48,$B$2)*(1-Premissas!$B$25)^(AS$4-1)</f>
        <v>2.91035510407122</v>
      </c>
      <c r="AT21" s="27" t="n">
        <f aca="false">AS25*Premissas!$E$20*INDEX(Premissas!$B$48:$D$48,$B$2)*(1-Premissas!$B$25)^(AT$4-1)</f>
        <v>3.13430636533175</v>
      </c>
      <c r="AU21" s="27" t="n">
        <f aca="false">AT25*Premissas!$E$20*INDEX(Premissas!$B$48:$D$48,$B$2)*(1-Premissas!$B$25)^(AU$4-1)</f>
        <v>3.35793202802239</v>
      </c>
      <c r="AV21" s="27" t="n">
        <f aca="false">AU25*Premissas!$E$20*INDEX(Premissas!$B$48:$D$48,$B$2)*(1-Premissas!$B$25)^(AV$4-1)</f>
        <v>3.58121732142187</v>
      </c>
      <c r="AW21" s="27" t="n">
        <f aca="false">AV25*Premissas!$E$20*INDEX(Premissas!$B$48:$D$48,$B$2)*(1-Premissas!$B$25)^(AW$4-1)</f>
        <v>3.80414787322732</v>
      </c>
      <c r="AX21" s="27" t="n">
        <f aca="false">AW25*Premissas!$E$20*INDEX(Premissas!$B$48:$D$48,$B$2)*(1-Premissas!$B$25)^(AX$4-1)</f>
        <v>4.02670970056075</v>
      </c>
      <c r="AY21" s="27" t="n">
        <f aca="false">AX25*Premissas!$E$20*INDEX(Premissas!$B$48:$D$48,$B$2)*(1-Premissas!$B$25)^(AY$4-1)</f>
        <v>3.90897806509361</v>
      </c>
      <c r="AZ21" s="27" t="n">
        <f aca="false">AY25*Premissas!$E$20*INDEX(Premissas!$B$48:$D$48,$B$2)*(1-Premissas!$B$25)^(AZ$4-1)</f>
        <v>4.25760323450256</v>
      </c>
      <c r="BA21" s="27" t="n">
        <f aca="false">AZ25*Premissas!$E$20*INDEX(Premissas!$B$48:$D$48,$B$2)*(1-Premissas!$B$25)^(BA$4-1)</f>
        <v>4.60614562597382</v>
      </c>
      <c r="BB21" s="27" t="n">
        <f aca="false">BA25*Premissas!$E$20*INDEX(Premissas!$B$48:$D$48,$B$2)*(1-Premissas!$B$25)^(BB$4-1)</f>
        <v>4.95458448146423</v>
      </c>
      <c r="BC21" s="27" t="n">
        <f aca="false">BB25*Premissas!$E$20*INDEX(Premissas!$B$48:$D$48,$B$2)*(1-Premissas!$B$25)^(BC$4-1)</f>
        <v>5.30289948762503</v>
      </c>
      <c r="BD21" s="27" t="n">
        <f aca="false">BC25*Premissas!$E$20*INDEX(Premissas!$B$48:$D$48,$B$2)*(1-Premissas!$B$25)^(BD$4-1)</f>
        <v>5.65107076698371</v>
      </c>
      <c r="BE21" s="27" t="n">
        <f aca="false">BD25*Premissas!$E$20*INDEX(Premissas!$B$48:$D$48,$B$2)*(1-Premissas!$B$25)^(BE$4-1)</f>
        <v>5.99907886931636</v>
      </c>
      <c r="BF21" s="27" t="n">
        <f aca="false">BE25*Premissas!$E$20*INDEX(Premissas!$B$48:$D$48,$B$2)*(1-Premissas!$B$25)^(BF$4-1)</f>
        <v>6.34690476320585</v>
      </c>
      <c r="BG21" s="27" t="n">
        <f aca="false">BF25*Premissas!$E$20*INDEX(Premissas!$B$48:$D$48,$B$2)*(1-Premissas!$B$25)^(BG$4-1)</f>
        <v>6.69452982778158</v>
      </c>
      <c r="BH21" s="27" t="n">
        <f aca="false">BG25*Premissas!$E$20*INDEX(Premissas!$B$48:$D$48,$B$2)*(1-Premissas!$B$25)^(BH$4-1)</f>
        <v>7.04193584463648</v>
      </c>
      <c r="BI21" s="27" t="n">
        <f aca="false">BH25*Premissas!$E$20*INDEX(Premissas!$B$48:$D$48,$B$2)*(1-Premissas!$B$25)^(BI$4-1)</f>
        <v>7.38910498991703</v>
      </c>
      <c r="BJ21" s="27" t="n">
        <f aca="false">BI25*Premissas!$E$20*INDEX(Premissas!$B$48:$D$48,$B$2)*(1-Premissas!$B$25)^(BJ$4-1)</f>
        <v>7.7360198265824</v>
      </c>
    </row>
    <row r="22" customFormat="false" ht="15" hidden="false" customHeight="false" outlineLevel="0" collapsed="false">
      <c r="A22" s="5" t="s">
        <v>227</v>
      </c>
      <c r="C22" s="19" t="n">
        <f aca="false">C14-C18</f>
        <v>10.0661111111111</v>
      </c>
      <c r="D22" s="19" t="n">
        <f aca="false">C22+D14-D18</f>
        <v>19.8604372222222</v>
      </c>
      <c r="E22" s="19" t="n">
        <f aca="false">D22+E14-E18</f>
        <v>29.3916251227778</v>
      </c>
      <c r="F22" s="19" t="n">
        <f aca="false">E22+F14-F18</f>
        <v>38.6680224474661</v>
      </c>
      <c r="G22" s="19" t="n">
        <f aca="false">F22+G14-G18</f>
        <v>47.6976884048719</v>
      </c>
      <c r="H22" s="19" t="n">
        <f aca="false">G22+H14-H18</f>
        <v>56.488404115813</v>
      </c>
      <c r="I22" s="19" t="n">
        <f aca="false">H22+I14-I18</f>
        <v>65.0476825756409</v>
      </c>
      <c r="J22" s="19" t="n">
        <f aca="false">I22+J14-J18</f>
        <v>73.3827782542623</v>
      </c>
      <c r="K22" s="19" t="n">
        <f aca="false">J22+K14-K18</f>
        <v>81.5006963471324</v>
      </c>
      <c r="L22" s="19" t="n">
        <f aca="false">K22+L14-L18</f>
        <v>89.4082016899867</v>
      </c>
      <c r="M22" s="19" t="n">
        <f aca="false">L22+M14-M18</f>
        <v>97.111827349609</v>
      </c>
      <c r="N22" s="19" t="n">
        <f aca="false">M22+N14-N18</f>
        <v>104.617882902483</v>
      </c>
      <c r="O22" s="19" t="n">
        <f aca="false">N22+O14-O18</f>
        <v>128.520660371352</v>
      </c>
      <c r="P22" s="19" t="n">
        <f aca="false">O22+P14-P18</f>
        <v>151.870390480423</v>
      </c>
      <c r="Q22" s="19" t="n">
        <f aca="false">P22+Q14-Q18</f>
        <v>174.683075933713</v>
      </c>
      <c r="R22" s="19" t="n">
        <f aca="false">Q22+R14-R18</f>
        <v>196.974205932312</v>
      </c>
      <c r="S22" s="19" t="n">
        <f aca="false">R22+S14-S18</f>
        <v>218.758773299868</v>
      </c>
      <c r="T22" s="19" t="n">
        <f aca="false">S22+T14-T18</f>
        <v>240.051291029195</v>
      </c>
      <c r="U22" s="19" t="n">
        <f aca="false">T22+U14-U18</f>
        <v>260.865808269676</v>
      </c>
      <c r="V22" s="19" t="n">
        <f aca="false">U22+V14-V18</f>
        <v>281.215925774432</v>
      </c>
      <c r="W22" s="19" t="n">
        <f aca="false">V22+W14-W18</f>
        <v>301.114810825622</v>
      </c>
      <c r="X22" s="19" t="n">
        <f aca="false">W22+X14-X18</f>
        <v>320.575211655581</v>
      </c>
      <c r="Y22" s="19" t="n">
        <f aca="false">X22+Y14-Y18</f>
        <v>339.609471380926</v>
      </c>
      <c r="Z22" s="19" t="n">
        <f aca="false">Y22+Z14-Z18</f>
        <v>358.229541466147</v>
      </c>
      <c r="AA22" s="19" t="n">
        <f aca="false">Z22+AA14-AA18</f>
        <v>401.603757545707</v>
      </c>
      <c r="AB22" s="19" t="n">
        <f aca="false">AA22+AB14-AB18</f>
        <v>444.129135175235</v>
      </c>
      <c r="AC22" s="19" t="n">
        <f aca="false">AB22+AC14-AC18</f>
        <v>485.828162222356</v>
      </c>
      <c r="AD22" s="19" t="n">
        <f aca="false">AC22+AD14-AD18</f>
        <v>526.722653686193</v>
      </c>
      <c r="AE22" s="19" t="n">
        <f aca="false">AD22+AE14-AE18</f>
        <v>566.833772607691</v>
      </c>
      <c r="AF22" s="19" t="n">
        <f aca="false">AE22+AF14-AF18</f>
        <v>606.18205032272</v>
      </c>
      <c r="AG22" s="19" t="n">
        <f aca="false">AF22+AG14-AG18</f>
        <v>644.787406078688</v>
      </c>
      <c r="AH22" s="19" t="n">
        <f aca="false">AG22+AH14-AH18</f>
        <v>682.669166034746</v>
      </c>
      <c r="AI22" s="19" t="n">
        <f aca="false">AH22+AI14-AI18</f>
        <v>719.846081665021</v>
      </c>
      <c r="AJ22" s="19" t="n">
        <f aca="false">AI22+AJ14-AJ18</f>
        <v>756.336347583714</v>
      </c>
      <c r="AK22" s="19" t="n">
        <f aca="false">AJ22+AK14-AK18</f>
        <v>792.157618810289</v>
      </c>
      <c r="AL22" s="19" t="n">
        <f aca="false">AK22+AL14-AL18</f>
        <v>827.327027492417</v>
      </c>
      <c r="AM22" s="19" t="n">
        <f aca="false">AL22+AM14-AM18</f>
        <v>893.331370593957</v>
      </c>
      <c r="AN22" s="19" t="n">
        <f aca="false">AM22+AN14-AN18</f>
        <v>958.247079203688</v>
      </c>
      <c r="AO22" s="19" t="n">
        <f aca="false">AN22+AO14-AO18</f>
        <v>1022.10049380854</v>
      </c>
      <c r="AP22" s="19" t="n">
        <f aca="false">AO22+AP14-AP18</f>
        <v>1084.91722467144</v>
      </c>
      <c r="AQ22" s="19" t="n">
        <f aca="false">AP22+AQ14-AQ18</f>
        <v>1146.72217281545</v>
      </c>
      <c r="AR22" s="19" t="n">
        <f aca="false">AQ22+AR14-AR18</f>
        <v>1207.53955039913</v>
      </c>
      <c r="AS22" s="19" t="n">
        <f aca="false">AR22+AS14-AS18</f>
        <v>1267.39290050094</v>
      </c>
      <c r="AT22" s="19" t="n">
        <f aca="false">AS22+AT14-AT18</f>
        <v>1326.3051163298</v>
      </c>
      <c r="AU22" s="19" t="n">
        <f aca="false">AT22+AU14-AU18</f>
        <v>1384.29845987847</v>
      </c>
      <c r="AV22" s="19" t="n">
        <f aca="false">AU22+AV14-AV18</f>
        <v>1441.39458003611</v>
      </c>
      <c r="AW22" s="19" t="n">
        <f aca="false">AV22+AW14-AW18</f>
        <v>1497.61453017551</v>
      </c>
      <c r="AX22" s="19" t="n">
        <f aca="false">AW22+AX14-AX18</f>
        <v>1552.97878523056</v>
      </c>
      <c r="AY22" s="19" t="n">
        <f aca="false">AX22+AY14-AY18</f>
        <v>1631.06260475124</v>
      </c>
      <c r="AZ22" s="19" t="n">
        <f aca="false">AY22+AZ14-AZ18</f>
        <v>1708.12817420351</v>
      </c>
      <c r="BA22" s="19" t="n">
        <f aca="false">AZ22+BA14-BA18</f>
        <v>1784.19790883158</v>
      </c>
      <c r="BB22" s="19" t="n">
        <f aca="false">BA22+BB14-BB18</f>
        <v>1859.2936459771</v>
      </c>
      <c r="BC22" s="19" t="n">
        <f aca="false">BB22+BC14-BC18</f>
        <v>1933.43666047999</v>
      </c>
      <c r="BD22" s="19" t="n">
        <f aca="false">BC22+BD14-BD18</f>
        <v>2006.64767966584</v>
      </c>
      <c r="BE22" s="19" t="n">
        <f aca="false">BD22+BE14-BE18</f>
        <v>2078.94689793088</v>
      </c>
      <c r="BF22" s="19" t="n">
        <f aca="false">BE22+BF14-BF18</f>
        <v>2150.35399093551</v>
      </c>
      <c r="BG22" s="19" t="n">
        <f aca="false">BF22+BG14-BG18</f>
        <v>2220.88812941671</v>
      </c>
      <c r="BH22" s="19" t="n">
        <f aca="false">BG22+BH14-BH18</f>
        <v>2290.56799262979</v>
      </c>
      <c r="BI22" s="19" t="n">
        <f aca="false">BH22+BI14-BI18</f>
        <v>2359.41178142939</v>
      </c>
      <c r="BJ22" s="19" t="n">
        <f aca="false">BI22+BJ14-BJ18</f>
        <v>2427.43723099929</v>
      </c>
    </row>
    <row r="23" customFormat="false" ht="15" hidden="false" customHeight="false" outlineLevel="0" collapsed="false">
      <c r="A23" s="5" t="s">
        <v>228</v>
      </c>
      <c r="C23" s="19" t="n">
        <f aca="false">C15-C19</f>
        <v>12.5826388888889</v>
      </c>
      <c r="D23" s="19" t="n">
        <f aca="false">C23+D15-D19</f>
        <v>25.02686875</v>
      </c>
      <c r="E23" s="19" t="n">
        <f aca="false">D23+E15-E19</f>
        <v>37.3332306368056</v>
      </c>
      <c r="F23" s="19" t="n">
        <f aca="false">E23+F15-F19</f>
        <v>49.5023110135215</v>
      </c>
      <c r="G23" s="19" t="n">
        <f aca="false">F23+G15-G19</f>
        <v>61.5347391183276</v>
      </c>
      <c r="H23" s="19" t="n">
        <f aca="false">G23+H15-H19</f>
        <v>73.4311844384076</v>
      </c>
      <c r="I23" s="19" t="n">
        <f aca="false">H23+I15-I19</f>
        <v>85.1923542924614</v>
      </c>
      <c r="J23" s="19" t="n">
        <f aca="false">I23+J15-J19</f>
        <v>96.8189915165012</v>
      </c>
      <c r="K23" s="19" t="n">
        <f aca="false">J23+K15-K19</f>
        <v>108.311872248906</v>
      </c>
      <c r="L23" s="19" t="n">
        <f aca="false">K23+L15-L19</f>
        <v>119.671803810857</v>
      </c>
      <c r="M23" s="19" t="n">
        <f aca="false">L23+M15-M19</f>
        <v>130.899622678423</v>
      </c>
      <c r="N23" s="19" t="n">
        <f aca="false">M23+N15-N19</f>
        <v>141.996192542714</v>
      </c>
      <c r="O23" s="19" t="n">
        <f aca="false">N23+O15-O19</f>
        <v>178.507653125201</v>
      </c>
      <c r="P23" s="19" t="n">
        <f aca="false">O23+P15-P19</f>
        <v>214.679476159534</v>
      </c>
      <c r="Q23" s="19" t="n">
        <f aca="false">P23+Q15-Q19</f>
        <v>250.512947358745</v>
      </c>
      <c r="R23" s="19" t="n">
        <f aca="false">Q23+R15-R19</f>
        <v>286.009431756721</v>
      </c>
      <c r="S23" s="19" t="n">
        <f aca="false">R23+S15-S19</f>
        <v>321.170369426196</v>
      </c>
      <c r="T23" s="19" t="n">
        <f aca="false">S23+T15-T19</f>
        <v>355.997271364641</v>
      </c>
      <c r="U23" s="19" t="n">
        <f aca="false">T23+U15-U19</f>
        <v>390.491715541989</v>
      </c>
      <c r="V23" s="19" t="n">
        <f aca="false">U23+V15-V19</f>
        <v>424.655343104365</v>
      </c>
      <c r="W23" s="19" t="n">
        <f aca="false">V23+W15-W19</f>
        <v>458.489854728176</v>
      </c>
      <c r="X23" s="19" t="n">
        <f aca="false">W23+X15-X19</f>
        <v>491.997007119124</v>
      </c>
      <c r="Y23" s="19" t="n">
        <f aca="false">X23+Y15-Y19</f>
        <v>525.178609650891</v>
      </c>
      <c r="Z23" s="19" t="n">
        <f aca="false">Y23+Z15-Z19</f>
        <v>558.036521138427</v>
      </c>
      <c r="AA23" s="19" t="n">
        <f aca="false">Z23+AA15-AA19</f>
        <v>639.204849521691</v>
      </c>
      <c r="AB23" s="19" t="n">
        <f aca="false">AA23+AB15-AB19</f>
        <v>719.757088632107</v>
      </c>
      <c r="AC23" s="19" t="n">
        <f aca="false">AB23+AC15-AC19</f>
        <v>799.695336115826</v>
      </c>
      <c r="AD23" s="19" t="n">
        <f aca="false">AC23+AD15-AD19</f>
        <v>879.021794476165</v>
      </c>
      <c r="AE23" s="19" t="n">
        <f aca="false">AD23+AE15-AE19</f>
        <v>957.73876582639</v>
      </c>
      <c r="AF23" s="19" t="n">
        <f aca="false">AE23+AF15-AF19</f>
        <v>1035.84864683362</v>
      </c>
      <c r="AG23" s="19" t="n">
        <f aca="false">AF23+AG15-AG19</f>
        <v>1113.35392384746</v>
      </c>
      <c r="AH23" s="19" t="n">
        <f aca="false">AG23+AH15-AH19</f>
        <v>1190.25716820709</v>
      </c>
      <c r="AI23" s="19" t="n">
        <f aca="false">AH23+AI15-AI19</f>
        <v>1266.56103172091</v>
      </c>
      <c r="AJ23" s="19" t="n">
        <f aca="false">AI23+AJ15-AJ19</f>
        <v>1342.26824231285</v>
      </c>
      <c r="AK23" s="19" t="n">
        <f aca="false">AJ23+AK15-AK19</f>
        <v>1417.38159982975</v>
      </c>
      <c r="AL23" s="19" t="n">
        <f aca="false">AK23+AL15-AL19</f>
        <v>1491.9039720044</v>
      </c>
      <c r="AM23" s="19" t="n">
        <f aca="false">AL23+AM15-AM19</f>
        <v>1627.90380714379</v>
      </c>
      <c r="AN23" s="19" t="n">
        <f aca="false">AM23+AN15-AN19</f>
        <v>1763.0892168483</v>
      </c>
      <c r="AO23" s="19" t="n">
        <f aca="false">AN23+AO15-AO19</f>
        <v>1897.46190762875</v>
      </c>
      <c r="AP23" s="19" t="n">
        <f aca="false">AO23+AP15-AP19</f>
        <v>2031.0237152053</v>
      </c>
      <c r="AQ23" s="19" t="n">
        <f aca="false">AP23+AQ15-AQ19</f>
        <v>2163.77659894891</v>
      </c>
      <c r="AR23" s="19" t="n">
        <f aca="false">AQ23+AR15-AR19</f>
        <v>2295.7226365068</v>
      </c>
      <c r="AS23" s="19" t="n">
        <f aca="false">AR23+AS15-AS19</f>
        <v>2426.86401860624</v>
      </c>
      <c r="AT23" s="19" t="n">
        <f aca="false">AS23+AT15-AT19</f>
        <v>2557.2030440312</v>
      </c>
      <c r="AU23" s="19" t="n">
        <f aca="false">AT23+AU15-AU19</f>
        <v>2686.74211476649</v>
      </c>
      <c r="AV23" s="19" t="n">
        <f aca="false">AU23+AV15-AV19</f>
        <v>2815.48373130425</v>
      </c>
      <c r="AW23" s="19" t="n">
        <f aca="false">AV23+AW15-AW19</f>
        <v>2943.4304881077</v>
      </c>
      <c r="AX23" s="19" t="n">
        <f aca="false">AW23+AX15-AX19</f>
        <v>3070.58506922736</v>
      </c>
      <c r="AY23" s="19" t="n">
        <f aca="false">AX23+AY15-AY19</f>
        <v>3262.96226112997</v>
      </c>
      <c r="AZ23" s="19" t="n">
        <f aca="false">AY23+AZ15-AZ19</f>
        <v>3454.4704248007</v>
      </c>
      <c r="BA23" s="19" t="n">
        <f aca="false">AZ23+BA15-BA19</f>
        <v>3645.11097493048</v>
      </c>
      <c r="BB23" s="19" t="n">
        <f aca="false">BA23+BB15-BB19</f>
        <v>3834.88543073159</v>
      </c>
      <c r="BC23" s="19" t="n">
        <f aca="false">BB23+BC15-BC19</f>
        <v>4023.79541182185</v>
      </c>
      <c r="BD23" s="19" t="n">
        <f aca="false">BC23+BD15-BD19</f>
        <v>4211.84263423522</v>
      </c>
      <c r="BE23" s="19" t="n">
        <f aca="false">BD23+BE15-BE19</f>
        <v>4399.02890655529</v>
      </c>
      <c r="BF23" s="19" t="n">
        <f aca="false">BE23+BF15-BF19</f>
        <v>4585.35612616805</v>
      </c>
      <c r="BG23" s="19" t="n">
        <f aca="false">BF23+BG15-BG19</f>
        <v>4770.82627563045</v>
      </c>
      <c r="BH23" s="19" t="n">
        <f aca="false">BG23+BH15-BH19</f>
        <v>4955.44141915169</v>
      </c>
      <c r="BI23" s="19" t="n">
        <f aca="false">BH23+BI15-BI19</f>
        <v>5139.20369918364</v>
      </c>
      <c r="BJ23" s="19" t="n">
        <f aca="false">BI23+BJ15-BJ19</f>
        <v>5322.11533311759</v>
      </c>
    </row>
    <row r="24" customFormat="false" ht="15" hidden="false" customHeight="false" outlineLevel="0" collapsed="false">
      <c r="A24" s="5" t="s">
        <v>229</v>
      </c>
      <c r="C24" s="19" t="n">
        <f aca="false">C16-C20</f>
        <v>2.51652777777778</v>
      </c>
      <c r="D24" s="19" t="n">
        <f aca="false">C24+D16-D20</f>
        <v>5.01543986111111</v>
      </c>
      <c r="E24" s="19" t="n">
        <f aca="false">D24+E16-E20</f>
        <v>7.49653241125</v>
      </c>
      <c r="F24" s="19" t="n">
        <f aca="false">E24+F16-F20</f>
        <v>9.95961734542486</v>
      </c>
      <c r="G24" s="19" t="n">
        <f aca="false">F24+G16-G20</f>
        <v>12.4045217123425</v>
      </c>
      <c r="H24" s="19" t="n">
        <f aca="false">G24+H16-H20</f>
        <v>14.8310870898796</v>
      </c>
      <c r="I24" s="19" t="n">
        <f aca="false">H24+I16-I20</f>
        <v>17.2391690041971</v>
      </c>
      <c r="J24" s="19" t="n">
        <f aca="false">I24+J16-J20</f>
        <v>19.628636369525</v>
      </c>
      <c r="K24" s="19" t="n">
        <f aca="false">J24+K16-K20</f>
        <v>21.9993709478946</v>
      </c>
      <c r="L24" s="19" t="n">
        <f aca="false">K24+L16-L20</f>
        <v>24.3512668281216</v>
      </c>
      <c r="M24" s="19" t="n">
        <f aca="false">L24+M16-M20</f>
        <v>26.6842299233646</v>
      </c>
      <c r="N24" s="19" t="n">
        <f aca="false">M24+N16-N20</f>
        <v>28.9981774866119</v>
      </c>
      <c r="O24" s="19" t="n">
        <f aca="false">N24+O16-O20</f>
        <v>38.772762514454</v>
      </c>
      <c r="P24" s="19" t="n">
        <f aca="false">O24+P16-P20</f>
        <v>48.488794408176</v>
      </c>
      <c r="Q24" s="19" t="n">
        <f aca="false">P24+Q16-Q20</f>
        <v>58.145735039597</v>
      </c>
      <c r="R24" s="19" t="n">
        <f aca="false">Q24+R16-R20</f>
        <v>67.7430841865392</v>
      </c>
      <c r="S24" s="19" t="n">
        <f aca="false">R24+S16-S20</f>
        <v>77.2803781773994</v>
      </c>
      <c r="T24" s="19" t="n">
        <f aca="false">S24+T16-T20</f>
        <v>86.7571885797329</v>
      </c>
      <c r="U24" s="19" t="n">
        <f aca="false">T24+U16-U20</f>
        <v>96.1731209314263</v>
      </c>
      <c r="V24" s="19" t="n">
        <f aca="false">U24+V16-V20</f>
        <v>105.527813513089</v>
      </c>
      <c r="W24" s="19" t="n">
        <f aca="false">V24+W16-W20</f>
        <v>114.820936160333</v>
      </c>
      <c r="X24" s="19" t="n">
        <f aca="false">W24+X16-X20</f>
        <v>124.052189114653</v>
      </c>
      <c r="Y24" s="19" t="n">
        <f aca="false">X24+Y16-Y20</f>
        <v>133.221301911672</v>
      </c>
      <c r="Z24" s="19" t="n">
        <f aca="false">Y24+Z16-Z20</f>
        <v>142.32803230554</v>
      </c>
      <c r="AA24" s="19" t="n">
        <f aca="false">Z24+AA16-AA20</f>
        <v>167.669921092391</v>
      </c>
      <c r="AB24" s="19" t="n">
        <f aca="false">AA24+AB16-AB20</f>
        <v>192.892641890637</v>
      </c>
      <c r="AC24" s="19" t="n">
        <f aca="false">AB24+AC16-AC20</f>
        <v>217.995086772519</v>
      </c>
      <c r="AD24" s="19" t="n">
        <f aca="false">AC24+AD16-AD20</f>
        <v>242.976210805652</v>
      </c>
      <c r="AE24" s="19" t="n">
        <f aca="false">AD24+AE16-AE20</f>
        <v>267.835030051483</v>
      </c>
      <c r="AF24" s="19" t="n">
        <f aca="false">AE24+AF16-AF20</f>
        <v>292.570619622989</v>
      </c>
      <c r="AG24" s="19" t="n">
        <f aca="false">AF24+AG16-AG20</f>
        <v>317.182111799858</v>
      </c>
      <c r="AH24" s="19" t="n">
        <f aca="false">AG24+AH16-AH20</f>
        <v>341.668694199439</v>
      </c>
      <c r="AI24" s="19" t="n">
        <f aca="false">AH24+AI16-AI20</f>
        <v>366.029608001805</v>
      </c>
      <c r="AJ24" s="19" t="n">
        <f aca="false">AI24+AJ16-AJ20</f>
        <v>390.264146227322</v>
      </c>
      <c r="AK24" s="19" t="n">
        <f aca="false">AJ24+AK16-AK20</f>
        <v>414.37165206517</v>
      </c>
      <c r="AL24" s="19" t="n">
        <f aca="false">AK24+AL16-AL20</f>
        <v>438.351517251296</v>
      </c>
      <c r="AM24" s="19" t="n">
        <f aca="false">AL24+AM16-AM20</f>
        <v>483.96675206136</v>
      </c>
      <c r="AN24" s="19" t="n">
        <f aca="false">AM24+AN16-AN20</f>
        <v>529.424293069311</v>
      </c>
      <c r="AO24" s="19" t="n">
        <f aca="false">AN24+AO16-AO20</f>
        <v>574.722271716188</v>
      </c>
      <c r="AP24" s="19" t="n">
        <f aca="false">AO24+AP16-AP20</f>
        <v>619.858900096005</v>
      </c>
      <c r="AQ24" s="19" t="n">
        <f aca="false">AP24+AQ16-AQ20</f>
        <v>664.832468693649</v>
      </c>
      <c r="AR24" s="19" t="n">
        <f aca="false">AQ24+AR16-AR20</f>
        <v>709.641344183659</v>
      </c>
      <c r="AS24" s="19" t="n">
        <f aca="false">AR24+AS16-AS20</f>
        <v>754.283967288215</v>
      </c>
      <c r="AT24" s="19" t="n">
        <f aca="false">AS24+AT16-AT20</f>
        <v>798.758850692716</v>
      </c>
      <c r="AU24" s="19" t="n">
        <f aca="false">AT24+AU16-AU20</f>
        <v>843.064577017386</v>
      </c>
      <c r="AV24" s="19" t="n">
        <f aca="false">AU24+AV16-AV20</f>
        <v>887.199796843368</v>
      </c>
      <c r="AW24" s="19" t="n">
        <f aca="false">AV24+AW16-AW20</f>
        <v>931.163226791836</v>
      </c>
      <c r="AX24" s="19" t="n">
        <f aca="false">AW24+AX16-AX20</f>
        <v>974.953647654658</v>
      </c>
      <c r="AY24" s="19" t="n">
        <f aca="false">AX24+AY16-AY20</f>
        <v>1049.24623949996</v>
      </c>
      <c r="AZ24" s="19" t="n">
        <f aca="false">AY24+AZ16-AZ20</f>
        <v>1123.35227201996</v>
      </c>
      <c r="BA24" s="19" t="n">
        <f aca="false">AZ24+BA16-BA20</f>
        <v>1197.26954853145</v>
      </c>
      <c r="BB24" s="19" t="n">
        <f aca="false">BA24+BB16-BB20</f>
        <v>1270.99595020907</v>
      </c>
      <c r="BC24" s="19" t="n">
        <f aca="false">BB24+BC16-BC20</f>
        <v>1344.52943413504</v>
      </c>
      <c r="BD24" s="19" t="n">
        <f aca="false">BC24+BD16-BD20</f>
        <v>1417.86803139692</v>
      </c>
      <c r="BE24" s="19" t="n">
        <f aca="false">BD24+BE16-BE20</f>
        <v>1491.00984523201</v>
      </c>
      <c r="BF24" s="19" t="n">
        <f aca="false">BE24+BF16-BF20</f>
        <v>1563.95304921752</v>
      </c>
      <c r="BG24" s="19" t="n">
        <f aca="false">BF24+BG16-BG20</f>
        <v>1636.69588550506</v>
      </c>
      <c r="BH24" s="19" t="n">
        <f aca="false">BG24+BH16-BH20</f>
        <v>1709.23666309857</v>
      </c>
      <c r="BI24" s="19" t="n">
        <f aca="false">BH24+BI16-BI20</f>
        <v>1781.57375617438</v>
      </c>
      <c r="BJ24" s="19" t="n">
        <f aca="false">BI24+BJ16-BJ20</f>
        <v>1853.70560244259</v>
      </c>
    </row>
    <row r="25" customFormat="false" ht="15" hidden="false" customHeight="false" outlineLevel="0" collapsed="false">
      <c r="A25" s="5" t="s">
        <v>230</v>
      </c>
      <c r="C25" s="19" t="n">
        <f aca="false">C17-C21</f>
        <v>0</v>
      </c>
      <c r="D25" s="19" t="n">
        <f aca="false">C25+D17-D21</f>
        <v>0</v>
      </c>
      <c r="E25" s="19" t="n">
        <f aca="false">D25+E17-E21</f>
        <v>0</v>
      </c>
      <c r="F25" s="19" t="n">
        <f aca="false">E25+F17-F21</f>
        <v>0</v>
      </c>
      <c r="G25" s="19" t="n">
        <f aca="false">F25+G17-G21</f>
        <v>0</v>
      </c>
      <c r="H25" s="19" t="n">
        <f aca="false">G25+H17-H21</f>
        <v>0</v>
      </c>
      <c r="I25" s="19" t="n">
        <f aca="false">H25+I17-I21</f>
        <v>0</v>
      </c>
      <c r="J25" s="19" t="n">
        <f aca="false">I25+J17-J21</f>
        <v>0</v>
      </c>
      <c r="K25" s="19" t="n">
        <f aca="false">J25+K17-K21</f>
        <v>0</v>
      </c>
      <c r="L25" s="19" t="n">
        <f aca="false">K25+L17-L21</f>
        <v>0</v>
      </c>
      <c r="M25" s="19" t="n">
        <f aca="false">L25+M17-M21</f>
        <v>0</v>
      </c>
      <c r="N25" s="19" t="n">
        <f aca="false">M25+N17-N21</f>
        <v>0</v>
      </c>
      <c r="O25" s="19" t="n">
        <f aca="false">N25+O17-O21</f>
        <v>1.58586946055319</v>
      </c>
      <c r="P25" s="19" t="n">
        <f aca="false">O25+P17-P21</f>
        <v>3.16705634270737</v>
      </c>
      <c r="Q25" s="19" t="n">
        <f aca="false">P25+Q17-Q21</f>
        <v>4.74338103465526</v>
      </c>
      <c r="R25" s="19" t="n">
        <f aca="false">Q25+R17-R21</f>
        <v>6.3146708768514</v>
      </c>
      <c r="S25" s="19" t="n">
        <f aca="false">R25+S17-S21</f>
        <v>7.8807599584507</v>
      </c>
      <c r="T25" s="19" t="n">
        <f aca="false">S25+T17-T21</f>
        <v>9.44148891967732</v>
      </c>
      <c r="U25" s="19" t="n">
        <f aca="false">T25+U17-U21</f>
        <v>10.9967047599428</v>
      </c>
      <c r="V25" s="19" t="n">
        <f aca="false">U25+V17-V21</f>
        <v>12.5462606515382</v>
      </c>
      <c r="W25" s="19" t="n">
        <f aca="false">V25+W17-W21</f>
        <v>14.0900157587298</v>
      </c>
      <c r="X25" s="19" t="n">
        <f aca="false">W25+X17-X21</f>
        <v>15.6278350620951</v>
      </c>
      <c r="Y25" s="19" t="n">
        <f aca="false">X25+Y17-Y21</f>
        <v>17.1595891879394</v>
      </c>
      <c r="Z25" s="19" t="n">
        <f aca="false">Y25+Z17-Z21</f>
        <v>18.685154242638</v>
      </c>
      <c r="AA25" s="19" t="n">
        <f aca="false">Z25+AA17-AA21</f>
        <v>27.6825183157287</v>
      </c>
      <c r="AB25" s="19" t="n">
        <f aca="false">AA25+AB17-AB21</f>
        <v>36.6613096538558</v>
      </c>
      <c r="AC25" s="19" t="n">
        <f aca="false">AB25+AC17-AC21</f>
        <v>45.620738041935</v>
      </c>
      <c r="AD25" s="19" t="n">
        <f aca="false">AC25+AD17-AD21</f>
        <v>54.560038713082</v>
      </c>
      <c r="AE25" s="19" t="n">
        <f aca="false">AD25+AE17-AE21</f>
        <v>63.4784716922636</v>
      </c>
      <c r="AF25" s="19" t="n">
        <f aca="false">AE25+AF17-AF21</f>
        <v>72.3753211572908</v>
      </c>
      <c r="AG25" s="19" t="n">
        <f aca="false">AF25+AG17-AG21</f>
        <v>81.249894816666</v>
      </c>
      <c r="AH25" s="19" t="n">
        <f aca="false">AG25+AH17-AH21</f>
        <v>90.1015233038105</v>
      </c>
      <c r="AI25" s="19" t="n">
        <f aca="false">AH25+AI17-AI21</f>
        <v>98.9295595872122</v>
      </c>
      <c r="AJ25" s="19" t="n">
        <f aca="false">AI25+AJ17-AJ21</f>
        <v>107.733378396049</v>
      </c>
      <c r="AK25" s="19" t="n">
        <f aca="false">AJ25+AK17-AK21</f>
        <v>116.512375660853</v>
      </c>
      <c r="AL25" s="19" t="n">
        <f aca="false">AK25+AL17-AL21</f>
        <v>125.265967968798</v>
      </c>
      <c r="AM25" s="19" t="n">
        <f aca="false">AL25+AM17-AM21</f>
        <v>143.371034322512</v>
      </c>
      <c r="AN25" s="19" t="n">
        <f aca="false">AM25+AN17-AN21</f>
        <v>161.45779460362</v>
      </c>
      <c r="AO25" s="19" t="n">
        <f aca="false">AN25+AO17-AO21</f>
        <v>179.524855220981</v>
      </c>
      <c r="AP25" s="19" t="n">
        <f aca="false">AO25+AP17-AP21</f>
        <v>197.570859278402</v>
      </c>
      <c r="AQ25" s="19" t="n">
        <f aca="false">AP25+AQ17-AQ21</f>
        <v>215.594485740186</v>
      </c>
      <c r="AR25" s="19" t="n">
        <f aca="false">AQ25+AR17-AR21</f>
        <v>233.594448616713</v>
      </c>
      <c r="AS25" s="19" t="n">
        <f aca="false">AR25+AS17-AS21</f>
        <v>251.569496169498</v>
      </c>
      <c r="AT25" s="19" t="n">
        <f aca="false">AS25+AT17-AT21</f>
        <v>269.518410135252</v>
      </c>
      <c r="AU25" s="19" t="n">
        <f aca="false">AT25+AU17-AU21</f>
        <v>287.440004968443</v>
      </c>
      <c r="AV25" s="19" t="n">
        <f aca="false">AU25+AV17-AV21</f>
        <v>305.333127101878</v>
      </c>
      <c r="AW25" s="19" t="n">
        <f aca="false">AV25+AW17-AW21</f>
        <v>323.196654224859</v>
      </c>
      <c r="AX25" s="19" t="n">
        <f aca="false">AW25+AX17-AX21</f>
        <v>341.029494578437</v>
      </c>
      <c r="AY25" s="19" t="n">
        <f aca="false">AX25+AY17-AY21</f>
        <v>371.44446834934</v>
      </c>
      <c r="AZ25" s="19" t="n">
        <f aca="false">AY25+AZ17-AZ21</f>
        <v>401.85222035594</v>
      </c>
      <c r="BA25" s="19" t="n">
        <f aca="false">AZ25+BA17-BA21</f>
        <v>432.250939612129</v>
      </c>
      <c r="BB25" s="19" t="n">
        <f aca="false">BA25+BB17-BB21</f>
        <v>462.638853928107</v>
      </c>
      <c r="BC25" s="19" t="n">
        <f aca="false">BB25+BC17-BC21</f>
        <v>493.014229141059</v>
      </c>
      <c r="BD25" s="19" t="n">
        <f aca="false">BC25+BD17-BD21</f>
        <v>523.375368362459</v>
      </c>
      <c r="BE25" s="19" t="n">
        <f aca="false">BD25+BE17-BE21</f>
        <v>553.720611241581</v>
      </c>
      <c r="BF25" s="19" t="n">
        <f aca="false">BE25+BF17-BF21</f>
        <v>584.048333244856</v>
      </c>
      <c r="BG25" s="19" t="n">
        <f aca="false">BF25+BG17-BG21</f>
        <v>614.356944950687</v>
      </c>
      <c r="BH25" s="19" t="n">
        <f aca="false">BG25+BH17-BH21</f>
        <v>644.644891359366</v>
      </c>
      <c r="BI25" s="19" t="n">
        <f aca="false">BH25+BI17-BI21</f>
        <v>674.910651217734</v>
      </c>
      <c r="BJ25" s="19" t="n">
        <f aca="false">BI25+BJ17-BJ21</f>
        <v>705.152736358244</v>
      </c>
    </row>
    <row r="26" customFormat="false" ht="15" hidden="false" customHeight="false" outlineLevel="0" collapsed="false">
      <c r="A26" s="18" t="s">
        <v>231</v>
      </c>
      <c r="C26" s="29" t="n">
        <f aca="false">SUM(C22:C25)</f>
        <v>25.1652777777778</v>
      </c>
      <c r="D26" s="29" t="n">
        <f aca="false">SUM(D22:D25)</f>
        <v>49.9027458333333</v>
      </c>
      <c r="E26" s="29" t="n">
        <f aca="false">SUM(E22:E25)</f>
        <v>74.2213881708333</v>
      </c>
      <c r="F26" s="29" t="n">
        <f aca="false">SUM(F22:F25)</f>
        <v>98.1299508064125</v>
      </c>
      <c r="G26" s="29" t="n">
        <f aca="false">SUM(G22:G25)</f>
        <v>121.636949235542</v>
      </c>
      <c r="H26" s="29" t="n">
        <f aca="false">SUM(H22:H25)</f>
        <v>144.7506756441</v>
      </c>
      <c r="I26" s="29" t="n">
        <f aca="false">SUM(I22:I25)</f>
        <v>167.479205872299</v>
      </c>
      <c r="J26" s="29" t="n">
        <f aca="false">SUM(J22:J25)</f>
        <v>189.830406140288</v>
      </c>
      <c r="K26" s="29" t="n">
        <f aca="false">SUM(K22:K25)</f>
        <v>211.811939543933</v>
      </c>
      <c r="L26" s="29" t="n">
        <f aca="false">SUM(L22:L25)</f>
        <v>233.431272328965</v>
      </c>
      <c r="M26" s="29" t="n">
        <f aca="false">SUM(M22:M25)</f>
        <v>254.695679951397</v>
      </c>
      <c r="N26" s="29" t="n">
        <f aca="false">SUM(N22:N25)</f>
        <v>275.612252931809</v>
      </c>
      <c r="O26" s="29" t="n">
        <f aca="false">SUM(O22:O25)</f>
        <v>347.38694547156</v>
      </c>
      <c r="P26" s="29" t="n">
        <f aca="false">SUM(P22:P25)</f>
        <v>418.205717390841</v>
      </c>
      <c r="Q26" s="29" t="n">
        <f aca="false">SUM(Q22:Q25)</f>
        <v>488.085139366711</v>
      </c>
      <c r="R26" s="29" t="n">
        <f aca="false">SUM(R22:R25)</f>
        <v>557.041392752424</v>
      </c>
      <c r="S26" s="29" t="n">
        <f aca="false">SUM(S22:S25)</f>
        <v>625.090280861914</v>
      </c>
      <c r="T26" s="29" t="n">
        <f aca="false">SUM(T22:T25)</f>
        <v>692.247239893247</v>
      </c>
      <c r="U26" s="29" t="n">
        <f aca="false">SUM(U22:U25)</f>
        <v>758.527349503035</v>
      </c>
      <c r="V26" s="29" t="n">
        <f aca="false">SUM(V22:V25)</f>
        <v>823.945343043424</v>
      </c>
      <c r="W26" s="29" t="n">
        <f aca="false">SUM(W22:W25)</f>
        <v>888.51561747286</v>
      </c>
      <c r="X26" s="29" t="n">
        <f aca="false">SUM(X22:X25)</f>
        <v>952.252242951453</v>
      </c>
      <c r="Y26" s="29" t="n">
        <f aca="false">SUM(Y22:Y25)</f>
        <v>1015.16897213143</v>
      </c>
      <c r="Z26" s="29" t="n">
        <f aca="false">SUM(Z22:Z25)</f>
        <v>1077.27924915275</v>
      </c>
      <c r="AA26" s="29" t="n">
        <f aca="false">SUM(AA22:AA25)</f>
        <v>1236.16104647552</v>
      </c>
      <c r="AB26" s="29" t="n">
        <f aca="false">SUM(AB22:AB25)</f>
        <v>1393.44017535184</v>
      </c>
      <c r="AC26" s="29" t="n">
        <f aca="false">SUM(AC22:AC25)</f>
        <v>1549.13932315264</v>
      </c>
      <c r="AD26" s="29" t="n">
        <f aca="false">SUM(AD22:AD25)</f>
        <v>1703.28069768109</v>
      </c>
      <c r="AE26" s="29" t="n">
        <f aca="false">SUM(AE22:AE25)</f>
        <v>1855.88604017783</v>
      </c>
      <c r="AF26" s="29" t="n">
        <f aca="false">SUM(AF22:AF25)</f>
        <v>2006.97663793662</v>
      </c>
      <c r="AG26" s="29" t="n">
        <f aca="false">SUM(AG22:AG25)</f>
        <v>2156.57333654267</v>
      </c>
      <c r="AH26" s="29" t="n">
        <f aca="false">SUM(AH22:AH25)</f>
        <v>2304.69655174509</v>
      </c>
      <c r="AI26" s="29" t="n">
        <f aca="false">SUM(AI22:AI25)</f>
        <v>2451.36628097495</v>
      </c>
      <c r="AJ26" s="29" t="n">
        <f aca="false">SUM(AJ22:AJ25)</f>
        <v>2596.60211451994</v>
      </c>
      <c r="AK26" s="29" t="n">
        <f aca="false">SUM(AK22:AK25)</f>
        <v>2740.42324636607</v>
      </c>
      <c r="AL26" s="29" t="n">
        <f aca="false">SUM(AL22:AL25)</f>
        <v>2882.84848471691</v>
      </c>
      <c r="AM26" s="29" t="n">
        <f aca="false">SUM(AM22:AM25)</f>
        <v>3148.57296412162</v>
      </c>
      <c r="AN26" s="29" t="n">
        <f aca="false">SUM(AN22:AN25)</f>
        <v>3412.21838372492</v>
      </c>
      <c r="AO26" s="29" t="n">
        <f aca="false">SUM(AO22:AO25)</f>
        <v>3673.80952837446</v>
      </c>
      <c r="AP26" s="29" t="n">
        <f aca="false">SUM(AP22:AP25)</f>
        <v>3933.37069925115</v>
      </c>
      <c r="AQ26" s="29" t="n">
        <f aca="false">SUM(AQ22:AQ25)</f>
        <v>4190.92572619819</v>
      </c>
      <c r="AR26" s="29" t="n">
        <f aca="false">SUM(AR22:AR25)</f>
        <v>4446.4979797063</v>
      </c>
      <c r="AS26" s="29" t="n">
        <f aca="false">SUM(AS22:AS25)</f>
        <v>4700.11038256489</v>
      </c>
      <c r="AT26" s="29" t="n">
        <f aca="false">SUM(AT22:AT25)</f>
        <v>4951.78542118896</v>
      </c>
      <c r="AU26" s="29" t="n">
        <f aca="false">SUM(AU22:AU25)</f>
        <v>5201.54515663079</v>
      </c>
      <c r="AV26" s="29" t="n">
        <f aca="false">SUM(AV22:AV25)</f>
        <v>5449.4112352856</v>
      </c>
      <c r="AW26" s="29" t="n">
        <f aca="false">SUM(AW22:AW25)</f>
        <v>5695.4048992999</v>
      </c>
      <c r="AX26" s="29" t="n">
        <f aca="false">SUM(AX22:AX25)</f>
        <v>5939.54699669101</v>
      </c>
      <c r="AY26" s="29" t="n">
        <f aca="false">SUM(AY22:AY25)</f>
        <v>6314.71557373051</v>
      </c>
      <c r="AZ26" s="29" t="n">
        <f aca="false">SUM(AZ22:AZ25)</f>
        <v>6687.80309138011</v>
      </c>
      <c r="BA26" s="29" t="n">
        <f aca="false">SUM(BA22:BA25)</f>
        <v>7058.82937190564</v>
      </c>
      <c r="BB26" s="29" t="n">
        <f aca="false">SUM(BB22:BB25)</f>
        <v>7427.81388084587</v>
      </c>
      <c r="BC26" s="29" t="n">
        <f aca="false">SUM(BC22:BC25)</f>
        <v>7794.77573557794</v>
      </c>
      <c r="BD26" s="29" t="n">
        <f aca="false">SUM(BD22:BD25)</f>
        <v>8159.73371366043</v>
      </c>
      <c r="BE26" s="29" t="n">
        <f aca="false">SUM(BE22:BE25)</f>
        <v>8522.70626095977</v>
      </c>
      <c r="BF26" s="29" t="n">
        <f aca="false">SUM(BF22:BF25)</f>
        <v>8883.71149956593</v>
      </c>
      <c r="BG26" s="29" t="n">
        <f aca="false">SUM(BG22:BG25)</f>
        <v>9242.76723550291</v>
      </c>
      <c r="BH26" s="29" t="n">
        <f aca="false">SUM(BH22:BH25)</f>
        <v>9599.89096623942</v>
      </c>
      <c r="BI26" s="29" t="n">
        <f aca="false">SUM(BI22:BI25)</f>
        <v>9955.09988800514</v>
      </c>
      <c r="BJ26" s="29" t="n">
        <f aca="false">SUM(BJ22:BJ25)</f>
        <v>10308.4109029177</v>
      </c>
    </row>
    <row r="27" customFormat="false" ht="15" hidden="false" customHeight="false" outlineLevel="0" collapsed="false">
      <c r="A27" s="3" t="s">
        <v>232</v>
      </c>
      <c r="B27" s="4"/>
    </row>
    <row r="28" customFormat="false" ht="15" hidden="false" customHeight="false" outlineLevel="0" collapsed="false">
      <c r="A28" s="5" t="s">
        <v>233</v>
      </c>
      <c r="C28" s="21" t="n">
        <f aca="false">C22*Premissas!$B$18*(1-Premissas!$B$12*Premissas!$B$13)</f>
        <v>2855.101425</v>
      </c>
      <c r="D28" s="21" t="n">
        <f aca="false">D22*Premissas!$B$18*(1-Premissas!$B$12*Premissas!$B$13)</f>
        <v>5633.115111525</v>
      </c>
      <c r="E28" s="21" t="n">
        <f aca="false">E22*Premissas!$B$18*(1-Premissas!$B$12*Premissas!$B$13)</f>
        <v>8336.49359169907</v>
      </c>
      <c r="F28" s="21" t="n">
        <f aca="false">F22*Premissas!$B$18*(1-Premissas!$B$12*Premissas!$B$13)</f>
        <v>10967.604546887</v>
      </c>
      <c r="G28" s="21" t="n">
        <f aca="false">G22*Premissas!$B$18*(1-Premissas!$B$12*Premissas!$B$13)</f>
        <v>13528.7338507158</v>
      </c>
      <c r="H28" s="21" t="n">
        <f aca="false">H22*Premissas!$B$18*(1-Premissas!$B$12*Premissas!$B$13)</f>
        <v>16022.0885013886</v>
      </c>
      <c r="I28" s="21" t="n">
        <f aca="false">I22*Premissas!$B$18*(1-Premissas!$B$12*Premissas!$B$13)</f>
        <v>18449.7994473419</v>
      </c>
      <c r="J28" s="21" t="n">
        <f aca="false">J22*Premissas!$B$18*(1-Premissas!$B$12*Premissas!$B$13)</f>
        <v>20813.9243101477</v>
      </c>
      <c r="K28" s="21" t="n">
        <f aca="false">K22*Premissas!$B$18*(1-Premissas!$B$12*Premissas!$B$13)</f>
        <v>23116.4500084189</v>
      </c>
      <c r="L28" s="21" t="n">
        <f aca="false">L22*Premissas!$B$18*(1-Premissas!$B$12*Premissas!$B$13)</f>
        <v>25359.2952863394</v>
      </c>
      <c r="M28" s="21" t="n">
        <f aca="false">M22*Premissas!$B$18*(1-Premissas!$B$12*Premissas!$B$13)</f>
        <v>27544.3131503063</v>
      </c>
      <c r="N28" s="21" t="n">
        <f aca="false">N22*Premissas!$B$18*(1-Premissas!$B$12*Premissas!$B$13)</f>
        <v>29673.2932170458</v>
      </c>
      <c r="O28" s="21" t="n">
        <f aca="false">O22*Premissas!$B$18*(1-Premissas!$B$12*Premissas!$B$13)</f>
        <v>36452.9575044285</v>
      </c>
      <c r="P28" s="21" t="n">
        <f aca="false">P22*Premissas!$B$18*(1-Premissas!$B$12*Premissas!$B$13)</f>
        <v>43075.7582039149</v>
      </c>
      <c r="Q28" s="21" t="n">
        <f aca="false">Q22*Premissas!$B$18*(1-Premissas!$B$12*Premissas!$B$13)</f>
        <v>49546.2342424587</v>
      </c>
      <c r="R28" s="21" t="n">
        <f aca="false">R22*Premissas!$B$18*(1-Premissas!$B$12*Premissas!$B$13)</f>
        <v>55868.7788996114</v>
      </c>
      <c r="S28" s="21" t="n">
        <f aca="false">S22*Premissas!$B$18*(1-Premissas!$B$12*Premissas!$B$13)</f>
        <v>62047.644664908</v>
      </c>
      <c r="T28" s="21" t="n">
        <f aca="false">T22*Premissas!$B$18*(1-Premissas!$B$12*Premissas!$B$13)</f>
        <v>68086.9479310658</v>
      </c>
      <c r="U28" s="21" t="n">
        <f aca="false">U22*Premissas!$B$18*(1-Premissas!$B$12*Premissas!$B$13)</f>
        <v>73990.6735285696</v>
      </c>
      <c r="V28" s="21" t="n">
        <f aca="false">V22*Premissas!$B$18*(1-Premissas!$B$12*Premissas!$B$13)</f>
        <v>79762.6791070311</v>
      </c>
      <c r="W28" s="21" t="n">
        <f aca="false">W22*Premissas!$B$18*(1-Premissas!$B$12*Premissas!$B$13)</f>
        <v>85406.6993685252</v>
      </c>
      <c r="X28" s="21" t="n">
        <f aca="false">X22*Premissas!$B$18*(1-Premissas!$B$12*Premissas!$B$13)</f>
        <v>90926.3501579308</v>
      </c>
      <c r="Y28" s="21" t="n">
        <f aca="false">Y22*Premissas!$B$18*(1-Premissas!$B$12*Premissas!$B$13)</f>
        <v>96325.132415129</v>
      </c>
      <c r="Z28" s="21" t="n">
        <f aca="false">Z22*Premissas!$B$18*(1-Premissas!$B$12*Premissas!$B$13)</f>
        <v>101606.435993751</v>
      </c>
      <c r="AA28" s="21" t="n">
        <f aca="false">AA22*Premissas!$B$18*(1-Premissas!$B$12*Premissas!$B$13)</f>
        <v>113908.881771476</v>
      </c>
      <c r="AB28" s="21" t="n">
        <f aca="false">AB22*Premissas!$B$18*(1-Premissas!$B$12*Premissas!$B$13)</f>
        <v>125970.567255428</v>
      </c>
      <c r="AC28" s="21" t="n">
        <f aca="false">AC22*Premissas!$B$18*(1-Premissas!$B$12*Premissas!$B$13)</f>
        <v>137797.870791938</v>
      </c>
      <c r="AD28" s="21" t="n">
        <f aca="false">AD22*Premissas!$B$18*(1-Premissas!$B$12*Premissas!$B$13)</f>
        <v>149396.979878283</v>
      </c>
      <c r="AE28" s="21" t="n">
        <f aca="false">AE22*Premissas!$B$18*(1-Premissas!$B$12*Premissas!$B$13)</f>
        <v>160773.897093582</v>
      </c>
      <c r="AF28" s="21" t="n">
        <f aca="false">AF22*Premissas!$B$18*(1-Premissas!$B$12*Premissas!$B$13)</f>
        <v>171934.445843285</v>
      </c>
      <c r="AG28" s="21" t="n">
        <f aca="false">AG22*Premissas!$B$18*(1-Premissas!$B$12*Premissas!$B$13)</f>
        <v>182884.275923129</v>
      </c>
      <c r="AH28" s="21" t="n">
        <f aca="false">AH22*Premissas!$B$18*(1-Premissas!$B$12*Premissas!$B$13)</f>
        <v>193628.868908265</v>
      </c>
      <c r="AI28" s="21" t="n">
        <f aca="false">AI22*Premissas!$B$18*(1-Premissas!$B$12*Premissas!$B$13)</f>
        <v>204173.543373058</v>
      </c>
      <c r="AJ28" s="21" t="n">
        <f aca="false">AJ22*Premissas!$B$18*(1-Premissas!$B$12*Premissas!$B$13)</f>
        <v>214523.459946907</v>
      </c>
      <c r="AK28" s="21" t="n">
        <f aca="false">AK22*Premissas!$B$18*(1-Premissas!$B$12*Premissas!$B$13)</f>
        <v>224683.626211256</v>
      </c>
      <c r="AL28" s="21" t="n">
        <f aca="false">AL22*Premissas!$B$18*(1-Premissas!$B$12*Premissas!$B$13)</f>
        <v>234658.901442812</v>
      </c>
      <c r="AM28" s="21" t="n">
        <f aca="false">AM22*Premissas!$B$18*(1-Premissas!$B$12*Premissas!$B$13)</f>
        <v>253380.043298417</v>
      </c>
      <c r="AN28" s="21" t="n">
        <f aca="false">AN22*Premissas!$B$18*(1-Premissas!$B$12*Premissas!$B$13)</f>
        <v>271792.410309938</v>
      </c>
      <c r="AO28" s="21" t="n">
        <f aca="false">AO22*Premissas!$B$18*(1-Premissas!$B$12*Premissas!$B$13)</f>
        <v>289903.473561385</v>
      </c>
      <c r="AP28" s="21" t="n">
        <f aca="false">AP22*Premissas!$B$18*(1-Premissas!$B$12*Premissas!$B$13)</f>
        <v>307720.497019684</v>
      </c>
      <c r="AQ28" s="21" t="n">
        <f aca="false">AQ22*Premissas!$B$18*(1-Premissas!$B$12*Premissas!$B$13)</f>
        <v>325250.54348651</v>
      </c>
      <c r="AR28" s="21" t="n">
        <f aca="false">AR22*Premissas!$B$18*(1-Premissas!$B$12*Premissas!$B$13)</f>
        <v>342500.480377457</v>
      </c>
      <c r="AS28" s="21" t="n">
        <f aca="false">AS22*Premissas!$B$18*(1-Premissas!$B$12*Premissas!$B$13)</f>
        <v>359476.985333585</v>
      </c>
      <c r="AT28" s="21" t="n">
        <f aca="false">AT22*Premissas!$B$18*(1-Premissas!$B$12*Premissas!$B$13)</f>
        <v>376186.551670203</v>
      </c>
      <c r="AU28" s="21" t="n">
        <f aca="false">AU22*Premissas!$B$18*(1-Premissas!$B$12*Premissas!$B$13)</f>
        <v>392635.493667631</v>
      </c>
      <c r="AV28" s="21" t="n">
        <f aca="false">AV22*Premissas!$B$18*(1-Premissas!$B$12*Premissas!$B$13)</f>
        <v>408829.951708541</v>
      </c>
      <c r="AW28" s="21" t="n">
        <f aca="false">AW22*Premissas!$B$18*(1-Premissas!$B$12*Premissas!$B$13)</f>
        <v>424775.897266331</v>
      </c>
      <c r="AX28" s="21" t="n">
        <f aca="false">AX22*Premissas!$B$18*(1-Premissas!$B$12*Premissas!$B$13)</f>
        <v>440479.13774887</v>
      </c>
      <c r="AY28" s="21" t="n">
        <f aca="false">AY22*Premissas!$B$18*(1-Premissas!$B$12*Premissas!$B$13)</f>
        <v>462626.441898617</v>
      </c>
      <c r="AZ28" s="21" t="n">
        <f aca="false">AZ22*Premissas!$B$18*(1-Premissas!$B$12*Premissas!$B$13)</f>
        <v>484484.934690212</v>
      </c>
      <c r="BA28" s="21" t="n">
        <f aca="false">BA22*Premissas!$B$18*(1-Premissas!$B$12*Premissas!$B$13)</f>
        <v>506060.973871446</v>
      </c>
      <c r="BB28" s="21" t="n">
        <f aca="false">BB22*Premissas!$B$18*(1-Premissas!$B$12*Premissas!$B$13)</f>
        <v>527360.753276714</v>
      </c>
      <c r="BC28" s="21" t="n">
        <f aca="false">BC22*Premissas!$B$18*(1-Premissas!$B$12*Premissas!$B$13)</f>
        <v>548390.307195241</v>
      </c>
      <c r="BD28" s="21" t="n">
        <f aca="false">BD22*Premissas!$B$18*(1-Premissas!$B$12*Premissas!$B$13)</f>
        <v>569155.514622019</v>
      </c>
      <c r="BE28" s="21" t="n">
        <f aca="false">BE22*Premissas!$B$18*(1-Premissas!$B$12*Premissas!$B$13)</f>
        <v>589662.103394626</v>
      </c>
      <c r="BF28" s="21" t="n">
        <f aca="false">BF22*Premissas!$B$18*(1-Premissas!$B$12*Premissas!$B$13)</f>
        <v>609915.654218994</v>
      </c>
      <c r="BG28" s="21" t="n">
        <f aca="false">BG22*Premissas!$B$18*(1-Premissas!$B$12*Premissas!$B$13)</f>
        <v>629921.604587108</v>
      </c>
      <c r="BH28" s="21" t="n">
        <f aca="false">BH22*Premissas!$B$18*(1-Premissas!$B$12*Premissas!$B$13)</f>
        <v>649685.252589551</v>
      </c>
      <c r="BI28" s="21" t="n">
        <f aca="false">BI22*Premissas!$B$18*(1-Premissas!$B$12*Premissas!$B$13)</f>
        <v>669211.760625725</v>
      </c>
      <c r="BJ28" s="21" t="n">
        <f aca="false">BJ22*Premissas!$B$18*(1-Premissas!$B$12*Premissas!$B$13)</f>
        <v>688506.159014484</v>
      </c>
    </row>
    <row r="29" customFormat="false" ht="15" hidden="false" customHeight="false" outlineLevel="0" collapsed="false">
      <c r="A29" s="5" t="s">
        <v>234</v>
      </c>
      <c r="C29" s="21" t="n">
        <f aca="false">C23*Premissas!$C$18*(1-Premissas!$B$12*Premissas!$B$13)</f>
        <v>8375.44483680555</v>
      </c>
      <c r="D29" s="21" t="n">
        <f aca="false">D23*Premissas!$C$18*(1-Premissas!$B$12*Premissas!$B$13)</f>
        <v>16658.7597804062</v>
      </c>
      <c r="E29" s="21" t="n">
        <f aca="false">E23*Premissas!$C$18*(1-Premissas!$B$12*Premissas!$B$13)</f>
        <v>24850.3049749301</v>
      </c>
      <c r="F29" s="21" t="n">
        <f aca="false">F23*Premissas!$C$18*(1-Premissas!$B$12*Premissas!$B$13)</f>
        <v>32950.4707914854</v>
      </c>
      <c r="G29" s="21" t="n">
        <f aca="false">G23*Premissas!$C$18*(1-Premissas!$B$12*Premissas!$B$13)</f>
        <v>40959.676073028</v>
      </c>
      <c r="H29" s="21" t="n">
        <f aca="false">H23*Premissas!$C$18*(1-Premissas!$B$12*Premissas!$B$13)</f>
        <v>48878.3664536595</v>
      </c>
      <c r="I29" s="21" t="n">
        <f aca="false">I23*Premissas!$C$18*(1-Premissas!$B$12*Premissas!$B$13)</f>
        <v>56707.0127494625</v>
      </c>
      <c r="J29" s="21" t="n">
        <f aca="false">J23*Premissas!$C$18*(1-Premissas!$B$12*Premissas!$B$13)</f>
        <v>64446.1094180862</v>
      </c>
      <c r="K29" s="21" t="n">
        <f aca="false">K23*Premissas!$C$18*(1-Premissas!$B$12*Premissas!$B$13)</f>
        <v>72096.1730844005</v>
      </c>
      <c r="L29" s="21" t="n">
        <f aca="false">L23*Premissas!$C$18*(1-Premissas!$B$12*Premissas!$B$13)</f>
        <v>79657.7411296395</v>
      </c>
      <c r="M29" s="21" t="n">
        <f aca="false">M23*Premissas!$C$18*(1-Premissas!$B$12*Premissas!$B$13)</f>
        <v>87131.3703415522</v>
      </c>
      <c r="N29" s="21" t="n">
        <f aca="false">N23*Premissas!$C$18*(1-Premissas!$B$12*Premissas!$B$13)</f>
        <v>94517.6356231694</v>
      </c>
      <c r="O29" s="21" t="n">
        <f aca="false">O23*Premissas!$C$18*(1-Premissas!$B$12*Premissas!$B$13)</f>
        <v>118820.941687993</v>
      </c>
      <c r="P29" s="21" t="n">
        <f aca="false">P23*Premissas!$C$18*(1-Premissas!$B$12*Premissas!$B$13)</f>
        <v>142898.173113452</v>
      </c>
      <c r="Q29" s="21" t="n">
        <f aca="false">Q23*Premissas!$C$18*(1-Premissas!$B$12*Premissas!$B$13)</f>
        <v>166750.185715138</v>
      </c>
      <c r="R29" s="21" t="n">
        <f aca="false">R23*Premissas!$C$18*(1-Premissas!$B$12*Premissas!$B$13)</f>
        <v>190377.888107385</v>
      </c>
      <c r="S29" s="21" t="n">
        <f aca="false">S23*Premissas!$C$18*(1-Premissas!$B$12*Premissas!$B$13)</f>
        <v>213782.238853006</v>
      </c>
      <c r="T29" s="21" t="n">
        <f aca="false">T23*Premissas!$C$18*(1-Premissas!$B$12*Premissas!$B$13)</f>
        <v>236964.243724803</v>
      </c>
      <c r="U29" s="21" t="n">
        <f aca="false">U23*Premissas!$C$18*(1-Premissas!$B$12*Premissas!$B$13)</f>
        <v>259924.953074792</v>
      </c>
      <c r="V29" s="21" t="n">
        <f aca="false">V23*Premissas!$C$18*(1-Premissas!$B$12*Premissas!$B$13)</f>
        <v>282665.459307274</v>
      </c>
      <c r="W29" s="21" t="n">
        <f aca="false">W23*Premissas!$C$18*(1-Premissas!$B$12*Premissas!$B$13)</f>
        <v>305186.894451989</v>
      </c>
      <c r="X29" s="21" t="n">
        <f aca="false">X23*Premissas!$C$18*(1-Premissas!$B$12*Premissas!$B$13)</f>
        <v>327490.427833738</v>
      </c>
      <c r="Y29" s="21" t="n">
        <f aca="false">Y23*Premissas!$C$18*(1-Premissas!$B$12*Premissas!$B$13)</f>
        <v>349577.263834971</v>
      </c>
      <c r="Z29" s="21" t="n">
        <f aca="false">Z23*Premissas!$C$18*(1-Premissas!$B$12*Premissas!$B$13)</f>
        <v>371448.639747977</v>
      </c>
      <c r="AA29" s="21" t="n">
        <f aca="false">AA23*Premissas!$C$18*(1-Premissas!$B$12*Premissas!$B$13)</f>
        <v>425477.120011371</v>
      </c>
      <c r="AB29" s="21" t="n">
        <f aca="false">AB23*Premissas!$C$18*(1-Premissas!$B$12*Premissas!$B$13)</f>
        <v>479095.509691633</v>
      </c>
      <c r="AC29" s="21" t="n">
        <f aca="false">AC23*Premissas!$C$18*(1-Premissas!$B$12*Premissas!$B$13)</f>
        <v>532305.205055458</v>
      </c>
      <c r="AD29" s="21" t="n">
        <f aca="false">AD23*Premissas!$C$18*(1-Premissas!$B$12*Premissas!$B$13)</f>
        <v>585107.672166142</v>
      </c>
      <c r="AE29" s="21" t="n">
        <f aca="false">AE23*Premissas!$C$18*(1-Premissas!$B$12*Premissas!$B$13)</f>
        <v>637504.443390849</v>
      </c>
      <c r="AF29" s="21" t="n">
        <f aca="false">AF23*Premissas!$C$18*(1-Premissas!$B$12*Premissas!$B$13)</f>
        <v>689497.1140351</v>
      </c>
      <c r="AG29" s="21" t="n">
        <f aca="false">AG23*Premissas!$C$18*(1-Premissas!$B$12*Premissas!$B$13)</f>
        <v>741087.339100205</v>
      </c>
      <c r="AH29" s="21" t="n">
        <f aca="false">AH23*Premissas!$C$18*(1-Premissas!$B$12*Premissas!$B$13)</f>
        <v>792276.830159527</v>
      </c>
      <c r="AI29" s="21" t="n">
        <f aca="false">AI23*Premissas!$C$18*(1-Premissas!$B$12*Premissas!$B$13)</f>
        <v>843067.352349549</v>
      </c>
      <c r="AJ29" s="21" t="n">
        <f aca="false">AJ23*Premissas!$C$18*(1-Premissas!$B$12*Premissas!$B$13)</f>
        <v>893460.721471915</v>
      </c>
      <c r="AK29" s="21" t="n">
        <f aca="false">AK23*Premissas!$C$18*(1-Premissas!$B$12*Premissas!$B$13)</f>
        <v>943458.801202679</v>
      </c>
      <c r="AL29" s="21" t="n">
        <f aca="false">AL23*Premissas!$C$18*(1-Premissas!$B$12*Premissas!$B$13)</f>
        <v>993063.50040515</v>
      </c>
      <c r="AM29" s="21" t="n">
        <f aca="false">AM23*Premissas!$C$18*(1-Premissas!$B$12*Premissas!$B$13)</f>
        <v>1083589.75066815</v>
      </c>
      <c r="AN29" s="21" t="n">
        <f aca="false">AN23*Premissas!$C$18*(1-Premissas!$B$12*Premissas!$B$13)</f>
        <v>1173573.89085682</v>
      </c>
      <c r="AO29" s="21" t="n">
        <f aca="false">AO23*Premissas!$C$18*(1-Premissas!$B$12*Premissas!$B$13)</f>
        <v>1263017.05688446</v>
      </c>
      <c r="AP29" s="21" t="n">
        <f aca="false">AP23*Premissas!$C$18*(1-Premissas!$B$12*Premissas!$B$13)</f>
        <v>1351920.47067068</v>
      </c>
      <c r="AQ29" s="21" t="n">
        <f aca="false">AQ23*Premissas!$C$18*(1-Premissas!$B$12*Premissas!$B$13)</f>
        <v>1440285.43644136</v>
      </c>
      <c r="AR29" s="21" t="n">
        <f aca="false">AR23*Premissas!$C$18*(1-Premissas!$B$12*Premissas!$B$13)</f>
        <v>1528113.3371512</v>
      </c>
      <c r="AS29" s="21" t="n">
        <f aca="false">AS23*Premissas!$C$18*(1-Premissas!$B$12*Premissas!$B$13)</f>
        <v>1615405.63102496</v>
      </c>
      <c r="AT29" s="21" t="n">
        <f aca="false">AT23*Premissas!$C$18*(1-Premissas!$B$12*Premissas!$B$13)</f>
        <v>1702163.84821371</v>
      </c>
      <c r="AU29" s="21" t="n">
        <f aca="false">AU23*Premissas!$C$18*(1-Premissas!$B$12*Premissas!$B$13)</f>
        <v>1788389.58756259</v>
      </c>
      <c r="AV29" s="21" t="n">
        <f aca="false">AV23*Premissas!$C$18*(1-Premissas!$B$12*Premissas!$B$13)</f>
        <v>1874084.5134867</v>
      </c>
      <c r="AW29" s="21" t="n">
        <f aca="false">AW23*Premissas!$C$18*(1-Premissas!$B$12*Premissas!$B$13)</f>
        <v>1959250.35295157</v>
      </c>
      <c r="AX29" s="21" t="n">
        <f aca="false">AX23*Premissas!$C$18*(1-Premissas!$B$12*Premissas!$B$13)</f>
        <v>2043888.89255515</v>
      </c>
      <c r="AY29" s="21" t="n">
        <f aca="false">AY23*Premissas!$C$18*(1-Premissas!$B$12*Premissas!$B$13)</f>
        <v>2171941.88468725</v>
      </c>
      <c r="AZ29" s="21" t="n">
        <f aca="false">AZ23*Premissas!$C$18*(1-Premissas!$B$12*Premissas!$B$13)</f>
        <v>2299416.42121221</v>
      </c>
      <c r="BA29" s="21" t="n">
        <f aca="false">BA23*Premissas!$C$18*(1-Premissas!$B$12*Premissas!$B$13)</f>
        <v>2426313.44379785</v>
      </c>
      <c r="BB29" s="21" t="n">
        <f aca="false">BB23*Premissas!$C$18*(1-Premissas!$B$12*Premissas!$B$13)</f>
        <v>2552633.96368502</v>
      </c>
      <c r="BC29" s="21" t="n">
        <f aca="false">BC23*Premissas!$C$18*(1-Premissas!$B$12*Premissas!$B$13)</f>
        <v>2678379.05894803</v>
      </c>
      <c r="BD29" s="21" t="n">
        <f aca="false">BD23*Premissas!$C$18*(1-Premissas!$B$12*Premissas!$B$13)</f>
        <v>2803549.87183916</v>
      </c>
      <c r="BE29" s="21" t="n">
        <f aca="false">BE23*Premissas!$C$18*(1-Premissas!$B$12*Premissas!$B$13)</f>
        <v>2928147.60621493</v>
      </c>
      <c r="BF29" s="21" t="n">
        <f aca="false">BF23*Premissas!$C$18*(1-Premissas!$B$12*Premissas!$B$13)</f>
        <v>3052173.52504187</v>
      </c>
      <c r="BG29" s="21" t="n">
        <f aca="false">BG23*Premissas!$C$18*(1-Premissas!$B$12*Premissas!$B$13)</f>
        <v>3175628.94797928</v>
      </c>
      <c r="BH29" s="21" t="n">
        <f aca="false">BH23*Premissas!$C$18*(1-Premissas!$B$12*Premissas!$B$13)</f>
        <v>3298515.24903704</v>
      </c>
      <c r="BI29" s="21" t="n">
        <f aca="false">BI23*Premissas!$C$18*(1-Premissas!$B$12*Premissas!$B$13)</f>
        <v>3420833.8543061</v>
      </c>
      <c r="BJ29" s="21" t="n">
        <f aca="false">BJ23*Premissas!$C$18*(1-Premissas!$B$12*Premissas!$B$13)</f>
        <v>3542586.23975973</v>
      </c>
    </row>
    <row r="30" customFormat="false" ht="15" hidden="false" customHeight="false" outlineLevel="0" collapsed="false">
      <c r="A30" s="5" t="s">
        <v>235</v>
      </c>
      <c r="C30" s="21" t="n">
        <f aca="false">C24*Premissas!$D$18*(1-Premissas!$B$12*Premissas!$B$13)</f>
        <v>3597.71618958333</v>
      </c>
      <c r="D30" s="21" t="n">
        <f aca="false">D24*Premissas!$D$18*(1-Premissas!$B$12*Premissas!$B$13)</f>
        <v>7170.24836583958</v>
      </c>
      <c r="E30" s="21" t="n">
        <f aca="false">E24*Premissas!$D$18*(1-Premissas!$B$12*Premissas!$B$13)</f>
        <v>10717.3051137574</v>
      </c>
      <c r="F30" s="21" t="n">
        <f aca="false">F24*Premissas!$D$18*(1-Premissas!$B$12*Premissas!$B$13)</f>
        <v>14238.6175436265</v>
      </c>
      <c r="G30" s="21" t="n">
        <f aca="false">G24*Premissas!$D$18*(1-Premissas!$B$12*Premissas!$B$13)</f>
        <v>17733.9383982247</v>
      </c>
      <c r="H30" s="21" t="n">
        <f aca="false">H24*Premissas!$D$18*(1-Premissas!$B$12*Premissas!$B$13)</f>
        <v>21203.04119174</v>
      </c>
      <c r="I30" s="21" t="n">
        <f aca="false">I24*Premissas!$D$18*(1-Premissas!$B$12*Premissas!$B$13)</f>
        <v>24645.7193793154</v>
      </c>
      <c r="J30" s="21" t="n">
        <f aca="false">J24*Premissas!$D$18*(1-Premissas!$B$12*Premissas!$B$13)</f>
        <v>28061.7855561458</v>
      </c>
      <c r="K30" s="21" t="n">
        <f aca="false">K24*Premissas!$D$18*(1-Premissas!$B$12*Premissas!$B$13)</f>
        <v>31451.0706850933</v>
      </c>
      <c r="L30" s="21" t="n">
        <f aca="false">L24*Premissas!$D$18*(1-Premissas!$B$12*Premissas!$B$13)</f>
        <v>34813.4233518216</v>
      </c>
      <c r="M30" s="21" t="n">
        <f aca="false">M24*Premissas!$D$18*(1-Premissas!$B$12*Premissas!$B$13)</f>
        <v>38148.7090464894</v>
      </c>
      <c r="N30" s="21" t="n">
        <f aca="false">N24*Premissas!$D$18*(1-Premissas!$B$12*Premissas!$B$13)</f>
        <v>41456.8094710724</v>
      </c>
      <c r="O30" s="21" t="n">
        <f aca="false">O24*Premissas!$D$18*(1-Premissas!$B$12*Premissas!$B$13)</f>
        <v>55430.8983373514</v>
      </c>
      <c r="P30" s="21" t="n">
        <f aca="false">P24*Premissas!$D$18*(1-Premissas!$B$12*Premissas!$B$13)</f>
        <v>69321.2775937326</v>
      </c>
      <c r="Q30" s="21" t="n">
        <f aca="false">Q24*Premissas!$D$18*(1-Premissas!$B$12*Premissas!$B$13)</f>
        <v>83127.1779133343</v>
      </c>
      <c r="R30" s="21" t="n">
        <f aca="false">R24*Premissas!$D$18*(1-Premissas!$B$12*Premissas!$B$13)</f>
        <v>96847.8841610229</v>
      </c>
      <c r="S30" s="21" t="n">
        <f aca="false">S24*Premissas!$D$18*(1-Premissas!$B$12*Premissas!$B$13)</f>
        <v>110482.733455646</v>
      </c>
      <c r="T30" s="21" t="n">
        <f aca="false">T24*Premissas!$D$18*(1-Premissas!$B$12*Premissas!$B$13)</f>
        <v>124031.113295186</v>
      </c>
      <c r="U30" s="21" t="n">
        <f aca="false">U24*Premissas!$D$18*(1-Premissas!$B$12*Premissas!$B$13)</f>
        <v>137492.4597428</v>
      </c>
      <c r="V30" s="21" t="n">
        <f aca="false">V24*Premissas!$D$18*(1-Premissas!$B$12*Premissas!$B$13)</f>
        <v>150866.255671785</v>
      </c>
      <c r="W30" s="21" t="n">
        <f aca="false">W24*Premissas!$D$18*(1-Premissas!$B$12*Premissas!$B$13)</f>
        <v>164152.029067577</v>
      </c>
      <c r="X30" s="21" t="n">
        <f aca="false">X24*Premissas!$D$18*(1-Premissas!$B$12*Premissas!$B$13)</f>
        <v>177349.351384927</v>
      </c>
      <c r="Y30" s="21" t="n">
        <f aca="false">Y24*Premissas!$D$18*(1-Premissas!$B$12*Premissas!$B$13)</f>
        <v>190457.835958493</v>
      </c>
      <c r="Z30" s="21" t="n">
        <f aca="false">Z24*Premissas!$D$18*(1-Premissas!$B$12*Premissas!$B$13)</f>
        <v>203477.136465131</v>
      </c>
      <c r="AA30" s="21" t="n">
        <f aca="false">AA24*Premissas!$D$18*(1-Premissas!$B$12*Premissas!$B$13)</f>
        <v>239706.78764092</v>
      </c>
      <c r="AB30" s="21" t="n">
        <f aca="false">AB24*Premissas!$D$18*(1-Premissas!$B$12*Premissas!$B$13)</f>
        <v>275766.072089321</v>
      </c>
      <c r="AC30" s="21" t="n">
        <f aca="false">AC24*Premissas!$D$18*(1-Premissas!$B$12*Premissas!$B$13)</f>
        <v>311653.40587803</v>
      </c>
      <c r="AD30" s="21" t="n">
        <f aca="false">AD24*Premissas!$D$18*(1-Premissas!$B$12*Premissas!$B$13)</f>
        <v>347367.295135138</v>
      </c>
      <c r="AE30" s="21" t="n">
        <f aca="false">AE24*Premissas!$D$18*(1-Premissas!$B$12*Premissas!$B$13)</f>
        <v>382906.333187652</v>
      </c>
      <c r="AF30" s="21" t="n">
        <f aca="false">AF24*Premissas!$D$18*(1-Premissas!$B$12*Premissas!$B$13)</f>
        <v>418269.197784712</v>
      </c>
      <c r="AG30" s="21" t="n">
        <f aca="false">AG24*Premissas!$D$18*(1-Premissas!$B$12*Premissas!$B$13)</f>
        <v>453454.64840299</v>
      </c>
      <c r="AH30" s="21" t="n">
        <f aca="false">AH24*Premissas!$D$18*(1-Premissas!$B$12*Premissas!$B$13)</f>
        <v>488461.523631815</v>
      </c>
      <c r="AI30" s="21" t="n">
        <f aca="false">AI24*Premissas!$D$18*(1-Premissas!$B$12*Premissas!$B$13)</f>
        <v>523288.73863566</v>
      </c>
      <c r="AJ30" s="21" t="n">
        <f aca="false">AJ24*Premissas!$D$18*(1-Premissas!$B$12*Premissas!$B$13)</f>
        <v>557935.282691697</v>
      </c>
      <c r="AK30" s="21" t="n">
        <f aca="false">AK24*Premissas!$D$18*(1-Premissas!$B$12*Premissas!$B$13)</f>
        <v>592400.21680019</v>
      </c>
      <c r="AL30" s="21" t="n">
        <f aca="false">AL24*Premissas!$D$18*(1-Premissas!$B$12*Premissas!$B$13)</f>
        <v>626682.671365556</v>
      </c>
      <c r="AM30" s="21" t="n">
        <f aca="false">AM24*Premissas!$D$18*(1-Premissas!$B$12*Premissas!$B$13)</f>
        <v>691895.807583242</v>
      </c>
      <c r="AN30" s="21" t="n">
        <f aca="false">AN24*Premissas!$D$18*(1-Premissas!$B$12*Premissas!$B$13)</f>
        <v>756883.499222144</v>
      </c>
      <c r="AO30" s="21" t="n">
        <f aca="false">AO24*Premissas!$D$18*(1-Premissas!$B$12*Premissas!$B$13)</f>
        <v>821643.074924972</v>
      </c>
      <c r="AP30" s="21" t="n">
        <f aca="false">AP24*Premissas!$D$18*(1-Premissas!$B$12*Premissas!$B$13)</f>
        <v>886171.978638752</v>
      </c>
      <c r="AQ30" s="21" t="n">
        <f aca="false">AQ24*Premissas!$D$18*(1-Premissas!$B$12*Premissas!$B$13)</f>
        <v>950467.766380844</v>
      </c>
      <c r="AR30" s="21" t="n">
        <f aca="false">AR24*Premissas!$D$18*(1-Premissas!$B$12*Premissas!$B$13)</f>
        <v>1014528.10309201</v>
      </c>
      <c r="AS30" s="21" t="n">
        <f aca="false">AS24*Premissas!$D$18*(1-Premissas!$B$12*Premissas!$B$13)</f>
        <v>1078350.75957409</v>
      </c>
      <c r="AT30" s="21" t="n">
        <f aca="false">AT24*Premissas!$D$18*(1-Premissas!$B$12*Premissas!$B$13)</f>
        <v>1141933.60951008</v>
      </c>
      <c r="AU30" s="21" t="n">
        <f aca="false">AU24*Premissas!$D$18*(1-Premissas!$B$12*Premissas!$B$13)</f>
        <v>1205274.62656425</v>
      </c>
      <c r="AV30" s="21" t="n">
        <f aca="false">AV24*Premissas!$D$18*(1-Premissas!$B$12*Premissas!$B$13)</f>
        <v>1268371.88156017</v>
      </c>
      <c r="AW30" s="21" t="n">
        <f aca="false">AW24*Premissas!$D$18*(1-Premissas!$B$12*Premissas!$B$13)</f>
        <v>1331223.53973455</v>
      </c>
      <c r="AX30" s="21" t="n">
        <f aca="false">AX24*Premissas!$D$18*(1-Premissas!$B$12*Premissas!$B$13)</f>
        <v>1393827.85806477</v>
      </c>
      <c r="AY30" s="21" t="n">
        <f aca="false">AY24*Premissas!$D$18*(1-Premissas!$B$12*Premissas!$B$13)</f>
        <v>1500039.14760752</v>
      </c>
      <c r="AZ30" s="21" t="n">
        <f aca="false">AZ24*Premissas!$D$18*(1-Premissas!$B$12*Premissas!$B$13)</f>
        <v>1605983.72540926</v>
      </c>
      <c r="BA30" s="21" t="n">
        <f aca="false">BA24*Premissas!$D$18*(1-Premissas!$B$12*Premissas!$B$13)</f>
        <v>1711658.45101476</v>
      </c>
      <c r="BB30" s="21" t="n">
        <f aca="false">BB24*Premissas!$D$18*(1-Premissas!$B$12*Premissas!$B$13)</f>
        <v>1817060.29527714</v>
      </c>
      <c r="BC30" s="21" t="n">
        <f aca="false">BC24*Premissas!$D$18*(1-Premissas!$B$12*Premissas!$B$13)</f>
        <v>1922186.33756965</v>
      </c>
      <c r="BD30" s="21" t="n">
        <f aca="false">BD24*Premissas!$D$18*(1-Premissas!$B$12*Premissas!$B$13)</f>
        <v>2027033.76306613</v>
      </c>
      <c r="BE30" s="21" t="n">
        <f aca="false">BE24*Premissas!$D$18*(1-Premissas!$B$12*Premissas!$B$13)</f>
        <v>2131599.86008826</v>
      </c>
      <c r="BF30" s="21" t="n">
        <f aca="false">BF24*Premissas!$D$18*(1-Premissas!$B$12*Premissas!$B$13)</f>
        <v>2235882.01751808</v>
      </c>
      <c r="BG30" s="21" t="n">
        <f aca="false">BG24*Premissas!$D$18*(1-Premissas!$B$12*Premissas!$B$13)</f>
        <v>2339877.72227403</v>
      </c>
      <c r="BH30" s="21" t="n">
        <f aca="false">BH24*Premissas!$D$18*(1-Premissas!$B$12*Premissas!$B$13)</f>
        <v>2443584.55684892</v>
      </c>
      <c r="BI30" s="21" t="n">
        <f aca="false">BI24*Premissas!$D$18*(1-Premissas!$B$12*Premissas!$B$13)</f>
        <v>2547000.19690835</v>
      </c>
      <c r="BJ30" s="21" t="n">
        <f aca="false">BJ24*Premissas!$D$18*(1-Premissas!$B$12*Premissas!$B$13)</f>
        <v>2650122.40894801</v>
      </c>
    </row>
    <row r="31" customFormat="false" ht="15" hidden="false" customHeight="false" outlineLevel="0" collapsed="false">
      <c r="A31" s="5" t="s">
        <v>236</v>
      </c>
      <c r="C31" s="21" t="n">
        <f aca="false">C25*Premissas!$E$18*(1-Premissas!$B$12*Premissas!$B$13)</f>
        <v>0</v>
      </c>
      <c r="D31" s="21" t="n">
        <f aca="false">D25*Premissas!$E$18*(1-Premissas!$B$12*Premissas!$B$13)</f>
        <v>0</v>
      </c>
      <c r="E31" s="21" t="n">
        <f aca="false">E25*Premissas!$E$18*(1-Premissas!$B$12*Premissas!$B$13)</f>
        <v>0</v>
      </c>
      <c r="F31" s="21" t="n">
        <f aca="false">F25*Premissas!$E$18*(1-Premissas!$B$12*Premissas!$B$13)</f>
        <v>0</v>
      </c>
      <c r="G31" s="21" t="n">
        <f aca="false">G25*Premissas!$E$18*(1-Premissas!$B$12*Premissas!$B$13)</f>
        <v>0</v>
      </c>
      <c r="H31" s="21" t="n">
        <f aca="false">H25*Premissas!$E$18*(1-Premissas!$B$12*Premissas!$B$13)</f>
        <v>0</v>
      </c>
      <c r="I31" s="21" t="n">
        <f aca="false">I25*Premissas!$E$18*(1-Premissas!$B$12*Premissas!$B$13)</f>
        <v>0</v>
      </c>
      <c r="J31" s="21" t="n">
        <f aca="false">J25*Premissas!$E$18*(1-Premissas!$B$12*Premissas!$B$13)</f>
        <v>0</v>
      </c>
      <c r="K31" s="21" t="n">
        <f aca="false">K25*Premissas!$E$18*(1-Premissas!$B$12*Premissas!$B$13)</f>
        <v>0</v>
      </c>
      <c r="L31" s="21" t="n">
        <f aca="false">L25*Premissas!$E$18*(1-Premissas!$B$12*Premissas!$B$13)</f>
        <v>0</v>
      </c>
      <c r="M31" s="21" t="n">
        <f aca="false">M25*Premissas!$E$18*(1-Premissas!$B$12*Premissas!$B$13)</f>
        <v>0</v>
      </c>
      <c r="N31" s="21" t="n">
        <f aca="false">N25*Premissas!$E$18*(1-Premissas!$B$12*Premissas!$B$13)</f>
        <v>0</v>
      </c>
      <c r="O31" s="21" t="n">
        <f aca="false">O25*Premissas!$E$18*(1-Premissas!$B$12*Premissas!$B$13)</f>
        <v>5906.57080583036</v>
      </c>
      <c r="P31" s="21" t="n">
        <f aca="false">P25*Premissas!$E$18*(1-Premissas!$B$12*Premissas!$B$13)</f>
        <v>11795.7013484136</v>
      </c>
      <c r="Q31" s="21" t="n">
        <f aca="false">Q25*Premissas!$E$18*(1-Premissas!$B$12*Premissas!$B$13)</f>
        <v>17666.7226635735</v>
      </c>
      <c r="R31" s="21" t="n">
        <f aca="false">R25*Premissas!$E$18*(1-Premissas!$B$12*Premissas!$B$13)</f>
        <v>23518.991680833</v>
      </c>
      <c r="S31" s="21" t="n">
        <f aca="false">S25*Premissas!$E$18*(1-Premissas!$B$12*Premissas!$B$13)</f>
        <v>29351.8904652496</v>
      </c>
      <c r="T31" s="21" t="n">
        <f aca="false">T25*Premissas!$E$18*(1-Premissas!$B$12*Premissas!$B$13)</f>
        <v>35164.8254813382</v>
      </c>
      <c r="U31" s="21" t="n">
        <f aca="false">U25*Premissas!$E$18*(1-Premissas!$B$12*Premissas!$B$13)</f>
        <v>40957.2268784071</v>
      </c>
      <c r="V31" s="21" t="n">
        <f aca="false">V25*Premissas!$E$18*(1-Premissas!$B$12*Premissas!$B$13)</f>
        <v>46728.547796654</v>
      </c>
      <c r="W31" s="21" t="n">
        <f aca="false">W25*Premissas!$E$18*(1-Premissas!$B$12*Premissas!$B$13)</f>
        <v>52478.263693389</v>
      </c>
      <c r="X31" s="21" t="n">
        <f aca="false">X25*Premissas!$E$18*(1-Premissas!$B$12*Premissas!$B$13)</f>
        <v>58205.8716887732</v>
      </c>
      <c r="Y31" s="21" t="n">
        <f aca="false">Y25*Premissas!$E$18*(1-Premissas!$B$12*Premissas!$B$13)</f>
        <v>63910.8899304802</v>
      </c>
      <c r="Z31" s="21" t="n">
        <f aca="false">Z25*Premissas!$E$18*(1-Premissas!$B$12*Premissas!$B$13)</f>
        <v>69592.8569767052</v>
      </c>
      <c r="AA31" s="21" t="n">
        <f aca="false">AA25*Premissas!$E$18*(1-Premissas!$B$12*Premissas!$B$13)</f>
        <v>103103.539466932</v>
      </c>
      <c r="AB31" s="21" t="n">
        <f aca="false">AB25*Premissas!$E$18*(1-Premissas!$B$12*Premissas!$B$13)</f>
        <v>136545.047805786</v>
      </c>
      <c r="AC31" s="21" t="n">
        <f aca="false">AC25*Premissas!$E$18*(1-Premissas!$B$12*Premissas!$B$13)</f>
        <v>169914.438837187</v>
      </c>
      <c r="AD31" s="21" t="n">
        <f aca="false">AD25*Premissas!$E$18*(1-Premissas!$B$12*Premissas!$B$13)</f>
        <v>203208.864186874</v>
      </c>
      <c r="AE31" s="21" t="n">
        <f aca="false">AE25*Premissas!$E$18*(1-Premissas!$B$12*Premissas!$B$13)</f>
        <v>236425.567817836</v>
      </c>
      <c r="AF31" s="21" t="n">
        <f aca="false">AF25*Premissas!$E$18*(1-Premissas!$B$12*Premissas!$B$13)</f>
        <v>269561.88365033</v>
      </c>
      <c r="AG31" s="21" t="n">
        <f aca="false">AG25*Premissas!$E$18*(1-Premissas!$B$12*Premissas!$B$13)</f>
        <v>302615.233244673</v>
      </c>
      <c r="AH31" s="21" t="n">
        <f aca="false">AH25*Premissas!$E$18*(1-Premissas!$B$12*Premissas!$B$13)</f>
        <v>335583.123545042</v>
      </c>
      <c r="AI31" s="21" t="n">
        <f aca="false">AI25*Premissas!$E$18*(1-Premissas!$B$12*Premissas!$B$13)</f>
        <v>368463.144682572</v>
      </c>
      <c r="AJ31" s="21" t="n">
        <f aca="false">AJ25*Premissas!$E$18*(1-Premissas!$B$12*Premissas!$B$13)</f>
        <v>401252.967836084</v>
      </c>
      <c r="AK31" s="21" t="n">
        <f aca="false">AK25*Premissas!$E$18*(1-Premissas!$B$12*Premissas!$B$13)</f>
        <v>433950.343148848</v>
      </c>
      <c r="AL31" s="21" t="n">
        <f aca="false">AL25*Premissas!$E$18*(1-Premissas!$B$12*Premissas!$B$13)</f>
        <v>466553.09769979</v>
      </c>
      <c r="AM31" s="21" t="n">
        <f aca="false">AM25*Premissas!$E$18*(1-Premissas!$B$12*Premissas!$B$13)</f>
        <v>533985.417334196</v>
      </c>
      <c r="AN31" s="21" t="n">
        <f aca="false">AN25*Premissas!$E$18*(1-Premissas!$B$12*Premissas!$B$13)</f>
        <v>601349.556001181</v>
      </c>
      <c r="AO31" s="21" t="n">
        <f aca="false">AO25*Premissas!$E$18*(1-Premissas!$B$12*Premissas!$B$13)</f>
        <v>668640.323270545</v>
      </c>
      <c r="AP31" s="21" t="n">
        <f aca="false">AP25*Premissas!$E$18*(1-Premissas!$B$12*Premissas!$B$13)</f>
        <v>735852.665382407</v>
      </c>
      <c r="AQ31" s="21" t="n">
        <f aca="false">AQ25*Premissas!$E$18*(1-Premissas!$B$12*Premissas!$B$13)</f>
        <v>802981.662139324</v>
      </c>
      <c r="AR31" s="21" t="n">
        <f aca="false">AR25*Premissas!$E$18*(1-Premissas!$B$12*Premissas!$B$13)</f>
        <v>870022.523872949</v>
      </c>
      <c r="AS31" s="21" t="n">
        <f aca="false">AS25*Premissas!$E$18*(1-Premissas!$B$12*Premissas!$B$13)</f>
        <v>936970.588483296</v>
      </c>
      <c r="AT31" s="21" t="n">
        <f aca="false">AT25*Premissas!$E$18*(1-Premissas!$B$12*Premissas!$B$13)</f>
        <v>1003821.31854875</v>
      </c>
      <c r="AU31" s="21" t="n">
        <f aca="false">AU25*Premissas!$E$18*(1-Premissas!$B$12*Premissas!$B$13)</f>
        <v>1070570.29850496</v>
      </c>
      <c r="AV31" s="21" t="n">
        <f aca="false">AV25*Premissas!$E$18*(1-Premissas!$B$12*Premissas!$B$13)</f>
        <v>1137213.23189094</v>
      </c>
      <c r="AW31" s="21" t="n">
        <f aca="false">AW25*Premissas!$E$18*(1-Premissas!$B$12*Premissas!$B$13)</f>
        <v>1203745.93866049</v>
      </c>
      <c r="AX31" s="21" t="n">
        <f aca="false">AX25*Premissas!$E$18*(1-Premissas!$B$12*Premissas!$B$13)</f>
        <v>1270164.35255739</v>
      </c>
      <c r="AY31" s="21" t="n">
        <f aca="false">AY25*Premissas!$E$18*(1-Premissas!$B$12*Premissas!$B$13)</f>
        <v>1383444.92236712</v>
      </c>
      <c r="AZ31" s="21" t="n">
        <f aca="false">AZ25*Premissas!$E$18*(1-Premissas!$B$12*Premissas!$B$13)</f>
        <v>1496698.5947157</v>
      </c>
      <c r="BA31" s="21" t="n">
        <f aca="false">BA25*Premissas!$E$18*(1-Premissas!$B$12*Premissas!$B$13)</f>
        <v>1609918.62458538</v>
      </c>
      <c r="BB31" s="21" t="n">
        <f aca="false">BB25*Premissas!$E$18*(1-Premissas!$B$12*Premissas!$B$13)</f>
        <v>1723098.41145523</v>
      </c>
      <c r="BC31" s="21" t="n">
        <f aca="false">BC25*Premissas!$E$18*(1-Premissas!$B$12*Premissas!$B$13)</f>
        <v>1836231.49643587</v>
      </c>
      <c r="BD31" s="21" t="n">
        <f aca="false">BD25*Premissas!$E$18*(1-Premissas!$B$12*Premissas!$B$13)</f>
        <v>1949311.55946598</v>
      </c>
      <c r="BE31" s="21" t="n">
        <f aca="false">BE25*Premissas!$E$18*(1-Premissas!$B$12*Premissas!$B$13)</f>
        <v>2062332.41656927</v>
      </c>
      <c r="BF31" s="21" t="n">
        <f aca="false">BF25*Premissas!$E$18*(1-Premissas!$B$12*Premissas!$B$13)</f>
        <v>2175288.01717047</v>
      </c>
      <c r="BG31" s="21" t="n">
        <f aca="false">BG25*Premissas!$E$18*(1-Premissas!$B$12*Premissas!$B$13)</f>
        <v>2288172.44146883</v>
      </c>
      <c r="BH31" s="21" t="n">
        <f aca="false">BH25*Premissas!$E$18*(1-Premissas!$B$12*Premissas!$B$13)</f>
        <v>2400979.89786796</v>
      </c>
      <c r="BI31" s="21" t="n">
        <f aca="false">BI25*Premissas!$E$18*(1-Premissas!$B$12*Premissas!$B$13)</f>
        <v>2513704.72046045</v>
      </c>
      <c r="BJ31" s="21" t="n">
        <f aca="false">BJ25*Premissas!$E$18*(1-Premissas!$B$12*Premissas!$B$13)</f>
        <v>2626341.36656628</v>
      </c>
    </row>
    <row r="32" customFormat="false" ht="15" hidden="false" customHeight="false" outlineLevel="0" collapsed="false">
      <c r="A32" s="18" t="s">
        <v>237</v>
      </c>
      <c r="C32" s="30" t="n">
        <f aca="false">SUM(C28:C31)</f>
        <v>14828.2624513889</v>
      </c>
      <c r="D32" s="30" t="n">
        <f aca="false">SUM(D28:D31)</f>
        <v>29462.1232577708</v>
      </c>
      <c r="E32" s="30" t="n">
        <f aca="false">SUM(E28:E31)</f>
        <v>43904.1036803865</v>
      </c>
      <c r="F32" s="30" t="n">
        <f aca="false">SUM(F28:F31)</f>
        <v>58156.6928819989</v>
      </c>
      <c r="G32" s="30" t="n">
        <f aca="false">SUM(G28:G31)</f>
        <v>72222.3483219686</v>
      </c>
      <c r="H32" s="30" t="n">
        <f aca="false">SUM(H28:H31)</f>
        <v>86103.4961467881</v>
      </c>
      <c r="I32" s="30" t="n">
        <f aca="false">SUM(I28:I31)</f>
        <v>99802.5315761198</v>
      </c>
      <c r="J32" s="30" t="n">
        <f aca="false">SUM(J28:J31)</f>
        <v>113321.81928438</v>
      </c>
      <c r="K32" s="30" t="n">
        <f aca="false">SUM(K28:K31)</f>
        <v>126663.693777913</v>
      </c>
      <c r="L32" s="30" t="n">
        <f aca="false">SUM(L28:L31)</f>
        <v>139830.459767801</v>
      </c>
      <c r="M32" s="30" t="n">
        <f aca="false">SUM(M28:M31)</f>
        <v>152824.392538348</v>
      </c>
      <c r="N32" s="30" t="n">
        <f aca="false">SUM(N28:N31)</f>
        <v>165647.738311288</v>
      </c>
      <c r="O32" s="30" t="n">
        <f aca="false">SUM(O28:O31)</f>
        <v>216611.368335603</v>
      </c>
      <c r="P32" s="30" t="n">
        <f aca="false">SUM(P28:P31)</f>
        <v>267090.910259513</v>
      </c>
      <c r="Q32" s="30" t="n">
        <f aca="false">SUM(Q28:Q31)</f>
        <v>317090.320534505</v>
      </c>
      <c r="R32" s="30" t="n">
        <f aca="false">SUM(R28:R31)</f>
        <v>366613.542848852</v>
      </c>
      <c r="S32" s="30" t="n">
        <f aca="false">SUM(S28:S31)</f>
        <v>415664.50743881</v>
      </c>
      <c r="T32" s="30" t="n">
        <f aca="false">SUM(T28:T31)</f>
        <v>464247.130432393</v>
      </c>
      <c r="U32" s="30" t="n">
        <f aca="false">SUM(U28:U31)</f>
        <v>512365.313224568</v>
      </c>
      <c r="V32" s="30" t="n">
        <f aca="false">SUM(V28:V31)</f>
        <v>560022.941882744</v>
      </c>
      <c r="W32" s="30" t="n">
        <f aca="false">SUM(W28:W31)</f>
        <v>607223.886581481</v>
      </c>
      <c r="X32" s="30" t="n">
        <f aca="false">SUM(X28:X31)</f>
        <v>653972.001065369</v>
      </c>
      <c r="Y32" s="30" t="n">
        <f aca="false">SUM(Y28:Y31)</f>
        <v>700271.122139073</v>
      </c>
      <c r="Z32" s="30" t="n">
        <f aca="false">SUM(Z28:Z31)</f>
        <v>746125.069183564</v>
      </c>
      <c r="AA32" s="30" t="n">
        <f aca="false">SUM(AA28:AA31)</f>
        <v>882196.328890699</v>
      </c>
      <c r="AB32" s="30" t="n">
        <f aca="false">SUM(AB28:AB31)</f>
        <v>1017377.19684217</v>
      </c>
      <c r="AC32" s="30" t="n">
        <f aca="false">SUM(AC28:AC31)</f>
        <v>1151670.92056261</v>
      </c>
      <c r="AD32" s="30" t="n">
        <f aca="false">SUM(AD28:AD31)</f>
        <v>1285080.81136644</v>
      </c>
      <c r="AE32" s="30" t="n">
        <f aca="false">SUM(AE28:AE31)</f>
        <v>1417610.24148992</v>
      </c>
      <c r="AF32" s="30" t="n">
        <f aca="false">SUM(AF28:AF31)</f>
        <v>1549262.64131343</v>
      </c>
      <c r="AG32" s="30" t="n">
        <f aca="false">SUM(AG28:AG31)</f>
        <v>1680041.496671</v>
      </c>
      <c r="AH32" s="30" t="n">
        <f aca="false">SUM(AH28:AH31)</f>
        <v>1809950.34624465</v>
      </c>
      <c r="AI32" s="30" t="n">
        <f aca="false">SUM(AI28:AI31)</f>
        <v>1938992.77904084</v>
      </c>
      <c r="AJ32" s="30" t="n">
        <f aca="false">SUM(AJ28:AJ31)</f>
        <v>2067172.4319466</v>
      </c>
      <c r="AK32" s="30" t="n">
        <f aca="false">SUM(AK28:AK31)</f>
        <v>2194492.98736297</v>
      </c>
      <c r="AL32" s="30" t="n">
        <f aca="false">SUM(AL28:AL31)</f>
        <v>2320958.17091331</v>
      </c>
      <c r="AM32" s="30" t="n">
        <f aca="false">SUM(AM28:AM31)</f>
        <v>2562851.01888401</v>
      </c>
      <c r="AN32" s="30" t="n">
        <f aca="false">SUM(AN28:AN31)</f>
        <v>2803599.35639008</v>
      </c>
      <c r="AO32" s="30" t="n">
        <f aca="false">SUM(AO28:AO31)</f>
        <v>3043203.92864137</v>
      </c>
      <c r="AP32" s="30" t="n">
        <f aca="false">SUM(AP28:AP31)</f>
        <v>3281665.61171152</v>
      </c>
      <c r="AQ32" s="30" t="n">
        <f aca="false">SUM(AQ28:AQ31)</f>
        <v>3518985.40844804</v>
      </c>
      <c r="AR32" s="30" t="n">
        <f aca="false">SUM(AR28:AR31)</f>
        <v>3755164.44449361</v>
      </c>
      <c r="AS32" s="30" t="n">
        <f aca="false">SUM(AS28:AS31)</f>
        <v>3990203.96441593</v>
      </c>
      <c r="AT32" s="30" t="n">
        <f aca="false">SUM(AT28:AT31)</f>
        <v>4224105.32794274</v>
      </c>
      <c r="AU32" s="30" t="n">
        <f aca="false">SUM(AU28:AU31)</f>
        <v>4456870.00629944</v>
      </c>
      <c r="AV32" s="30" t="n">
        <f aca="false">SUM(AV28:AV31)</f>
        <v>4688499.57864636</v>
      </c>
      <c r="AW32" s="30" t="n">
        <f aca="false">SUM(AW28:AW31)</f>
        <v>4918995.72861293</v>
      </c>
      <c r="AX32" s="30" t="n">
        <f aca="false">SUM(AX28:AX31)</f>
        <v>5148360.24092618</v>
      </c>
      <c r="AY32" s="30" t="n">
        <f aca="false">SUM(AY28:AY31)</f>
        <v>5518052.3965605</v>
      </c>
      <c r="AZ32" s="30" t="n">
        <f aca="false">SUM(AZ28:AZ31)</f>
        <v>5886583.67602738</v>
      </c>
      <c r="BA32" s="30" t="n">
        <f aca="false">SUM(BA28:BA31)</f>
        <v>6253951.49326943</v>
      </c>
      <c r="BB32" s="30" t="n">
        <f aca="false">SUM(BB28:BB31)</f>
        <v>6620153.42369411</v>
      </c>
      <c r="BC32" s="30" t="n">
        <f aca="false">SUM(BC28:BC31)</f>
        <v>6985187.2001488</v>
      </c>
      <c r="BD32" s="30" t="n">
        <f aca="false">SUM(BD28:BD31)</f>
        <v>7349050.70899328</v>
      </c>
      <c r="BE32" s="30" t="n">
        <f aca="false">SUM(BE28:BE31)</f>
        <v>7711741.98626709</v>
      </c>
      <c r="BF32" s="30" t="n">
        <f aca="false">SUM(BF28:BF31)</f>
        <v>8073259.21394941</v>
      </c>
      <c r="BG32" s="30" t="n">
        <f aca="false">SUM(BG28:BG31)</f>
        <v>8433600.71630925</v>
      </c>
      <c r="BH32" s="30" t="n">
        <f aca="false">SUM(BH28:BH31)</f>
        <v>8792764.95634347</v>
      </c>
      <c r="BI32" s="30" t="n">
        <f aca="false">SUM(BI28:BI31)</f>
        <v>9150750.53230063</v>
      </c>
      <c r="BJ32" s="30" t="n">
        <f aca="false">SUM(BJ28:BJ31)</f>
        <v>9507556.1742885</v>
      </c>
    </row>
    <row r="33" customFormat="false" ht="15" hidden="false" customHeight="false" outlineLevel="0" collapsed="false">
      <c r="A33" s="5" t="s">
        <v>124</v>
      </c>
      <c r="C33" s="21" t="n">
        <f aca="false">C14*Premissas!$B$19+C15*Premissas!$C$19+C16*Premissas!$D$19+C17*Premissas!$E$19</f>
        <v>8656.85555555555</v>
      </c>
      <c r="D33" s="21" t="n">
        <f aca="false">D14*Premissas!$B$19+D15*Premissas!$C$19+D16*Premissas!$D$19+D17*Premissas!$E$19</f>
        <v>8769.39467777778</v>
      </c>
      <c r="E33" s="21" t="n">
        <f aca="false">E14*Premissas!$B$19+E15*Premissas!$C$19+E16*Premissas!$D$19+E17*Premissas!$E$19</f>
        <v>8880.02063492222</v>
      </c>
      <c r="F33" s="21" t="n">
        <f aca="false">F14*Premissas!$B$19+F15*Premissas!$C$19+F16*Premissas!$D$19+F17*Premissas!$E$19</f>
        <v>8988.77360345552</v>
      </c>
      <c r="G33" s="21" t="n">
        <f aca="false">G14*Premissas!$B$19+G15*Premissas!$C$19+G16*Premissas!$D$19+G17*Premissas!$E$19</f>
        <v>9095.69269556183</v>
      </c>
      <c r="H33" s="21" t="n">
        <f aca="false">H14*Premissas!$B$19+H15*Premissas!$C$19+H16*Premissas!$D$19+H17*Premissas!$E$19</f>
        <v>9200.8159925369</v>
      </c>
      <c r="I33" s="21" t="n">
        <f aca="false">I14*Premissas!$B$19+I15*Premissas!$C$19+I16*Premissas!$D$19+I17*Premissas!$E$19</f>
        <v>9304.18057703597</v>
      </c>
      <c r="J33" s="21" t="n">
        <f aca="false">J14*Premissas!$B$19+J15*Premissas!$C$19+J16*Premissas!$D$19+J17*Premissas!$E$19</f>
        <v>9405.82256421648</v>
      </c>
      <c r="K33" s="21" t="n">
        <f aca="false">K14*Premissas!$B$19+K15*Premissas!$C$19+K16*Premissas!$D$19+K17*Premissas!$E$19</f>
        <v>9505.77713181492</v>
      </c>
      <c r="L33" s="21" t="n">
        <f aca="false">L14*Premissas!$B$19+L15*Premissas!$C$19+L16*Premissas!$D$19+L17*Premissas!$E$19</f>
        <v>9604.07854919602</v>
      </c>
      <c r="M33" s="21" t="n">
        <f aca="false">M14*Premissas!$B$19+M15*Premissas!$C$19+M16*Premissas!$D$19+M17*Premissas!$E$19</f>
        <v>9700.76020541069</v>
      </c>
      <c r="N33" s="21" t="n">
        <f aca="false">N14*Premissas!$B$19+N15*Premissas!$C$19+N16*Premissas!$D$19+N17*Premissas!$E$19</f>
        <v>9795.8546362982</v>
      </c>
      <c r="O33" s="21" t="n">
        <f aca="false">O14*Premissas!$B$19+O15*Premissas!$C$19+O16*Premissas!$D$19+O17*Premissas!$E$19</f>
        <v>34230.9923060406</v>
      </c>
      <c r="P33" s="21" t="n">
        <f aca="false">P14*Premissas!$B$19+P15*Premissas!$C$19+P16*Premissas!$D$19+P17*Premissas!$E$19</f>
        <v>34633.799058043</v>
      </c>
      <c r="Q33" s="21" t="n">
        <f aca="false">Q14*Premissas!$B$19+Q15*Premissas!$C$19+Q16*Premissas!$D$19+Q17*Premissas!$E$19</f>
        <v>35031.2410879312</v>
      </c>
      <c r="R33" s="21" t="n">
        <f aca="false">R14*Premissas!$B$19+R15*Premissas!$C$19+R16*Premissas!$D$19+R17*Premissas!$E$19</f>
        <v>35423.4113920019</v>
      </c>
      <c r="S33" s="21" t="n">
        <f aca="false">S14*Premissas!$B$19+S15*Premissas!$C$19+S16*Premissas!$D$19+S17*Premissas!$E$19</f>
        <v>35810.4007816279</v>
      </c>
      <c r="T33" s="21" t="n">
        <f aca="false">T14*Premissas!$B$19+T15*Premissas!$C$19+T16*Premissas!$D$19+T17*Premissas!$E$19</f>
        <v>36192.2979465872</v>
      </c>
      <c r="U33" s="21" t="n">
        <f aca="false">U14*Premissas!$B$19+U15*Premissas!$C$19+U16*Premissas!$D$19+U17*Premissas!$E$19</f>
        <v>36569.1895163669</v>
      </c>
      <c r="V33" s="21" t="n">
        <f aca="false">V14*Premissas!$B$19+V15*Premissas!$C$19+V16*Premissas!$D$19+V17*Premissas!$E$19</f>
        <v>36941.160119508</v>
      </c>
      <c r="W33" s="21" t="n">
        <f aca="false">W14*Premissas!$B$19+W15*Premissas!$C$19+W16*Premissas!$D$19+W17*Premissas!$E$19</f>
        <v>37308.292441056</v>
      </c>
      <c r="X33" s="21" t="n">
        <f aca="false">X14*Premissas!$B$19+X15*Premissas!$C$19+X16*Premissas!$D$19+X17*Premissas!$E$19</f>
        <v>37670.6672781815</v>
      </c>
      <c r="Y33" s="21" t="n">
        <f aca="false">Y14*Premissas!$B$19+Y15*Premissas!$C$19+Y16*Premissas!$D$19+Y17*Premissas!$E$19</f>
        <v>38028.3635940299</v>
      </c>
      <c r="Z33" s="21" t="n">
        <f aca="false">Z14*Premissas!$B$19+Z15*Premissas!$C$19+Z16*Premissas!$D$19+Z17*Premissas!$E$19</f>
        <v>38381.4585698608</v>
      </c>
      <c r="AA33" s="21" t="n">
        <f aca="false">AA14*Premissas!$B$19+AA15*Premissas!$C$19+AA16*Premissas!$D$19+AA17*Premissas!$E$19</f>
        <v>99626.8716066098</v>
      </c>
      <c r="AB33" s="21" t="n">
        <f aca="false">AB14*Premissas!$B$19+AB15*Premissas!$C$19+AB16*Premissas!$D$19+AB17*Premissas!$E$19</f>
        <v>100739.123628768</v>
      </c>
      <c r="AC33" s="21" t="n">
        <f aca="false">AC14*Premissas!$B$19+AC15*Premissas!$C$19+AC16*Premissas!$D$19+AC17*Premissas!$E$19</f>
        <v>101840.156170466</v>
      </c>
      <c r="AD33" s="21" t="n">
        <f aca="false">AD14*Premissas!$B$19+AD15*Premissas!$C$19+AD16*Premissas!$D$19+AD17*Premissas!$E$19</f>
        <v>102930.128054646</v>
      </c>
      <c r="AE33" s="21" t="n">
        <f aca="false">AE14*Premissas!$B$19+AE15*Premissas!$C$19+AE16*Premissas!$D$19+AE17*Premissas!$E$19</f>
        <v>104009.194747032</v>
      </c>
      <c r="AF33" s="21" t="n">
        <f aca="false">AF14*Premissas!$B$19+AF15*Premissas!$C$19+AF16*Premissas!$D$19+AF17*Premissas!$E$19</f>
        <v>105077.508447181</v>
      </c>
      <c r="AG33" s="21" t="n">
        <f aca="false">AG14*Premissas!$B$19+AG15*Premissas!$C$19+AG16*Premissas!$D$19+AG17*Premissas!$E$19</f>
        <v>106135.218176791</v>
      </c>
      <c r="AH33" s="21" t="n">
        <f aca="false">AH14*Premissas!$B$19+AH15*Premissas!$C$19+AH16*Premissas!$D$19+AH17*Premissas!$E$19</f>
        <v>107182.469865383</v>
      </c>
      <c r="AI33" s="21" t="n">
        <f aca="false">AI14*Premissas!$B$19+AI15*Premissas!$C$19+AI16*Premissas!$D$19+AI17*Premissas!$E$19</f>
        <v>108219.406433407</v>
      </c>
      <c r="AJ33" s="21" t="n">
        <f aca="false">AJ14*Premissas!$B$19+AJ15*Premissas!$C$19+AJ16*Premissas!$D$19+AJ17*Premissas!$E$19</f>
        <v>109246.167872881</v>
      </c>
      <c r="AK33" s="21" t="n">
        <f aca="false">AK14*Premissas!$B$19+AK15*Premissas!$C$19+AK16*Premissas!$D$19+AK17*Premissas!$E$19</f>
        <v>110262.891325613</v>
      </c>
      <c r="AL33" s="21" t="n">
        <f aca="false">AL14*Premissas!$B$19+AL15*Premissas!$C$19+AL16*Premissas!$D$19+AL17*Premissas!$E$19</f>
        <v>111269.711159102</v>
      </c>
      <c r="AM33" s="21" t="n">
        <f aca="false">AM14*Premissas!$B$19+AM15*Premissas!$C$19+AM16*Premissas!$D$19+AM17*Premissas!$E$19</f>
        <v>189250.125728523</v>
      </c>
      <c r="AN33" s="21" t="n">
        <f aca="false">AN14*Premissas!$B$19+AN15*Premissas!$C$19+AN16*Premissas!$D$19+AN17*Premissas!$E$19</f>
        <v>191244.706815831</v>
      </c>
      <c r="AO33" s="21" t="n">
        <f aca="false">AO14*Premissas!$B$19+AO15*Premissas!$C$19+AO16*Premissas!$D$19+AO17*Premissas!$E$19</f>
        <v>193223.682064457</v>
      </c>
      <c r="AP33" s="21" t="n">
        <f aca="false">AP14*Premissas!$B$19+AP15*Premissas!$C$19+AP16*Premissas!$D$19+AP17*Premissas!$E$19</f>
        <v>195187.237514425</v>
      </c>
      <c r="AQ33" s="21" t="n">
        <f aca="false">AQ14*Premissas!$B$19+AQ15*Premissas!$C$19+AQ16*Premissas!$D$19+AQ17*Premissas!$E$19</f>
        <v>197135.55557526</v>
      </c>
      <c r="AR33" s="21" t="n">
        <f aca="false">AR14*Premissas!$B$19+AR15*Premissas!$C$19+AR16*Premissas!$D$19+AR17*Premissas!$E$19</f>
        <v>199068.81511853</v>
      </c>
      <c r="AS33" s="21" t="n">
        <f aca="false">AS14*Premissas!$B$19+AS15*Premissas!$C$19+AS16*Premissas!$D$19+AS17*Premissas!$E$19</f>
        <v>200987.191567812</v>
      </c>
      <c r="AT33" s="21" t="n">
        <f aca="false">AT14*Premissas!$B$19+AT15*Premissas!$C$19+AT16*Premissas!$D$19+AT17*Premissas!$E$19</f>
        <v>202890.85698615</v>
      </c>
      <c r="AU33" s="21" t="n">
        <f aca="false">AU14*Premissas!$B$19+AU15*Premissas!$C$19+AU16*Premissas!$D$19+AU17*Premissas!$E$19</f>
        <v>204779.98016107</v>
      </c>
      <c r="AV33" s="21" t="n">
        <f aca="false">AV14*Premissas!$B$19+AV15*Premissas!$C$19+AV16*Premissas!$D$19+AV17*Premissas!$E$19</f>
        <v>206654.726687243</v>
      </c>
      <c r="AW33" s="21" t="n">
        <f aca="false">AW14*Premissas!$B$19+AW15*Premissas!$C$19+AW16*Premissas!$D$19+AW17*Premissas!$E$19</f>
        <v>208515.259046842</v>
      </c>
      <c r="AX33" s="21" t="n">
        <f aca="false">AX14*Premissas!$B$19+AX15*Premissas!$C$19+AX16*Premissas!$D$19+AX17*Premissas!$E$19</f>
        <v>210361.736687666</v>
      </c>
      <c r="AY33" s="21" t="n">
        <f aca="false">AY14*Premissas!$B$19+AY15*Premissas!$C$19+AY16*Premissas!$D$19+AY17*Premissas!$E$19</f>
        <v>307052.266281442</v>
      </c>
      <c r="AZ33" s="21" t="n">
        <f aca="false">AZ14*Premissas!$B$19+AZ15*Premissas!$C$19+AZ16*Premissas!$D$19+AZ17*Premissas!$E$19</f>
        <v>310106.36359969</v>
      </c>
      <c r="BA33" s="21" t="n">
        <f aca="false">BA14*Premissas!$B$19+BA15*Premissas!$C$19+BA16*Premissas!$D$19+BA17*Premissas!$E$19</f>
        <v>313143.519845868</v>
      </c>
      <c r="BB33" s="21" t="n">
        <f aca="false">BB14*Premissas!$B$19+BB15*Premissas!$C$19+BB16*Premissas!$D$19+BB17*Premissas!$E$19</f>
        <v>316163.896385114</v>
      </c>
      <c r="BC33" s="21" t="n">
        <f aca="false">BC14*Premissas!$B$19+BC15*Premissas!$C$19+BC16*Premissas!$D$19+BC17*Premissas!$E$19</f>
        <v>319167.651678593</v>
      </c>
      <c r="BD33" s="21" t="n">
        <f aca="false">BD14*Premissas!$B$19+BD15*Premissas!$C$19+BD16*Premissas!$D$19+BD17*Premissas!$E$19</f>
        <v>322154.941353225</v>
      </c>
      <c r="BE33" s="21" t="n">
        <f aca="false">BE14*Premissas!$B$19+BE15*Premissas!$C$19+BE16*Premissas!$D$19+BE17*Premissas!$E$19</f>
        <v>325125.918269603</v>
      </c>
      <c r="BF33" s="21" t="n">
        <f aca="false">BF14*Premissas!$B$19+BF15*Premissas!$C$19+BF16*Premissas!$D$19+BF17*Premissas!$E$19</f>
        <v>328080.732588148</v>
      </c>
      <c r="BG33" s="21" t="n">
        <f aca="false">BG14*Premissas!$B$19+BG15*Premissas!$C$19+BG16*Premissas!$D$19+BG17*Premissas!$E$19</f>
        <v>331019.531833546</v>
      </c>
      <c r="BH33" s="21" t="n">
        <f aca="false">BH14*Premissas!$B$19+BH15*Premissas!$C$19+BH16*Premissas!$D$19+BH17*Premissas!$E$19</f>
        <v>333942.460957514</v>
      </c>
      <c r="BI33" s="21" t="n">
        <f aca="false">BI14*Premissas!$B$19+BI15*Premissas!$C$19+BI16*Premissas!$D$19+BI17*Premissas!$E$19</f>
        <v>336849.662399948</v>
      </c>
      <c r="BJ33" s="21" t="n">
        <f aca="false">BJ14*Premissas!$B$19+BJ15*Premissas!$C$19+BJ16*Premissas!$D$19+BJ17*Premissas!$E$19</f>
        <v>339741.276148474</v>
      </c>
    </row>
    <row r="34" customFormat="false" ht="15" hidden="false" customHeight="false" outlineLevel="0" collapsed="false">
      <c r="A34" s="5" t="s">
        <v>125</v>
      </c>
      <c r="C34" s="21" t="n">
        <f aca="false">C32*INDEX(Premissas!$B$39:$F$39,C$4)*INDEX(Premissas!$B$50:$D$50,$B$2)</f>
        <v>889.695747083333</v>
      </c>
      <c r="D34" s="21" t="n">
        <f aca="false">D32*INDEX(Premissas!$B$39:$F$39,D$4)*INDEX(Premissas!$B$50:$D$50,$B$2)</f>
        <v>1767.72739546625</v>
      </c>
      <c r="E34" s="21" t="n">
        <f aca="false">E32*INDEX(Premissas!$B$39:$F$39,E$4)*INDEX(Premissas!$B$50:$D$50,$B$2)</f>
        <v>2634.24622082319</v>
      </c>
      <c r="F34" s="21" t="n">
        <f aca="false">F32*INDEX(Premissas!$B$39:$F$39,F$4)*INDEX(Premissas!$B$50:$D$50,$B$2)</f>
        <v>3489.40157291994</v>
      </c>
      <c r="G34" s="21" t="n">
        <f aca="false">G32*INDEX(Premissas!$B$39:$F$39,G$4)*INDEX(Premissas!$B$50:$D$50,$B$2)</f>
        <v>4333.34089931811</v>
      </c>
      <c r="H34" s="21" t="n">
        <f aca="false">H32*INDEX(Premissas!$B$39:$F$39,H$4)*INDEX(Premissas!$B$50:$D$50,$B$2)</f>
        <v>5166.20976880729</v>
      </c>
      <c r="I34" s="21" t="n">
        <f aca="false">I32*INDEX(Premissas!$B$39:$F$39,I$4)*INDEX(Premissas!$B$50:$D$50,$B$2)</f>
        <v>5988.15189456719</v>
      </c>
      <c r="J34" s="21" t="n">
        <f aca="false">J32*INDEX(Premissas!$B$39:$F$39,J$4)*INDEX(Premissas!$B$50:$D$50,$B$2)</f>
        <v>6799.30915706279</v>
      </c>
      <c r="K34" s="21" t="n">
        <f aca="false">K32*INDEX(Premissas!$B$39:$F$39,K$4)*INDEX(Premissas!$B$50:$D$50,$B$2)</f>
        <v>7599.82162667476</v>
      </c>
      <c r="L34" s="21" t="n">
        <f aca="false">L32*INDEX(Premissas!$B$39:$F$39,L$4)*INDEX(Premissas!$B$50:$D$50,$B$2)</f>
        <v>8389.82758606803</v>
      </c>
      <c r="M34" s="21" t="n">
        <f aca="false">M32*INDEX(Premissas!$B$39:$F$39,M$4)*INDEX(Premissas!$B$50:$D$50,$B$2)</f>
        <v>9169.46355230088</v>
      </c>
      <c r="N34" s="21" t="n">
        <f aca="false">N32*INDEX(Premissas!$B$39:$F$39,N$4)*INDEX(Premissas!$B$50:$D$50,$B$2)</f>
        <v>9938.86429867726</v>
      </c>
      <c r="O34" s="21" t="n">
        <f aca="false">O32*INDEX(Premissas!$B$39:$F$39,O$4)*INDEX(Premissas!$B$50:$D$50,$B$2)</f>
        <v>20794.6913602179</v>
      </c>
      <c r="P34" s="21" t="n">
        <f aca="false">P32*INDEX(Premissas!$B$39:$F$39,P$4)*INDEX(Premissas!$B$50:$D$50,$B$2)</f>
        <v>25640.7273849132</v>
      </c>
      <c r="Q34" s="21" t="n">
        <f aca="false">Q32*INDEX(Premissas!$B$39:$F$39,Q$4)*INDEX(Premissas!$B$50:$D$50,$B$2)</f>
        <v>30440.6707713125</v>
      </c>
      <c r="R34" s="21" t="n">
        <f aca="false">R32*INDEX(Premissas!$B$39:$F$39,R$4)*INDEX(Premissas!$B$50:$D$50,$B$2)</f>
        <v>35194.9001134898</v>
      </c>
      <c r="S34" s="21" t="n">
        <f aca="false">S32*INDEX(Premissas!$B$39:$F$39,S$4)*INDEX(Premissas!$B$50:$D$50,$B$2)</f>
        <v>39903.7927141258</v>
      </c>
      <c r="T34" s="21" t="n">
        <f aca="false">T32*INDEX(Premissas!$B$39:$F$39,T$4)*INDEX(Premissas!$B$50:$D$50,$B$2)</f>
        <v>44567.7245215098</v>
      </c>
      <c r="U34" s="21" t="n">
        <f aca="false">U32*INDEX(Premissas!$B$39:$F$39,U$4)*INDEX(Premissas!$B$50:$D$50,$B$2)</f>
        <v>49187.0700695586</v>
      </c>
      <c r="V34" s="21" t="n">
        <f aca="false">V32*INDEX(Premissas!$B$39:$F$39,V$4)*INDEX(Premissas!$B$50:$D$50,$B$2)</f>
        <v>53762.2024207434</v>
      </c>
      <c r="W34" s="21" t="n">
        <f aca="false">W32*INDEX(Premissas!$B$39:$F$39,W$4)*INDEX(Premissas!$B$50:$D$50,$B$2)</f>
        <v>58293.4931118221</v>
      </c>
      <c r="X34" s="21" t="n">
        <f aca="false">X32*INDEX(Premissas!$B$39:$F$39,X$4)*INDEX(Premissas!$B$50:$D$50,$B$2)</f>
        <v>62781.3121022754</v>
      </c>
      <c r="Y34" s="21" t="n">
        <f aca="false">Y32*INDEX(Premissas!$B$39:$F$39,Y$4)*INDEX(Premissas!$B$50:$D$50,$B$2)</f>
        <v>67226.027725351</v>
      </c>
      <c r="Z34" s="21" t="n">
        <f aca="false">Z32*INDEX(Premissas!$B$39:$F$39,Z$4)*INDEX(Premissas!$B$50:$D$50,$B$2)</f>
        <v>71628.0066416221</v>
      </c>
      <c r="AA34" s="21" t="n">
        <f aca="false">AA32*INDEX(Premissas!$B$39:$F$39,AA$4)*INDEX(Premissas!$B$50:$D$50,$B$2)</f>
        <v>116449.915413572</v>
      </c>
      <c r="AB34" s="21" t="n">
        <f aca="false">AB32*INDEX(Premissas!$B$39:$F$39,AB$4)*INDEX(Premissas!$B$50:$D$50,$B$2)</f>
        <v>134293.789983166</v>
      </c>
      <c r="AC34" s="21" t="n">
        <f aca="false">AC32*INDEX(Premissas!$B$39:$F$39,AC$4)*INDEX(Premissas!$B$50:$D$50,$B$2)</f>
        <v>152020.561514265</v>
      </c>
      <c r="AD34" s="21" t="n">
        <f aca="false">AD32*INDEX(Premissas!$B$39:$F$39,AD$4)*INDEX(Premissas!$B$50:$D$50,$B$2)</f>
        <v>169630.66710037</v>
      </c>
      <c r="AE34" s="21" t="n">
        <f aca="false">AE32*INDEX(Premissas!$B$39:$F$39,AE$4)*INDEX(Premissas!$B$50:$D$50,$B$2)</f>
        <v>187124.551876669</v>
      </c>
      <c r="AF34" s="21" t="n">
        <f aca="false">AF32*INDEX(Premissas!$B$39:$F$39,AF$4)*INDEX(Premissas!$B$50:$D$50,$B$2)</f>
        <v>204502.668653372</v>
      </c>
      <c r="AG34" s="21" t="n">
        <f aca="false">AG32*INDEX(Premissas!$B$39:$F$39,AG$4)*INDEX(Premissas!$B$50:$D$50,$B$2)</f>
        <v>221765.477560571</v>
      </c>
      <c r="AH34" s="21" t="n">
        <f aca="false">AH32*INDEX(Premissas!$B$39:$F$39,AH$4)*INDEX(Premissas!$B$50:$D$50,$B$2)</f>
        <v>238913.445704294</v>
      </c>
      <c r="AI34" s="21" t="n">
        <f aca="false">AI32*INDEX(Premissas!$B$39:$F$39,AI$4)*INDEX(Premissas!$B$50:$D$50,$B$2)</f>
        <v>255947.046833391</v>
      </c>
      <c r="AJ34" s="21" t="n">
        <f aca="false">AJ32*INDEX(Premissas!$B$39:$F$39,AJ$4)*INDEX(Premissas!$B$50:$D$50,$B$2)</f>
        <v>272866.761016952</v>
      </c>
      <c r="AK34" s="21" t="n">
        <f aca="false">AK32*INDEX(Premissas!$B$39:$F$39,AK$4)*INDEX(Premissas!$B$50:$D$50,$B$2)</f>
        <v>289673.074331912</v>
      </c>
      <c r="AL34" s="21" t="n">
        <f aca="false">AL32*INDEX(Premissas!$B$39:$F$39,AL$4)*INDEX(Premissas!$B$50:$D$50,$B$2)</f>
        <v>306366.478560557</v>
      </c>
      <c r="AM34" s="21" t="n">
        <f aca="false">AM32*INDEX(Premissas!$B$39:$F$39,AM$4)*INDEX(Premissas!$B$50:$D$50,$B$2)</f>
        <v>399804.758945905</v>
      </c>
      <c r="AN34" s="21" t="n">
        <f aca="false">AN32*INDEX(Premissas!$B$39:$F$39,AN$4)*INDEX(Premissas!$B$50:$D$50,$B$2)</f>
        <v>437361.499596853</v>
      </c>
      <c r="AO34" s="21" t="n">
        <f aca="false">AO32*INDEX(Premissas!$B$39:$F$39,AO$4)*INDEX(Premissas!$B$50:$D$50,$B$2)</f>
        <v>474739.812868053</v>
      </c>
      <c r="AP34" s="21" t="n">
        <f aca="false">AP32*INDEX(Premissas!$B$39:$F$39,AP$4)*INDEX(Premissas!$B$50:$D$50,$B$2)</f>
        <v>511939.835426997</v>
      </c>
      <c r="AQ34" s="21" t="n">
        <f aca="false">AQ32*INDEX(Premissas!$B$39:$F$39,AQ$4)*INDEX(Premissas!$B$50:$D$50,$B$2)</f>
        <v>548961.723717894</v>
      </c>
      <c r="AR34" s="21" t="n">
        <f aca="false">AR32*INDEX(Premissas!$B$39:$F$39,AR$4)*INDEX(Premissas!$B$50:$D$50,$B$2)</f>
        <v>585805.653341004</v>
      </c>
      <c r="AS34" s="21" t="n">
        <f aca="false">AS32*INDEX(Premissas!$B$39:$F$39,AS$4)*INDEX(Premissas!$B$50:$D$50,$B$2)</f>
        <v>622471.818448885</v>
      </c>
      <c r="AT34" s="21" t="n">
        <f aca="false">AT32*INDEX(Premissas!$B$39:$F$39,AT$4)*INDEX(Premissas!$B$50:$D$50,$B$2)</f>
        <v>658960.431159067</v>
      </c>
      <c r="AU34" s="21" t="n">
        <f aca="false">AU32*INDEX(Premissas!$B$39:$F$39,AU$4)*INDEX(Premissas!$B$50:$D$50,$B$2)</f>
        <v>695271.720982712</v>
      </c>
      <c r="AV34" s="21" t="n">
        <f aca="false">AV32*INDEX(Premissas!$B$39:$F$39,AV$4)*INDEX(Premissas!$B$50:$D$50,$B$2)</f>
        <v>731405.934268832</v>
      </c>
      <c r="AW34" s="21" t="n">
        <f aca="false">AW32*INDEX(Premissas!$B$39:$F$39,AW$4)*INDEX(Premissas!$B$50:$D$50,$B$2)</f>
        <v>767363.333663617</v>
      </c>
      <c r="AX34" s="21" t="n">
        <f aca="false">AX32*INDEX(Premissas!$B$39:$F$39,AX$4)*INDEX(Premissas!$B$50:$D$50,$B$2)</f>
        <v>803144.197584484</v>
      </c>
      <c r="AY34" s="21" t="n">
        <f aca="false">AY32*INDEX(Premissas!$B$39:$F$39,AY$4)*INDEX(Premissas!$B$50:$D$50,$B$2)</f>
        <v>993249.43138089</v>
      </c>
      <c r="AZ34" s="21" t="n">
        <f aca="false">AZ32*INDEX(Premissas!$B$39:$F$39,AZ$4)*INDEX(Premissas!$B$50:$D$50,$B$2)</f>
        <v>1059585.06168493</v>
      </c>
      <c r="BA34" s="21" t="n">
        <f aca="false">BA32*INDEX(Premissas!$B$39:$F$39,BA$4)*INDEX(Premissas!$B$50:$D$50,$B$2)</f>
        <v>1125711.2687885</v>
      </c>
      <c r="BB34" s="21" t="n">
        <f aca="false">BB32*INDEX(Premissas!$B$39:$F$39,BB$4)*INDEX(Premissas!$B$50:$D$50,$B$2)</f>
        <v>1191627.61626494</v>
      </c>
      <c r="BC34" s="21" t="n">
        <f aca="false">BC32*INDEX(Premissas!$B$39:$F$39,BC$4)*INDEX(Premissas!$B$50:$D$50,$B$2)</f>
        <v>1257333.69602678</v>
      </c>
      <c r="BD34" s="21" t="n">
        <f aca="false">BD32*INDEX(Premissas!$B$39:$F$39,BD$4)*INDEX(Premissas!$B$50:$D$50,$B$2)</f>
        <v>1322829.12761879</v>
      </c>
      <c r="BE34" s="21" t="n">
        <f aca="false">BE32*INDEX(Premissas!$B$39:$F$39,BE$4)*INDEX(Premissas!$B$50:$D$50,$B$2)</f>
        <v>1388113.55752808</v>
      </c>
      <c r="BF34" s="21" t="n">
        <f aca="false">BF32*INDEX(Premissas!$B$39:$F$39,BF$4)*INDEX(Premissas!$B$50:$D$50,$B$2)</f>
        <v>1453186.65851089</v>
      </c>
      <c r="BG34" s="21" t="n">
        <f aca="false">BG32*INDEX(Premissas!$B$39:$F$39,BG$4)*INDEX(Premissas!$B$50:$D$50,$B$2)</f>
        <v>1518048.12893567</v>
      </c>
      <c r="BH34" s="21" t="n">
        <f aca="false">BH32*INDEX(Premissas!$B$39:$F$39,BH$4)*INDEX(Premissas!$B$50:$D$50,$B$2)</f>
        <v>1582697.69214182</v>
      </c>
      <c r="BI34" s="21" t="n">
        <f aca="false">BI32*INDEX(Premissas!$B$39:$F$39,BI$4)*INDEX(Premissas!$B$50:$D$50,$B$2)</f>
        <v>1647135.09581411</v>
      </c>
      <c r="BJ34" s="21" t="n">
        <f aca="false">BJ32*INDEX(Premissas!$B$39:$F$39,BJ$4)*INDEX(Premissas!$B$50:$D$50,$B$2)</f>
        <v>1711360.11137193</v>
      </c>
    </row>
    <row r="35" customFormat="false" ht="15" hidden="false" customHeight="false" outlineLevel="0" collapsed="false">
      <c r="A35" s="18" t="s">
        <v>126</v>
      </c>
      <c r="C35" s="30" t="n">
        <f aca="false">C32+C33+C34</f>
        <v>24374.8137540278</v>
      </c>
      <c r="D35" s="30" t="n">
        <f aca="false">D32+D33+D34</f>
        <v>39999.2453310149</v>
      </c>
      <c r="E35" s="30" t="n">
        <f aca="false">E32+E33+E34</f>
        <v>55418.3705361319</v>
      </c>
      <c r="F35" s="30" t="n">
        <f aca="false">F32+F33+F34</f>
        <v>70634.8680583744</v>
      </c>
      <c r="G35" s="30" t="n">
        <f aca="false">G32+G33+G34</f>
        <v>85651.3819168485</v>
      </c>
      <c r="H35" s="30" t="n">
        <f aca="false">H32+H33+H34</f>
        <v>100470.521908132</v>
      </c>
      <c r="I35" s="30" t="n">
        <f aca="false">I32+I33+I34</f>
        <v>115094.864047723</v>
      </c>
      <c r="J35" s="30" t="n">
        <f aca="false">J32+J33+J34</f>
        <v>129526.951005659</v>
      </c>
      <c r="K35" s="30" t="n">
        <f aca="false">K32+K33+K34</f>
        <v>143769.292536402</v>
      </c>
      <c r="L35" s="30" t="n">
        <f aca="false">L32+L33+L34</f>
        <v>157824.365903065</v>
      </c>
      <c r="M35" s="30" t="n">
        <f aca="false">M32+M33+M34</f>
        <v>171694.616296059</v>
      </c>
      <c r="N35" s="30" t="n">
        <f aca="false">N32+N33+N34</f>
        <v>185382.457246263</v>
      </c>
      <c r="O35" s="30" t="n">
        <f aca="false">O32+O33+O34</f>
        <v>271637.052001862</v>
      </c>
      <c r="P35" s="30" t="n">
        <f aca="false">P32+P33+P34</f>
        <v>327365.436702469</v>
      </c>
      <c r="Q35" s="30" t="n">
        <f aca="false">Q32+Q33+Q34</f>
        <v>382562.232393749</v>
      </c>
      <c r="R35" s="30" t="n">
        <f aca="false">R32+R33+R34</f>
        <v>437231.854354344</v>
      </c>
      <c r="S35" s="30" t="n">
        <f aca="false">S32+S33+S34</f>
        <v>491378.700934564</v>
      </c>
      <c r="T35" s="30" t="n">
        <f aca="false">T32+T33+T34</f>
        <v>545007.15290049</v>
      </c>
      <c r="U35" s="30" t="n">
        <f aca="false">U32+U33+U34</f>
        <v>598121.572810494</v>
      </c>
      <c r="V35" s="30" t="n">
        <f aca="false">V32+V33+V34</f>
        <v>650726.304422996</v>
      </c>
      <c r="W35" s="30" t="n">
        <f aca="false">W32+W33+W34</f>
        <v>702825.672134359</v>
      </c>
      <c r="X35" s="30" t="n">
        <f aca="false">X32+X33+X34</f>
        <v>754423.980445826</v>
      </c>
      <c r="Y35" s="30" t="n">
        <f aca="false">Y32+Y33+Y34</f>
        <v>805525.513458454</v>
      </c>
      <c r="Z35" s="30" t="n">
        <f aca="false">Z32+Z33+Z34</f>
        <v>856134.534395047</v>
      </c>
      <c r="AA35" s="30" t="n">
        <f aca="false">AA32+AA33+AA34</f>
        <v>1098273.11591088</v>
      </c>
      <c r="AB35" s="30" t="n">
        <f aca="false">AB32+AB33+AB34</f>
        <v>1252410.1104541</v>
      </c>
      <c r="AC35" s="30" t="n">
        <f aca="false">AC32+AC33+AC34</f>
        <v>1405531.63824734</v>
      </c>
      <c r="AD35" s="30" t="n">
        <f aca="false">AD32+AD33+AD34</f>
        <v>1557641.60652145</v>
      </c>
      <c r="AE35" s="30" t="n">
        <f aca="false">AE32+AE33+AE34</f>
        <v>1708743.98811362</v>
      </c>
      <c r="AF35" s="30" t="n">
        <f aca="false">AF32+AF33+AF34</f>
        <v>1858842.81841398</v>
      </c>
      <c r="AG35" s="30" t="n">
        <f aca="false">AG32+AG33+AG34</f>
        <v>2007942.19240836</v>
      </c>
      <c r="AH35" s="30" t="n">
        <f aca="false">AH32+AH33+AH34</f>
        <v>2156046.26181433</v>
      </c>
      <c r="AI35" s="30" t="n">
        <f aca="false">AI32+AI33+AI34</f>
        <v>2303159.23230764</v>
      </c>
      <c r="AJ35" s="30" t="n">
        <f aca="false">AJ32+AJ33+AJ34</f>
        <v>2449285.36083644</v>
      </c>
      <c r="AK35" s="30" t="n">
        <f aca="false">AK32+AK33+AK34</f>
        <v>2594428.9530205</v>
      </c>
      <c r="AL35" s="30" t="n">
        <f aca="false">AL32+AL33+AL34</f>
        <v>2738594.36063297</v>
      </c>
      <c r="AM35" s="30" t="n">
        <f aca="false">AM32+AM33+AM34</f>
        <v>3151905.90355844</v>
      </c>
      <c r="AN35" s="30" t="n">
        <f aca="false">AN32+AN33+AN34</f>
        <v>3432205.56280276</v>
      </c>
      <c r="AO35" s="30" t="n">
        <f aca="false">AO32+AO33+AO34</f>
        <v>3711167.42357388</v>
      </c>
      <c r="AP35" s="30" t="n">
        <f aca="false">AP32+AP33+AP34</f>
        <v>3988792.68465295</v>
      </c>
      <c r="AQ35" s="30" t="n">
        <f aca="false">AQ32+AQ33+AQ34</f>
        <v>4265082.68774119</v>
      </c>
      <c r="AR35" s="30" t="n">
        <f aca="false">AR32+AR33+AR34</f>
        <v>4540038.91295315</v>
      </c>
      <c r="AS35" s="30" t="n">
        <f aca="false">AS32+AS33+AS34</f>
        <v>4813662.97443263</v>
      </c>
      <c r="AT35" s="30" t="n">
        <f aca="false">AT32+AT33+AT34</f>
        <v>5085956.61608795</v>
      </c>
      <c r="AU35" s="30" t="n">
        <f aca="false">AU32+AU33+AU34</f>
        <v>5356921.70744322</v>
      </c>
      <c r="AV35" s="30" t="n">
        <f aca="false">AV32+AV33+AV34</f>
        <v>5626560.23960243</v>
      </c>
      <c r="AW35" s="30" t="n">
        <f aca="false">AW32+AW33+AW34</f>
        <v>5894874.32132339</v>
      </c>
      <c r="AX35" s="30" t="n">
        <f aca="false">AX32+AX33+AX34</f>
        <v>6161866.17519833</v>
      </c>
      <c r="AY35" s="30" t="n">
        <f aca="false">AY32+AY33+AY34</f>
        <v>6818354.09422283</v>
      </c>
      <c r="AZ35" s="30" t="n">
        <f aca="false">AZ32+AZ33+AZ34</f>
        <v>7256275.101312</v>
      </c>
      <c r="BA35" s="30" t="n">
        <f aca="false">BA32+BA33+BA34</f>
        <v>7692806.2819038</v>
      </c>
      <c r="BB35" s="30" t="n">
        <f aca="false">BB32+BB33+BB34</f>
        <v>8127944.93634417</v>
      </c>
      <c r="BC35" s="30" t="n">
        <f aca="false">BC32+BC33+BC34</f>
        <v>8561688.54785418</v>
      </c>
      <c r="BD35" s="30" t="n">
        <f aca="false">BD32+BD33+BD34</f>
        <v>8994034.7779653</v>
      </c>
      <c r="BE35" s="30" t="n">
        <f aca="false">BE32+BE33+BE34</f>
        <v>9424981.46206477</v>
      </c>
      <c r="BF35" s="30" t="n">
        <f aca="false">BF32+BF33+BF34</f>
        <v>9854526.60504846</v>
      </c>
      <c r="BG35" s="30" t="n">
        <f aca="false">BG32+BG33+BG34</f>
        <v>10282668.3770785</v>
      </c>
      <c r="BH35" s="30" t="n">
        <f aca="false">BH32+BH33+BH34</f>
        <v>10709405.1094428</v>
      </c>
      <c r="BI35" s="30" t="n">
        <f aca="false">BI32+BI33+BI34</f>
        <v>11134735.2905147</v>
      </c>
      <c r="BJ35" s="30" t="n">
        <f aca="false">BJ32+BJ33+BJ34</f>
        <v>11558657.5618089</v>
      </c>
    </row>
    <row r="36" customFormat="false" ht="15" hidden="false" customHeight="false" outlineLevel="0" collapsed="false">
      <c r="A36" s="5" t="s">
        <v>238</v>
      </c>
      <c r="C36" s="21" t="n">
        <f aca="false">-C35*IF(SUMIFS($C$35:$BJ$35,$C$4:$BJ$4,C$4-1)&gt;Premissas!$B$8,Premissas!$B$7,Premissas!$B$6)</f>
        <v>-2681.22951294306</v>
      </c>
      <c r="D36" s="21" t="n">
        <f aca="false">-D35*IF(SUMIFS($C$35:$BJ$35,$C$4:$BJ$4,D$4-1)&gt;Premissas!$B$8,Premissas!$B$7,Premissas!$B$6)</f>
        <v>-4399.91698641163</v>
      </c>
      <c r="E36" s="21" t="n">
        <f aca="false">-E35*IF(SUMIFS($C$35:$BJ$35,$C$4:$BJ$4,E$4-1)&gt;Premissas!$B$8,Premissas!$B$7,Premissas!$B$6)</f>
        <v>-6096.02075897451</v>
      </c>
      <c r="F36" s="21" t="n">
        <f aca="false">-F35*IF(SUMIFS($C$35:$BJ$35,$C$4:$BJ$4,F$4-1)&gt;Premissas!$B$8,Premissas!$B$7,Premissas!$B$6)</f>
        <v>-7769.83548642118</v>
      </c>
      <c r="G36" s="21" t="n">
        <f aca="false">-G35*IF(SUMIFS($C$35:$BJ$35,$C$4:$BJ$4,G$4-1)&gt;Premissas!$B$8,Premissas!$B$7,Premissas!$B$6)</f>
        <v>-9421.65201085334</v>
      </c>
      <c r="H36" s="21" t="n">
        <f aca="false">-H35*IF(SUMIFS($C$35:$BJ$35,$C$4:$BJ$4,H$4-1)&gt;Premissas!$B$8,Premissas!$B$7,Premissas!$B$6)</f>
        <v>-11051.7574098946</v>
      </c>
      <c r="I36" s="21" t="n">
        <f aca="false">-I35*IF(SUMIFS($C$35:$BJ$35,$C$4:$BJ$4,I$4-1)&gt;Premissas!$B$8,Premissas!$B$7,Premissas!$B$6)</f>
        <v>-12660.4350452495</v>
      </c>
      <c r="J36" s="21" t="n">
        <f aca="false">-J35*IF(SUMIFS($C$35:$BJ$35,$C$4:$BJ$4,J$4-1)&gt;Premissas!$B$8,Premissas!$B$7,Premissas!$B$6)</f>
        <v>-14247.9646106225</v>
      </c>
      <c r="K36" s="21" t="n">
        <f aca="false">-K35*IF(SUMIFS($C$35:$BJ$35,$C$4:$BJ$4,K$4-1)&gt;Premissas!$B$8,Premissas!$B$7,Premissas!$B$6)</f>
        <v>-15814.6221790043</v>
      </c>
      <c r="L36" s="21" t="n">
        <f aca="false">-L35*IF(SUMIFS($C$35:$BJ$35,$C$4:$BJ$4,L$4-1)&gt;Premissas!$B$8,Premissas!$B$7,Premissas!$B$6)</f>
        <v>-17360.6802493371</v>
      </c>
      <c r="M36" s="21" t="n">
        <f aca="false">-M35*IF(SUMIFS($C$35:$BJ$35,$C$4:$BJ$4,M$4-1)&gt;Premissas!$B$8,Premissas!$B$7,Premissas!$B$6)</f>
        <v>-18886.4077925665</v>
      </c>
      <c r="N36" s="21" t="n">
        <f aca="false">-N35*IF(SUMIFS($C$35:$BJ$35,$C$4:$BJ$4,N$4-1)&gt;Premissas!$B$8,Premissas!$B$7,Premissas!$B$6)</f>
        <v>-20392.0702970889</v>
      </c>
      <c r="O36" s="21" t="n">
        <f aca="false">-O35*IF(SUMIFS($C$35:$BJ$35,$C$4:$BJ$4,O$4-1)&gt;Premissas!$B$8,Premissas!$B$7,Premissas!$B$6)</f>
        <v>-29880.0757202048</v>
      </c>
      <c r="P36" s="21" t="n">
        <f aca="false">-P35*IF(SUMIFS($C$35:$BJ$35,$C$4:$BJ$4,P$4-1)&gt;Premissas!$B$8,Premissas!$B$7,Premissas!$B$6)</f>
        <v>-36010.1980372716</v>
      </c>
      <c r="Q36" s="21" t="n">
        <f aca="false">-Q35*IF(SUMIFS($C$35:$BJ$35,$C$4:$BJ$4,Q$4-1)&gt;Premissas!$B$8,Premissas!$B$7,Premissas!$B$6)</f>
        <v>-42081.8455633123</v>
      </c>
      <c r="R36" s="21" t="n">
        <f aca="false">-R35*IF(SUMIFS($C$35:$BJ$35,$C$4:$BJ$4,R$4-1)&gt;Premissas!$B$8,Premissas!$B$7,Premissas!$B$6)</f>
        <v>-48095.5039789778</v>
      </c>
      <c r="S36" s="21" t="n">
        <f aca="false">-S35*IF(SUMIFS($C$35:$BJ$35,$C$4:$BJ$4,S$4-1)&gt;Premissas!$B$8,Premissas!$B$7,Premissas!$B$6)</f>
        <v>-54051.657102802</v>
      </c>
      <c r="T36" s="21" t="n">
        <f aca="false">-T35*IF(SUMIFS($C$35:$BJ$35,$C$4:$BJ$4,T$4-1)&gt;Premissas!$B$8,Premissas!$B$7,Premissas!$B$6)</f>
        <v>-59950.7868190539</v>
      </c>
      <c r="U36" s="21" t="n">
        <f aca="false">-U35*IF(SUMIFS($C$35:$BJ$35,$C$4:$BJ$4,U$4-1)&gt;Premissas!$B$8,Premissas!$B$7,Premissas!$B$6)</f>
        <v>-65793.3730091543</v>
      </c>
      <c r="V36" s="21" t="n">
        <f aca="false">-V35*IF(SUMIFS($C$35:$BJ$35,$C$4:$BJ$4,V$4-1)&gt;Premissas!$B$8,Premissas!$B$7,Premissas!$B$6)</f>
        <v>-71579.8934865295</v>
      </c>
      <c r="W36" s="21" t="n">
        <f aca="false">-W35*IF(SUMIFS($C$35:$BJ$35,$C$4:$BJ$4,W$4-1)&gt;Premissas!$B$8,Premissas!$B$7,Premissas!$B$6)</f>
        <v>-77310.8239347795</v>
      </c>
      <c r="X36" s="21" t="n">
        <f aca="false">-X35*IF(SUMIFS($C$35:$BJ$35,$C$4:$BJ$4,X$4-1)&gt;Premissas!$B$8,Premissas!$B$7,Premissas!$B$6)</f>
        <v>-82986.6378490408</v>
      </c>
      <c r="Y36" s="21" t="n">
        <f aca="false">-Y35*IF(SUMIFS($C$35:$BJ$35,$C$4:$BJ$4,Y$4-1)&gt;Premissas!$B$8,Premissas!$B$7,Premissas!$B$6)</f>
        <v>-88607.80648043</v>
      </c>
      <c r="Z36" s="21" t="n">
        <f aca="false">-Z35*IF(SUMIFS($C$35:$BJ$35,$C$4:$BJ$4,Z$4-1)&gt;Premissas!$B$8,Premissas!$B$7,Premissas!$B$6)</f>
        <v>-94174.7987834552</v>
      </c>
      <c r="AA36" s="21" t="n">
        <f aca="false">-AA35*IF(SUMIFS($C$35:$BJ$35,$C$4:$BJ$4,AA$4-1)&gt;Premissas!$B$8,Premissas!$B$7,Premissas!$B$6)</f>
        <v>-179347.999828247</v>
      </c>
      <c r="AB36" s="21" t="n">
        <f aca="false">-AB35*IF(SUMIFS($C$35:$BJ$35,$C$4:$BJ$4,AB$4-1)&gt;Premissas!$B$8,Premissas!$B$7,Premissas!$B$6)</f>
        <v>-204518.571037155</v>
      </c>
      <c r="AC36" s="21" t="n">
        <f aca="false">-AC35*IF(SUMIFS($C$35:$BJ$35,$C$4:$BJ$4,AC$4-1)&gt;Premissas!$B$8,Premissas!$B$7,Premissas!$B$6)</f>
        <v>-229523.316525791</v>
      </c>
      <c r="AD36" s="21" t="n">
        <f aca="false">-AD35*IF(SUMIFS($C$35:$BJ$35,$C$4:$BJ$4,AD$4-1)&gt;Premissas!$B$8,Premissas!$B$7,Premissas!$B$6)</f>
        <v>-254362.874344953</v>
      </c>
      <c r="AE36" s="21" t="n">
        <f aca="false">-AE35*IF(SUMIFS($C$35:$BJ$35,$C$4:$BJ$4,AE$4-1)&gt;Premissas!$B$8,Premissas!$B$7,Premissas!$B$6)</f>
        <v>-279037.893258954</v>
      </c>
      <c r="AF36" s="21" t="n">
        <f aca="false">-AF35*IF(SUMIFS($C$35:$BJ$35,$C$4:$BJ$4,AF$4-1)&gt;Premissas!$B$8,Premissas!$B$7,Premissas!$B$6)</f>
        <v>-303549.032247003</v>
      </c>
      <c r="AG36" s="21" t="n">
        <f aca="false">-AG35*IF(SUMIFS($C$35:$BJ$35,$C$4:$BJ$4,AG$4-1)&gt;Premissas!$B$8,Premissas!$B$7,Premissas!$B$6)</f>
        <v>-327896.960020285</v>
      </c>
      <c r="AH36" s="21" t="n">
        <f aca="false">-AH35*IF(SUMIFS($C$35:$BJ$35,$C$4:$BJ$4,AH$4-1)&gt;Premissas!$B$8,Premissas!$B$7,Premissas!$B$6)</f>
        <v>-352082.354554279</v>
      </c>
      <c r="AI36" s="21" t="n">
        <f aca="false">-AI35*IF(SUMIFS($C$35:$BJ$35,$C$4:$BJ$4,AI$4-1)&gt;Premissas!$B$8,Premissas!$B$7,Premissas!$B$6)</f>
        <v>-376105.902635837</v>
      </c>
      <c r="AJ36" s="21" t="n">
        <f aca="false">-AJ35*IF(SUMIFS($C$35:$BJ$35,$C$4:$BJ$4,AJ$4-1)&gt;Premissas!$B$8,Premissas!$B$7,Premissas!$B$6)</f>
        <v>-399968.29942459</v>
      </c>
      <c r="AK36" s="21" t="n">
        <f aca="false">-AK35*IF(SUMIFS($C$35:$BJ$35,$C$4:$BJ$4,AK$4-1)&gt;Premissas!$B$8,Premissas!$B$7,Premissas!$B$6)</f>
        <v>-423670.248028247</v>
      </c>
      <c r="AL36" s="21" t="n">
        <f aca="false">-AL35*IF(SUMIFS($C$35:$BJ$35,$C$4:$BJ$4,AL$4-1)&gt;Premissas!$B$8,Premissas!$B$7,Premissas!$B$6)</f>
        <v>-447212.459091363</v>
      </c>
      <c r="AM36" s="21" t="n">
        <f aca="false">-AM35*IF(SUMIFS($C$35:$BJ$35,$C$4:$BJ$4,AM$4-1)&gt;Premissas!$B$8,Premissas!$B$7,Premissas!$B$6)</f>
        <v>-514706.234051093</v>
      </c>
      <c r="AN36" s="21" t="n">
        <f aca="false">-AN35*IF(SUMIFS($C$35:$BJ$35,$C$4:$BJ$4,AN$4-1)&gt;Premissas!$B$8,Premissas!$B$7,Premissas!$B$6)</f>
        <v>-560479.168405692</v>
      </c>
      <c r="AO36" s="21" t="n">
        <f aca="false">-AO35*IF(SUMIFS($C$35:$BJ$35,$C$4:$BJ$4,AO$4-1)&gt;Premissas!$B$8,Premissas!$B$7,Premissas!$B$6)</f>
        <v>-606033.640269614</v>
      </c>
      <c r="AP36" s="21" t="n">
        <f aca="false">-AP35*IF(SUMIFS($C$35:$BJ$35,$C$4:$BJ$4,AP$4-1)&gt;Premissas!$B$8,Premissas!$B$7,Premissas!$B$6)</f>
        <v>-651369.845403826</v>
      </c>
      <c r="AQ36" s="21" t="n">
        <f aca="false">-AQ35*IF(SUMIFS($C$35:$BJ$35,$C$4:$BJ$4,AQ$4-1)&gt;Premissas!$B$8,Premissas!$B$7,Premissas!$B$6)</f>
        <v>-696488.002908136</v>
      </c>
      <c r="AR36" s="21" t="n">
        <f aca="false">-AR35*IF(SUMIFS($C$35:$BJ$35,$C$4:$BJ$4,AR$4-1)&gt;Premissas!$B$8,Premissas!$B$7,Premissas!$B$6)</f>
        <v>-741388.354485249</v>
      </c>
      <c r="AS36" s="21" t="n">
        <f aca="false">-AS35*IF(SUMIFS($C$35:$BJ$35,$C$4:$BJ$4,AS$4-1)&gt;Premissas!$B$8,Premissas!$B$7,Premissas!$B$6)</f>
        <v>-786071.163724848</v>
      </c>
      <c r="AT36" s="21" t="n">
        <f aca="false">-AT35*IF(SUMIFS($C$35:$BJ$35,$C$4:$BJ$4,AT$4-1)&gt;Premissas!$B$8,Premissas!$B$7,Premissas!$B$6)</f>
        <v>-830536.715407163</v>
      </c>
      <c r="AU36" s="21" t="n">
        <f aca="false">-AU35*IF(SUMIFS($C$35:$BJ$35,$C$4:$BJ$4,AU$4-1)&gt;Premissas!$B$8,Premissas!$B$7,Premissas!$B$6)</f>
        <v>-874785.314825477</v>
      </c>
      <c r="AV36" s="21" t="n">
        <f aca="false">-AV35*IF(SUMIFS($C$35:$BJ$35,$C$4:$BJ$4,AV$4-1)&gt;Premissas!$B$8,Premissas!$B$7,Premissas!$B$6)</f>
        <v>-918817.287127077</v>
      </c>
      <c r="AW36" s="21" t="n">
        <f aca="false">-AW35*IF(SUMIFS($C$35:$BJ$35,$C$4:$BJ$4,AW$4-1)&gt;Premissas!$B$8,Premissas!$B$7,Premissas!$B$6)</f>
        <v>-962632.976672109</v>
      </c>
      <c r="AX36" s="21" t="n">
        <f aca="false">-AX35*IF(SUMIFS($C$35:$BJ$35,$C$4:$BJ$4,AX$4-1)&gt;Premissas!$B$8,Premissas!$B$7,Premissas!$B$6)</f>
        <v>-1006232.74640989</v>
      </c>
      <c r="AY36" s="21" t="n">
        <f aca="false">-AY35*IF(SUMIFS($C$35:$BJ$35,$C$4:$BJ$4,AY$4-1)&gt;Premissas!$B$8,Premissas!$B$7,Premissas!$B$6)</f>
        <v>-1113437.22358659</v>
      </c>
      <c r="AZ36" s="21" t="n">
        <f aca="false">-AZ35*IF(SUMIFS($C$35:$BJ$35,$C$4:$BJ$4,AZ$4-1)&gt;Premissas!$B$8,Premissas!$B$7,Premissas!$B$6)</f>
        <v>-1184949.72404425</v>
      </c>
      <c r="BA36" s="21" t="n">
        <f aca="false">-BA35*IF(SUMIFS($C$35:$BJ$35,$C$4:$BJ$4,BA$4-1)&gt;Premissas!$B$8,Premissas!$B$7,Premissas!$B$6)</f>
        <v>-1256235.26583489</v>
      </c>
      <c r="BB36" s="21" t="n">
        <f aca="false">-BB35*IF(SUMIFS($C$35:$BJ$35,$C$4:$BJ$4,BB$4-1)&gt;Premissas!$B$8,Premissas!$B$7,Premissas!$B$6)</f>
        <v>-1327293.408105</v>
      </c>
      <c r="BC36" s="21" t="n">
        <f aca="false">-BC35*IF(SUMIFS($C$35:$BJ$35,$C$4:$BJ$4,BC$4-1)&gt;Premissas!$B$8,Premissas!$B$7,Premissas!$B$6)</f>
        <v>-1398123.73986459</v>
      </c>
      <c r="BD36" s="21" t="n">
        <f aca="false">-BD35*IF(SUMIFS($C$35:$BJ$35,$C$4:$BJ$4,BD$4-1)&gt;Premissas!$B$8,Premissas!$B$7,Premissas!$B$6)</f>
        <v>-1468725.87924173</v>
      </c>
      <c r="BE36" s="21" t="n">
        <f aca="false">-BE35*IF(SUMIFS($C$35:$BJ$35,$C$4:$BJ$4,BE$4-1)&gt;Premissas!$B$8,Premissas!$B$7,Premissas!$B$6)</f>
        <v>-1539099.47275518</v>
      </c>
      <c r="BF36" s="21" t="n">
        <f aca="false">-BF35*IF(SUMIFS($C$35:$BJ$35,$C$4:$BJ$4,BF$4-1)&gt;Premissas!$B$8,Premissas!$B$7,Premissas!$B$6)</f>
        <v>-1609244.19460441</v>
      </c>
      <c r="BG36" s="21" t="n">
        <f aca="false">-BG35*IF(SUMIFS($C$35:$BJ$35,$C$4:$BJ$4,BG$4-1)&gt;Premissas!$B$8,Premissas!$B$7,Premissas!$B$6)</f>
        <v>-1679159.74597691</v>
      </c>
      <c r="BH36" s="21" t="n">
        <f aca="false">-BH35*IF(SUMIFS($C$35:$BJ$35,$C$4:$BJ$4,BH$4-1)&gt;Premissas!$B$8,Premissas!$B$7,Premissas!$B$6)</f>
        <v>-1748845.85437201</v>
      </c>
      <c r="BI36" s="21" t="n">
        <f aca="false">-BI35*IF(SUMIFS($C$35:$BJ$35,$C$4:$BJ$4,BI$4-1)&gt;Premissas!$B$8,Premissas!$B$7,Premissas!$B$6)</f>
        <v>-1818302.27294105</v>
      </c>
      <c r="BJ36" s="21" t="n">
        <f aca="false">-BJ35*IF(SUMIFS($C$35:$BJ$35,$C$4:$BJ$4,BJ$4-1)&gt;Premissas!$B$8,Premissas!$B$7,Premissas!$B$6)</f>
        <v>-1887528.77984339</v>
      </c>
    </row>
    <row r="37" customFormat="false" ht="15" hidden="false" customHeight="false" outlineLevel="0" collapsed="false">
      <c r="A37" s="18" t="s">
        <v>128</v>
      </c>
      <c r="C37" s="30" t="n">
        <f aca="false">C35+C36</f>
        <v>21693.5842410847</v>
      </c>
      <c r="D37" s="30" t="n">
        <f aca="false">D35+D36</f>
        <v>35599.3283446032</v>
      </c>
      <c r="E37" s="30" t="n">
        <f aca="false">E35+E36</f>
        <v>49322.3497771574</v>
      </c>
      <c r="F37" s="30" t="n">
        <f aca="false">F35+F36</f>
        <v>62865.0325719532</v>
      </c>
      <c r="G37" s="30" t="n">
        <f aca="false">G35+G36</f>
        <v>76229.7299059952</v>
      </c>
      <c r="H37" s="30" t="n">
        <f aca="false">H35+H36</f>
        <v>89418.7644982377</v>
      </c>
      <c r="I37" s="30" t="n">
        <f aca="false">I35+I36</f>
        <v>102434.429002473</v>
      </c>
      <c r="J37" s="30" t="n">
        <f aca="false">J35+J36</f>
        <v>115278.986395037</v>
      </c>
      <c r="K37" s="30" t="n">
        <f aca="false">K35+K36</f>
        <v>127954.670357398</v>
      </c>
      <c r="L37" s="30" t="n">
        <f aca="false">L35+L36</f>
        <v>140463.685653728</v>
      </c>
      <c r="M37" s="30" t="n">
        <f aca="false">M35+M36</f>
        <v>152808.208503493</v>
      </c>
      <c r="N37" s="30" t="n">
        <f aca="false">N35+N36</f>
        <v>164990.386949174</v>
      </c>
      <c r="O37" s="30" t="n">
        <f aca="false">O35+O36</f>
        <v>241756.976281657</v>
      </c>
      <c r="P37" s="30" t="n">
        <f aca="false">P35+P36</f>
        <v>291355.238665197</v>
      </c>
      <c r="Q37" s="30" t="n">
        <f aca="false">Q35+Q36</f>
        <v>340480.386830436</v>
      </c>
      <c r="R37" s="30" t="n">
        <f aca="false">R35+R36</f>
        <v>389136.350375366</v>
      </c>
      <c r="S37" s="30" t="n">
        <f aca="false">S35+S36</f>
        <v>437327.043831762</v>
      </c>
      <c r="T37" s="30" t="n">
        <f aca="false">T35+T36</f>
        <v>485056.366081436</v>
      </c>
      <c r="U37" s="30" t="n">
        <f aca="false">U35+U36</f>
        <v>532328.199801339</v>
      </c>
      <c r="V37" s="30" t="n">
        <f aca="false">V35+V36</f>
        <v>579146.410936466</v>
      </c>
      <c r="W37" s="30" t="n">
        <f aca="false">W35+W36</f>
        <v>625514.848199579</v>
      </c>
      <c r="X37" s="30" t="n">
        <f aca="false">X35+X36</f>
        <v>671437.342596785</v>
      </c>
      <c r="Y37" s="30" t="n">
        <f aca="false">Y35+Y36</f>
        <v>716917.706978024</v>
      </c>
      <c r="Z37" s="30" t="n">
        <f aca="false">Z35+Z36</f>
        <v>761959.735611592</v>
      </c>
      <c r="AA37" s="30" t="n">
        <f aca="false">AA35+AA36</f>
        <v>918925.116082634</v>
      </c>
      <c r="AB37" s="30" t="n">
        <f aca="false">AB35+AB36</f>
        <v>1047891.53941695</v>
      </c>
      <c r="AC37" s="30" t="n">
        <f aca="false">AC35+AC36</f>
        <v>1176008.32172155</v>
      </c>
      <c r="AD37" s="30" t="n">
        <f aca="false">AD35+AD36</f>
        <v>1303278.7321765</v>
      </c>
      <c r="AE37" s="30" t="n">
        <f aca="false">AE35+AE36</f>
        <v>1429706.09485467</v>
      </c>
      <c r="AF37" s="30" t="n">
        <f aca="false">AF35+AF36</f>
        <v>1555293.78616698</v>
      </c>
      <c r="AG37" s="30" t="n">
        <f aca="false">AG35+AG36</f>
        <v>1680045.23238807</v>
      </c>
      <c r="AH37" s="30" t="n">
        <f aca="false">AH35+AH36</f>
        <v>1803963.90726005</v>
      </c>
      <c r="AI37" s="30" t="n">
        <f aca="false">AI35+AI36</f>
        <v>1927053.3296718</v>
      </c>
      <c r="AJ37" s="30" t="n">
        <f aca="false">AJ35+AJ36</f>
        <v>2049317.06141185</v>
      </c>
      <c r="AK37" s="30" t="n">
        <f aca="false">AK35+AK36</f>
        <v>2170758.70499225</v>
      </c>
      <c r="AL37" s="30" t="n">
        <f aca="false">AL35+AL36</f>
        <v>2291381.9015416</v>
      </c>
      <c r="AM37" s="30" t="n">
        <f aca="false">AM35+AM36</f>
        <v>2637199.66950734</v>
      </c>
      <c r="AN37" s="30" t="n">
        <f aca="false">AN35+AN36</f>
        <v>2871726.39439707</v>
      </c>
      <c r="AO37" s="30" t="n">
        <f aca="false">AO35+AO36</f>
        <v>3105133.78330426</v>
      </c>
      <c r="AP37" s="30" t="n">
        <f aca="false">AP35+AP36</f>
        <v>3337422.83924912</v>
      </c>
      <c r="AQ37" s="30" t="n">
        <f aca="false">AQ35+AQ36</f>
        <v>3568594.68483305</v>
      </c>
      <c r="AR37" s="30" t="n">
        <f aca="false">AR35+AR36</f>
        <v>3798650.5584679</v>
      </c>
      <c r="AS37" s="30" t="n">
        <f aca="false">AS35+AS36</f>
        <v>4027591.81070778</v>
      </c>
      <c r="AT37" s="30" t="n">
        <f aca="false">AT35+AT36</f>
        <v>4255419.90068079</v>
      </c>
      <c r="AU37" s="30" t="n">
        <f aca="false">AU35+AU36</f>
        <v>4482136.39261774</v>
      </c>
      <c r="AV37" s="30" t="n">
        <f aca="false">AV35+AV36</f>
        <v>4707742.95247535</v>
      </c>
      <c r="AW37" s="30" t="n">
        <f aca="false">AW35+AW36</f>
        <v>4932241.34465128</v>
      </c>
      <c r="AX37" s="30" t="n">
        <f aca="false">AX35+AX36</f>
        <v>5155633.42878844</v>
      </c>
      <c r="AY37" s="30" t="n">
        <f aca="false">AY35+AY36</f>
        <v>5704916.87063625</v>
      </c>
      <c r="AZ37" s="30" t="n">
        <f aca="false">AZ35+AZ36</f>
        <v>6071325.37726775</v>
      </c>
      <c r="BA37" s="30" t="n">
        <f aca="false">BA35+BA36</f>
        <v>6436571.01606891</v>
      </c>
      <c r="BB37" s="30" t="n">
        <f aca="false">BB35+BB36</f>
        <v>6800651.52823916</v>
      </c>
      <c r="BC37" s="30" t="n">
        <f aca="false">BC35+BC36</f>
        <v>7163564.80798959</v>
      </c>
      <c r="BD37" s="30" t="n">
        <f aca="false">BD35+BD36</f>
        <v>7525308.89872357</v>
      </c>
      <c r="BE37" s="30" t="n">
        <f aca="false">BE35+BE36</f>
        <v>7885881.98930959</v>
      </c>
      <c r="BF37" s="30" t="n">
        <f aca="false">BF35+BF36</f>
        <v>8245282.41044404</v>
      </c>
      <c r="BG37" s="30" t="n">
        <f aca="false">BG35+BG36</f>
        <v>8603508.63110155</v>
      </c>
      <c r="BH37" s="30" t="n">
        <f aca="false">BH35+BH36</f>
        <v>8960559.25507079</v>
      </c>
      <c r="BI37" s="30" t="n">
        <f aca="false">BI35+BI36</f>
        <v>9316433.01757365</v>
      </c>
      <c r="BJ37" s="30" t="n">
        <f aca="false">BJ35+BJ36</f>
        <v>9671128.78196551</v>
      </c>
    </row>
    <row r="38" customFormat="false" ht="15" hidden="false" customHeight="false" outlineLevel="0" collapsed="false">
      <c r="A38" s="3" t="s">
        <v>239</v>
      </c>
      <c r="B38" s="4"/>
    </row>
    <row r="39" customFormat="false" ht="15" hidden="false" customHeight="false" outlineLevel="0" collapsed="false">
      <c r="A39" s="5" t="s">
        <v>240</v>
      </c>
      <c r="C39" s="21" t="n">
        <f aca="false">-(C22*Premissas!$B$21+C23*Premissas!$C$21+C24*Premissas!$D$21+C25*Premissas!$E$21)*Premissas!$B$5</f>
        <v>-1073.55075</v>
      </c>
      <c r="D39" s="21" t="n">
        <f aca="false">-(D22*Premissas!$B$21+D23*Premissas!$C$21+D24*Premissas!$D$21+D25*Premissas!$E$21)*Premissas!$B$5</f>
        <v>-2132.79201975</v>
      </c>
      <c r="E39" s="21" t="n">
        <f aca="false">-(E22*Premissas!$B$21+E23*Premissas!$C$21+E24*Premissas!$D$21+E25*Premissas!$E$21)*Premissas!$B$5</f>
        <v>-3177.91706197425</v>
      </c>
      <c r="F39" s="21" t="n">
        <f aca="false">-(F22*Premissas!$B$21+F23*Premissas!$C$21+F24*Premissas!$D$21+F25*Premissas!$E$21)*Premissas!$B$5</f>
        <v>-4209.11640609771</v>
      </c>
      <c r="G39" s="21" t="n">
        <f aca="false">-(G22*Premissas!$B$21+G23*Premissas!$C$21+G24*Premissas!$D$21+G25*Premissas!$E$21)*Premissas!$B$5</f>
        <v>-5226.57790113564</v>
      </c>
      <c r="H39" s="21" t="n">
        <f aca="false">-(H22*Premissas!$B$21+H23*Premissas!$C$21+H24*Premissas!$D$21+H25*Premissas!$E$21)*Premissas!$B$5</f>
        <v>-6230.48675774447</v>
      </c>
      <c r="I39" s="21" t="n">
        <f aca="false">-(I22*Premissas!$B$21+I23*Premissas!$C$21+I24*Premissas!$D$21+I25*Premissas!$E$21)*Premissas!$B$5</f>
        <v>-7221.02558945543</v>
      </c>
      <c r="J39" s="21" t="n">
        <f aca="false">-(J22*Premissas!$B$21+J23*Premissas!$C$21+J24*Premissas!$D$21+J25*Premissas!$E$21)*Premissas!$B$5</f>
        <v>-8198.37445311185</v>
      </c>
      <c r="K39" s="21" t="n">
        <f aca="false">-(K22*Premissas!$B$21+K23*Premissas!$C$21+K24*Premissas!$D$21+K25*Premissas!$E$21)*Premissas!$B$5</f>
        <v>-9162.71088853024</v>
      </c>
      <c r="L39" s="21" t="n">
        <f aca="false">-(L22*Premissas!$B$21+L23*Premissas!$C$21+L24*Premissas!$D$21+L25*Premissas!$E$21)*Premissas!$B$5</f>
        <v>-10114.2099574048</v>
      </c>
      <c r="M39" s="21" t="n">
        <f aca="false">-(M22*Premissas!$B$21+M23*Premissas!$C$21+M24*Premissas!$D$21+M25*Premissas!$E$21)*Premissas!$B$5</f>
        <v>-11053.044281474</v>
      </c>
      <c r="N39" s="21" t="n">
        <f aca="false">-(N22*Premissas!$B$21+N23*Premissas!$C$21+N24*Premissas!$D$21+N25*Premissas!$E$21)*Premissas!$B$5</f>
        <v>-11979.3840799682</v>
      </c>
      <c r="O39" s="21" t="n">
        <f aca="false">-(O22*Premissas!$B$21+O23*Premissas!$C$21+O24*Premissas!$D$21+O25*Premissas!$E$21)*Premissas!$B$5</f>
        <v>-15605.5970012253</v>
      </c>
      <c r="P39" s="21" t="n">
        <f aca="false">-(P22*Premissas!$B$21+P23*Premissas!$C$21+P24*Premissas!$D$21+P25*Premissas!$E$21)*Premissas!$B$5</f>
        <v>-19196.5284834831</v>
      </c>
      <c r="Q39" s="21" t="n">
        <f aca="false">-(Q22*Premissas!$B$21+Q23*Premissas!$C$21+Q24*Premissas!$D$21+Q25*Premissas!$E$21)*Premissas!$B$5</f>
        <v>-22752.4907190733</v>
      </c>
      <c r="R39" s="21" t="n">
        <f aca="false">-(R22*Premissas!$B$21+R23*Premissas!$C$21+R24*Premissas!$D$21+R25*Premissas!$E$21)*Premissas!$B$5</f>
        <v>-26273.7940375211</v>
      </c>
      <c r="S39" s="21" t="n">
        <f aca="false">-(S22*Premissas!$B$21+S23*Premissas!$C$21+S24*Premissas!$D$21+S25*Premissas!$E$21)*Premissas!$B$5</f>
        <v>-29760.746886137</v>
      </c>
      <c r="T39" s="21" t="n">
        <f aca="false">-(T22*Premissas!$B$21+T23*Premissas!$C$21+T24*Premissas!$D$21+T25*Premissas!$E$21)*Premissas!$B$5</f>
        <v>-33213.6558119838</v>
      </c>
      <c r="U39" s="21" t="n">
        <f aca="false">-(U22*Premissas!$B$21+U23*Premissas!$C$21+U24*Premissas!$D$21+U25*Premissas!$E$21)*Premissas!$B$5</f>
        <v>-36632.8254451664</v>
      </c>
      <c r="V39" s="21" t="n">
        <f aca="false">-(V22*Premissas!$B$21+V23*Premissas!$C$21+V24*Premissas!$D$21+V25*Premissas!$E$21)*Premissas!$B$5</f>
        <v>-40018.5584833959</v>
      </c>
      <c r="W39" s="21" t="n">
        <f aca="false">-(W22*Premissas!$B$21+W23*Premissas!$C$21+W24*Premissas!$D$21+W25*Premissas!$E$21)*Premissas!$B$5</f>
        <v>-43371.1556777784</v>
      </c>
      <c r="X39" s="21" t="n">
        <f aca="false">-(X22*Premissas!$B$21+X23*Premissas!$C$21+X24*Premissas!$D$21+X25*Premissas!$E$21)*Premissas!$B$5</f>
        <v>-46690.9158197833</v>
      </c>
      <c r="Y39" s="21" t="n">
        <f aca="false">-(Y22*Premissas!$B$21+Y23*Premissas!$C$21+Y24*Premissas!$D$21+Y25*Premissas!$E$21)*Premissas!$B$5</f>
        <v>-49978.1357293451</v>
      </c>
      <c r="Z39" s="21" t="n">
        <f aca="false">-(Z22*Premissas!$B$21+Z23*Premissas!$C$21+Z24*Premissas!$D$21+Z25*Premissas!$E$21)*Premissas!$B$5</f>
        <v>-53233.1102440559</v>
      </c>
      <c r="AA39" s="21" t="n">
        <f aca="false">-(AA22*Premissas!$B$21+AA23*Premissas!$C$21+AA24*Premissas!$D$21+AA25*Premissas!$E$21)*Premissas!$B$5</f>
        <v>-62764.3651306439</v>
      </c>
      <c r="AB39" s="21" t="n">
        <f aca="false">-(AB22*Premissas!$B$21+AB23*Premissas!$C$21+AB24*Premissas!$D$21+AB25*Premissas!$E$21)*Premissas!$B$5</f>
        <v>-72231.2468649624</v>
      </c>
      <c r="AC39" s="21" t="n">
        <f aca="false">-(AC22*Premissas!$B$21+AC23*Premissas!$C$21+AC24*Premissas!$D$21+AC25*Premissas!$E$21)*Premissas!$B$5</f>
        <v>-81634.0434177111</v>
      </c>
      <c r="AD39" s="21" t="n">
        <f aca="false">-(AD22*Premissas!$B$21+AD23*Premissas!$C$21+AD24*Premissas!$D$21+AD25*Premissas!$E$21)*Premissas!$B$5</f>
        <v>-90973.0456287517</v>
      </c>
      <c r="AE39" s="21" t="n">
        <f aca="false">-(AE22*Premissas!$B$21+AE23*Premissas!$C$21+AE24*Premissas!$D$21+AE25*Premissas!$E$21)*Premissas!$B$5</f>
        <v>-100248.547049713</v>
      </c>
      <c r="AF39" s="21" t="n">
        <f aca="false">-(AF22*Premissas!$B$21+AF23*Premissas!$C$21+AF24*Premissas!$D$21+AF25*Premissas!$E$21)*Premissas!$B$5</f>
        <v>-109460.843791661</v>
      </c>
      <c r="AG39" s="21" t="n">
        <f aca="false">-(AG22*Premissas!$B$21+AG23*Premissas!$C$21+AG24*Premissas!$D$21+AG25*Premissas!$E$21)*Premissas!$B$5</f>
        <v>-118610.234377682</v>
      </c>
      <c r="AH39" s="21" t="n">
        <f aca="false">-(AH22*Premissas!$B$21+AH23*Premissas!$C$21+AH24*Premissas!$D$21+AH25*Premissas!$E$21)*Premissas!$B$5</f>
        <v>-127697.019600227</v>
      </c>
      <c r="AI39" s="21" t="n">
        <f aca="false">-(AI22*Premissas!$B$21+AI23*Premissas!$C$21+AI24*Premissas!$D$21+AI25*Premissas!$E$21)*Premissas!$B$5</f>
        <v>-136721.502383069</v>
      </c>
      <c r="AJ39" s="21" t="n">
        <f aca="false">-(AJ22*Premissas!$B$21+AJ23*Premissas!$C$21+AJ24*Premissas!$D$21+AJ25*Premissas!$E$21)*Premissas!$B$5</f>
        <v>-145683.987647748</v>
      </c>
      <c r="AK39" s="21" t="n">
        <f aca="false">-(AK22*Premissas!$B$21+AK23*Premissas!$C$21+AK24*Premissas!$D$21+AK25*Premissas!$E$21)*Premissas!$B$5</f>
        <v>-154584.78218435</v>
      </c>
      <c r="AL39" s="21" t="n">
        <f aca="false">-(AL22*Premissas!$B$21+AL23*Premissas!$C$21+AL24*Premissas!$D$21+AL25*Premissas!$E$21)*Premissas!$B$5</f>
        <v>-163424.194526494</v>
      </c>
      <c r="AM39" s="21" t="n">
        <f aca="false">-(AM22*Premissas!$B$21+AM23*Premissas!$C$21+AM24*Premissas!$D$21+AM25*Premissas!$E$21)*Premissas!$B$5</f>
        <v>-180292.812272752</v>
      </c>
      <c r="AN39" s="21" t="n">
        <f aca="false">-(AN22*Premissas!$B$21+AN23*Premissas!$C$21+AN24*Premissas!$D$21+AN25*Premissas!$E$21)*Premissas!$B$5</f>
        <v>-197078.558224644</v>
      </c>
      <c r="AO39" s="21" t="n">
        <f aca="false">-(AO22*Premissas!$B$21+AO23*Premissas!$C$21+AO24*Premissas!$D$21+AO25*Premissas!$E$21)*Premissas!$B$5</f>
        <v>-213781.564006534</v>
      </c>
      <c r="AP39" s="21" t="n">
        <f aca="false">-(AP22*Premissas!$B$21+AP23*Premissas!$C$21+AP24*Premissas!$D$21+AP25*Premissas!$E$21)*Premissas!$B$5</f>
        <v>-230401.968505864</v>
      </c>
      <c r="AQ39" s="21" t="n">
        <f aca="false">-(AQ22*Premissas!$B$21+AQ23*Premissas!$C$21+AQ24*Premissas!$D$21+AQ25*Premissas!$E$21)*Premissas!$B$5</f>
        <v>-246939.917633619</v>
      </c>
      <c r="AR39" s="21" t="n">
        <f aca="false">-(AR22*Premissas!$B$21+AR23*Premissas!$C$21+AR24*Premissas!$D$21+AR25*Premissas!$E$21)*Premissas!$B$5</f>
        <v>-263395.564091365</v>
      </c>
      <c r="AS39" s="21" t="n">
        <f aca="false">-(AS22*Premissas!$B$21+AS23*Premissas!$C$21+AS24*Premissas!$D$21+AS25*Premissas!$E$21)*Premissas!$B$5</f>
        <v>-279769.067144686</v>
      </c>
      <c r="AT39" s="21" t="n">
        <f aca="false">-(AT22*Premissas!$B$21+AT23*Premissas!$C$21+AT24*Premissas!$D$21+AT25*Premissas!$E$21)*Premissas!$B$5</f>
        <v>-296060.592402838</v>
      </c>
      <c r="AU39" s="21" t="n">
        <f aca="false">-(AU22*Premissas!$B$21+AU23*Premissas!$C$21+AU24*Premissas!$D$21+AU25*Premissas!$E$21)*Premissas!$B$5</f>
        <v>-312270.311604448</v>
      </c>
      <c r="AV39" s="21" t="n">
        <f aca="false">-(AV22*Premissas!$B$21+AV23*Premissas!$C$21+AV24*Premissas!$D$21+AV25*Premissas!$E$21)*Premissas!$B$5</f>
        <v>-328398.402409098</v>
      </c>
      <c r="AW39" s="21" t="n">
        <f aca="false">-(AW22*Premissas!$B$21+AW23*Premissas!$C$21+AW24*Premissas!$D$21+AW25*Premissas!$E$21)*Premissas!$B$5</f>
        <v>-344445.048194632</v>
      </c>
      <c r="AX39" s="21" t="n">
        <f aca="false">-(AX22*Premissas!$B$21+AX23*Premissas!$C$21+AX24*Premissas!$D$21+AX25*Premissas!$E$21)*Premissas!$B$5</f>
        <v>-360410.437860023</v>
      </c>
      <c r="AY39" s="21" t="n">
        <f aca="false">-(AY22*Premissas!$B$21+AY23*Premissas!$C$21+AY24*Premissas!$D$21+AY25*Premissas!$E$21)*Premissas!$B$5</f>
        <v>-386058.658441829</v>
      </c>
      <c r="AZ39" s="21" t="n">
        <f aca="false">-(AZ22*Premissas!$B$21+AZ23*Premissas!$C$21+AZ24*Premissas!$D$21+AZ25*Premissas!$E$21)*Premissas!$B$5</f>
        <v>-411622.761594944</v>
      </c>
      <c r="BA39" s="21" t="n">
        <f aca="false">-(BA22*Premissas!$B$21+BA23*Premissas!$C$21+BA24*Premissas!$D$21+BA25*Premissas!$E$21)*Premissas!$B$5</f>
        <v>-437102.646655388</v>
      </c>
      <c r="BB39" s="21" t="n">
        <f aca="false">-(BB22*Premissas!$B$21+BB23*Premissas!$C$21+BB24*Premissas!$D$21+BB25*Premissas!$E$21)*Premissas!$B$5</f>
        <v>-462498.222551512</v>
      </c>
      <c r="BC39" s="21" t="n">
        <f aca="false">-(BC22*Premissas!$B$21+BC23*Premissas!$C$21+BC24*Premissas!$D$21+BC25*Premissas!$E$21)*Premissas!$B$5</f>
        <v>-487809.407560113</v>
      </c>
      <c r="BD39" s="21" t="n">
        <f aca="false">-(BD22*Premissas!$B$21+BD23*Premissas!$C$21+BD24*Premissas!$D$21+BD25*Premissas!$E$21)*Premissas!$B$5</f>
        <v>-513036.129068471</v>
      </c>
      <c r="BE39" s="21" t="n">
        <f aca="false">-(BE22*Premissas!$B$21+BE23*Premissas!$C$21+BE24*Premissas!$D$21+BE25*Premissas!$E$21)*Premissas!$B$5</f>
        <v>-538178.32334215</v>
      </c>
      <c r="BF39" s="21" t="n">
        <f aca="false">-(BF22*Premissas!$B$21+BF23*Premissas!$C$21+BF24*Premissas!$D$21+BF25*Premissas!$E$21)*Premissas!$B$5</f>
        <v>-563235.935298417</v>
      </c>
      <c r="BG39" s="21" t="n">
        <f aca="false">-(BG22*Premissas!$B$21+BG23*Premissas!$C$21+BG24*Premissas!$D$21+BG25*Premissas!$E$21)*Premissas!$B$5</f>
        <v>-588208.91828515</v>
      </c>
      <c r="BH39" s="21" t="n">
        <f aca="false">-(BH22*Premissas!$B$21+BH23*Premissas!$C$21+BH24*Premissas!$D$21+BH25*Premissas!$E$21)*Premissas!$B$5</f>
        <v>-613097.233865082</v>
      </c>
      <c r="BI39" s="21" t="n">
        <f aca="false">-(BI22*Premissas!$B$21+BI23*Premissas!$C$21+BI24*Premissas!$D$21+BI25*Premissas!$E$21)*Premissas!$B$5</f>
        <v>-637900.851605259</v>
      </c>
      <c r="BJ39" s="21" t="n">
        <f aca="false">-(BJ22*Premissas!$B$21+BJ23*Premissas!$C$21+BJ24*Premissas!$D$21+BJ25*Premissas!$E$21)*Premissas!$B$5</f>
        <v>-662619.748871572</v>
      </c>
    </row>
    <row r="40" customFormat="false" ht="15" hidden="false" customHeight="false" outlineLevel="0" collapsed="false">
      <c r="A40" s="5" t="s">
        <v>241</v>
      </c>
      <c r="C40" s="21" t="n">
        <f aca="false">-(C22*Premissas!$B$22+C23*Premissas!$C$22+C24*Premissas!$D$22+C25*Premissas!$E$22)</f>
        <v>-276.818055555556</v>
      </c>
      <c r="D40" s="21" t="n">
        <f aca="false">-(D22*Premissas!$B$22+D23*Premissas!$C$22+D24*Premissas!$D$22+D25*Premissas!$E$22)</f>
        <v>-549.483840277778</v>
      </c>
      <c r="E40" s="21" t="n">
        <f aca="false">-(E22*Premissas!$B$22+E23*Premissas!$C$22+E24*Premissas!$D$22+E25*Premissas!$E$22)</f>
        <v>-818.069352026389</v>
      </c>
      <c r="F40" s="21" t="n">
        <f aca="false">-(F22*Premissas!$B$22+F23*Premissas!$C$22+F24*Premissas!$D$22+F25*Premissas!$E$22)</f>
        <v>-1082.64502395963</v>
      </c>
      <c r="G40" s="21" t="n">
        <f aca="false">-(G22*Premissas!$B$22+G23*Premissas!$C$22+G24*Premissas!$D$22+G25*Premissas!$E$22)</f>
        <v>-1343.27976748107</v>
      </c>
      <c r="H40" s="21" t="n">
        <f aca="false">-(H22*Premissas!$B$22+H23*Premissas!$C$22+H24*Premissas!$D$22+H25*Premissas!$E$22)</f>
        <v>-1600.04101380523</v>
      </c>
      <c r="I40" s="21" t="n">
        <f aca="false">-(I22*Premissas!$B$22+I23*Premissas!$C$22+I24*Premissas!$D$22+I25*Premissas!$E$22)</f>
        <v>-1852.99475419021</v>
      </c>
      <c r="J40" s="21" t="n">
        <f aca="false">-(J22*Premissas!$B$22+J23*Premissas!$C$22+J24*Premissas!$D$22+J25*Premissas!$E$22)</f>
        <v>-2102.20557888356</v>
      </c>
      <c r="K40" s="21" t="n">
        <f aca="false">-(K22*Premissas!$B$22+K23*Premissas!$C$22+K24*Premissas!$D$22+K25*Premissas!$E$22)</f>
        <v>-2347.73671482603</v>
      </c>
      <c r="L40" s="21" t="n">
        <f aca="false">-(L22*Premissas!$B$22+L23*Premissas!$C$22+L24*Premissas!$D$22+L25*Premissas!$E$22)</f>
        <v>-2589.65006215636</v>
      </c>
      <c r="M40" s="21" t="n">
        <f aca="false">-(M22*Premissas!$B$22+M23*Premissas!$C$22+M24*Premissas!$D$22+M25*Premissas!$E$22)</f>
        <v>-2828.00622955851</v>
      </c>
      <c r="N40" s="21" t="n">
        <f aca="false">-(N22*Premissas!$B$22+N23*Premissas!$C$22+N24*Premissas!$D$22+N25*Premissas!$E$22)</f>
        <v>-3062.86456849145</v>
      </c>
      <c r="O40" s="21" t="n">
        <f aca="false">-(O22*Premissas!$B$22+O23*Premissas!$C$22+O24*Premissas!$D$22+O25*Premissas!$E$22)</f>
        <v>-3931.60162415553</v>
      </c>
      <c r="P40" s="21" t="n">
        <f aca="false">-(P22*Premissas!$B$22+P23*Premissas!$C$22+P24*Premissas!$D$22+P25*Premissas!$E$22)</f>
        <v>-4790.59739081326</v>
      </c>
      <c r="Q40" s="21" t="n">
        <f aca="false">-(Q22*Premissas!$B$22+Q23*Premissas!$C$22+Q24*Premissas!$D$22+Q25*Premissas!$E$22)</f>
        <v>-5639.97844787361</v>
      </c>
      <c r="R40" s="21" t="n">
        <f aca="false">-(R22*Premissas!$B$22+R23*Premissas!$C$22+R24*Premissas!$D$22+R25*Premissas!$E$22)</f>
        <v>-6479.86917897091</v>
      </c>
      <c r="S40" s="21" t="n">
        <f aca="false">-(S22*Premissas!$B$22+S23*Premissas!$C$22+S24*Premissas!$D$22+S25*Premissas!$E$22)</f>
        <v>-7310.39182504451</v>
      </c>
      <c r="T40" s="21" t="n">
        <f aca="false">-(T22*Premissas!$B$22+T23*Premissas!$C$22+T24*Premissas!$D$22+T25*Premissas!$E$22)</f>
        <v>-8131.66653583154</v>
      </c>
      <c r="U40" s="21" t="n">
        <f aca="false">-(U22*Premissas!$B$22+U23*Premissas!$C$22+U24*Premissas!$D$22+U25*Premissas!$E$22)</f>
        <v>-8943.81141982467</v>
      </c>
      <c r="V40" s="21" t="n">
        <f aca="false">-(V22*Premissas!$B$22+V23*Premissas!$C$22+V24*Premissas!$D$22+V25*Premissas!$E$22)</f>
        <v>-9746.94259274497</v>
      </c>
      <c r="W40" s="21" t="n">
        <f aca="false">-(W22*Premissas!$B$22+W23*Premissas!$C$22+W24*Premissas!$D$22+W25*Premissas!$E$22)</f>
        <v>-10541.1742245783</v>
      </c>
      <c r="X40" s="21" t="n">
        <f aca="false">-(X22*Premissas!$B$22+X23*Premissas!$C$22+X24*Premissas!$D$22+X25*Premissas!$E$22)</f>
        <v>-11326.6185852217</v>
      </c>
      <c r="Y40" s="21" t="n">
        <f aca="false">-(Y22*Premissas!$B$22+Y23*Premissas!$C$22+Y24*Premissas!$D$22+Y25*Premissas!$E$22)</f>
        <v>-12103.3860887858</v>
      </c>
      <c r="Z40" s="21" t="n">
        <f aca="false">-(Z22*Premissas!$B$22+Z23*Premissas!$C$22+Z24*Premissas!$D$22+Z25*Premissas!$E$22)</f>
        <v>-12871.5853365955</v>
      </c>
      <c r="AA40" s="21" t="n">
        <f aca="false">-(AA22*Premissas!$B$22+AA23*Premissas!$C$22+AA24*Premissas!$D$22+AA25*Premissas!$E$22)</f>
        <v>-15008.6475669181</v>
      </c>
      <c r="AB40" s="21" t="n">
        <f aca="false">-(AB22*Premissas!$B$22+AB23*Premissas!$C$22+AB24*Premissas!$D$22+AB25*Premissas!$E$22)</f>
        <v>-17128.6380851729</v>
      </c>
      <c r="AC40" s="21" t="n">
        <f aca="false">-(AC22*Premissas!$B$22+AC23*Premissas!$C$22+AC24*Premissas!$D$22+AC25*Premissas!$E$22)</f>
        <v>-19231.7104147515</v>
      </c>
      <c r="AD40" s="21" t="n">
        <f aca="false">-(AD22*Premissas!$B$22+AD23*Premissas!$C$22+AD24*Premissas!$D$22+AD25*Premissas!$E$22)</f>
        <v>-21318.0161062285</v>
      </c>
      <c r="AE40" s="21" t="n">
        <f aca="false">-(AE22*Premissas!$B$22+AE23*Premissas!$C$22+AE24*Premissas!$D$22+AE25*Premissas!$E$22)</f>
        <v>-23387.7047793954</v>
      </c>
      <c r="AF40" s="21" t="n">
        <f aca="false">-(AF22*Premissas!$B$22+AF23*Premissas!$C$22+AF24*Premissas!$D$22+AF25*Premissas!$E$22)</f>
        <v>-25440.9241640907</v>
      </c>
      <c r="AG40" s="21" t="n">
        <f aca="false">-(AG22*Premissas!$B$22+AG23*Premissas!$C$22+AG24*Premissas!$D$22+AG25*Premissas!$E$22)</f>
        <v>-27477.8201398631</v>
      </c>
      <c r="AH40" s="21" t="n">
        <f aca="false">-(AH22*Premissas!$B$22+AH23*Premissas!$C$22+AH24*Premissas!$D$22+AH25*Premissas!$E$22)</f>
        <v>-29498.5367745054</v>
      </c>
      <c r="AI40" s="21" t="n">
        <f aca="false">-(AI22*Premissas!$B$22+AI23*Premissas!$C$22+AI24*Premissas!$D$22+AI25*Premissas!$E$22)</f>
        <v>-31503.2163614921</v>
      </c>
      <c r="AJ40" s="21" t="n">
        <f aca="false">-(AJ22*Premissas!$B$22+AJ23*Premissas!$C$22+AJ24*Premissas!$D$22+AJ25*Premissas!$E$22)</f>
        <v>-33491.9994563577</v>
      </c>
      <c r="AK40" s="21" t="n">
        <f aca="false">-(AK22*Premissas!$B$22+AK23*Premissas!$C$22+AK24*Premissas!$D$22+AK25*Premissas!$E$22)</f>
        <v>-35465.0249120466</v>
      </c>
      <c r="AL40" s="21" t="n">
        <f aca="false">-(AL22*Premissas!$B$22+AL23*Premissas!$C$22+AL24*Premissas!$D$22+AL25*Premissas!$E$22)</f>
        <v>-37422.4299132674</v>
      </c>
      <c r="AM40" s="21" t="n">
        <f aca="false">-(AM22*Premissas!$B$22+AM23*Premissas!$C$22+AM24*Premissas!$D$22+AM25*Premissas!$E$22)</f>
        <v>-41127.739560482</v>
      </c>
      <c r="AN40" s="21" t="n">
        <f aca="false">-(AN22*Premissas!$B$22+AN23*Premissas!$C$22+AN24*Premissas!$D$22+AN25*Premissas!$E$22)</f>
        <v>-44810.9962952015</v>
      </c>
      <c r="AO40" s="21" t="n">
        <f aca="false">-(AO22*Premissas!$B$22+AO23*Premissas!$C$22+AO24*Premissas!$D$22+AO25*Premissas!$E$22)</f>
        <v>-48472.341941744</v>
      </c>
      <c r="AP40" s="21" t="n">
        <f aca="false">-(AP22*Premissas!$B$22+AP23*Premissas!$C$22+AP24*Premissas!$D$22+AP25*Premissas!$E$22)</f>
        <v>-52111.9169526993</v>
      </c>
      <c r="AQ40" s="21" t="n">
        <f aca="false">-(AQ22*Premissas!$B$22+AQ23*Premissas!$C$22+AQ24*Premissas!$D$22+AQ25*Premissas!$E$22)</f>
        <v>-55729.8604360036</v>
      </c>
      <c r="AR40" s="21" t="n">
        <f aca="false">-(AR22*Premissas!$B$22+AR23*Premissas!$C$22+AR24*Premissas!$D$22+AR25*Premissas!$E$22)</f>
        <v>-59326.310181249</v>
      </c>
      <c r="AS40" s="21" t="n">
        <f aca="false">-(AS22*Premissas!$B$22+AS23*Premissas!$C$22+AS24*Premissas!$D$22+AS25*Premissas!$E$22)</f>
        <v>-62901.4026852502</v>
      </c>
      <c r="AT40" s="21" t="n">
        <f aca="false">-(AT22*Premissas!$B$22+AT23*Premissas!$C$22+AT24*Premissas!$D$22+AT25*Premissas!$E$22)</f>
        <v>-66455.2731768917</v>
      </c>
      <c r="AU40" s="21" t="n">
        <f aca="false">-(AU22*Premissas!$B$22+AU23*Premissas!$C$22+AU24*Premissas!$D$22+AU25*Premissas!$E$22)</f>
        <v>-69988.0556412763</v>
      </c>
      <c r="AV40" s="21" t="n">
        <f aca="false">-(AV22*Premissas!$B$22+AV23*Premissas!$C$22+AV24*Premissas!$D$22+AV25*Premissas!$E$22)</f>
        <v>-73499.8828431956</v>
      </c>
      <c r="AW40" s="21" t="n">
        <f aca="false">-(AW22*Premissas!$B$22+AW23*Premissas!$C$22+AW24*Premissas!$D$22+AW25*Premissas!$E$22)</f>
        <v>-76990.8863499438</v>
      </c>
      <c r="AX40" s="21" t="n">
        <f aca="false">-(AX22*Premissas!$B$22+AX23*Premissas!$C$22+AX24*Premissas!$D$22+AX25*Premissas!$E$22)</f>
        <v>-80461.1965534941</v>
      </c>
      <c r="AY40" s="21" t="n">
        <f aca="false">-(AY22*Premissas!$B$22+AY23*Premissas!$C$22+AY24*Premissas!$D$22+AY25*Premissas!$E$22)</f>
        <v>-85948.2590165424</v>
      </c>
      <c r="AZ40" s="21" t="n">
        <f aca="false">-(AZ22*Premissas!$B$22+AZ23*Premissas!$C$22+AZ24*Premissas!$D$22+AZ25*Premissas!$E$22)</f>
        <v>-91413.1002018334</v>
      </c>
      <c r="BA40" s="21" t="n">
        <f aca="false">-(BA22*Premissas!$B$22+BA23*Premissas!$C$22+BA24*Premissas!$D$22+BA25*Premissas!$E$22)</f>
        <v>-96855.8044278697</v>
      </c>
      <c r="BB40" s="21" t="n">
        <f aca="false">-(BB22*Premissas!$B$22+BB23*Premissas!$C$22+BB24*Premissas!$D$22+BB25*Premissas!$E$22)</f>
        <v>-102276.455597483</v>
      </c>
      <c r="BC40" s="21" t="n">
        <f aca="false">-(BC22*Premissas!$B$22+BC23*Premissas!$C$22+BC24*Premissas!$D$22+BC25*Premissas!$E$22)</f>
        <v>-107675.137205775</v>
      </c>
      <c r="BD40" s="21" t="n">
        <f aca="false">-(BD22*Premissas!$B$22+BD23*Premissas!$C$22+BD24*Premissas!$D$22+BD25*Premissas!$E$22)</f>
        <v>-113051.932347792</v>
      </c>
      <c r="BE40" s="21" t="n">
        <f aca="false">-(BE22*Premissas!$B$22+BE23*Premissas!$C$22+BE24*Premissas!$D$22+BE25*Premissas!$E$22)</f>
        <v>-118406.92372595</v>
      </c>
      <c r="BF40" s="21" t="n">
        <f aca="false">-(BF22*Premissas!$B$22+BF23*Premissas!$C$22+BF24*Premissas!$D$22+BF25*Premissas!$E$22)</f>
        <v>-123740.19365721</v>
      </c>
      <c r="BG40" s="21" t="n">
        <f aca="false">-(BG22*Premissas!$B$22+BG23*Premissas!$C$22+BG24*Premissas!$D$22+BG25*Premissas!$E$22)</f>
        <v>-129051.824080018</v>
      </c>
      <c r="BH40" s="21" t="n">
        <f aca="false">-(BH22*Premissas!$B$22+BH23*Premissas!$C$22+BH24*Premissas!$D$22+BH25*Premissas!$E$22)</f>
        <v>-134341.896561007</v>
      </c>
      <c r="BI40" s="21" t="n">
        <f aca="false">-(BI22*Premissas!$B$22+BI23*Premissas!$C$22+BI24*Premissas!$D$22+BI25*Premissas!$E$22)</f>
        <v>-139610.492301487</v>
      </c>
      <c r="BJ40" s="21" t="n">
        <f aca="false">-(BJ22*Premissas!$B$22+BJ23*Premissas!$C$22+BJ24*Premissas!$D$22+BJ25*Premissas!$E$22)</f>
        <v>-144857.692143702</v>
      </c>
    </row>
    <row r="41" customFormat="false" ht="15" hidden="false" customHeight="false" outlineLevel="0" collapsed="false">
      <c r="A41" s="5" t="s">
        <v>242</v>
      </c>
      <c r="C41" s="21" t="n">
        <f aca="false">-(IFERROR(C22/Premissas!$B$23,0)+IFERROR(C23/Premissas!$C$23,0)+IFERROR(C24/Premissas!$D$23,0)+IFERROR(C25/Premissas!$E$23,0))*Premissas!$B$24*(1+Premissas!$B$10)</f>
        <v>-748.667013888889</v>
      </c>
      <c r="D41" s="21" t="n">
        <f aca="false">-(IFERROR(D22/Premissas!$B$23,0)+IFERROR(D23/Premissas!$C$23,0)+IFERROR(D24/Premissas!$D$23,0)+IFERROR(D25/Premissas!$E$23,0))*Premissas!$B$24*(1+Premissas!$B$10)</f>
        <v>-1492.09335868056</v>
      </c>
      <c r="E41" s="21" t="n">
        <f aca="false">-(IFERROR(E22/Premissas!$B$23,0)+IFERROR(E23/Premissas!$C$23,0)+IFERROR(E24/Premissas!$D$23,0)+IFERROR(E25/Premissas!$E$23,0))*Premissas!$B$24*(1+Premissas!$B$10)</f>
        <v>-2230.21839234687</v>
      </c>
      <c r="F41" s="21" t="n">
        <f aca="false">-(IFERROR(F22/Premissas!$B$23,0)+IFERROR(F23/Premissas!$C$23,0)+IFERROR(F24/Premissas!$D$23,0)+IFERROR(F25/Premissas!$E$23,0))*Premissas!$B$24*(1+Premissas!$B$10)</f>
        <v>-2962.9861602639</v>
      </c>
      <c r="G41" s="21" t="n">
        <f aca="false">-(IFERROR(G22/Premissas!$B$23,0)+IFERROR(G23/Premissas!$C$23,0)+IFERROR(G24/Premissas!$D$23,0)+IFERROR(G25/Premissas!$E$23,0))*Premissas!$B$24*(1+Premissas!$B$10)</f>
        <v>-3690.34520942189</v>
      </c>
      <c r="H41" s="21" t="n">
        <f aca="false">-(IFERROR(H22/Premissas!$B$23,0)+IFERROR(H23/Premissas!$C$23,0)+IFERROR(H24/Premissas!$D$23,0)+IFERROR(H25/Premissas!$E$23,0))*Premissas!$B$24*(1+Premissas!$B$10)</f>
        <v>-4412.24840923918</v>
      </c>
      <c r="I41" s="21" t="n">
        <f aca="false">-(IFERROR(I22/Premissas!$B$23,0)+IFERROR(I23/Premissas!$C$23,0)+IFERROR(I24/Premissas!$D$23,0)+IFERROR(I25/Premissas!$E$23,0))*Premissas!$B$24*(1+Premissas!$B$10)</f>
        <v>-5128.65277874865</v>
      </c>
      <c r="J41" s="21" t="n">
        <f aca="false">-(IFERROR(J22/Premissas!$B$23,0)+IFERROR(J23/Premissas!$C$23,0)+IFERROR(J24/Premissas!$D$23,0)+IFERROR(J25/Premissas!$E$23,0))*Premissas!$B$24*(1+Premissas!$B$10)</f>
        <v>-5839.51931993367</v>
      </c>
      <c r="K41" s="21" t="n">
        <f aca="false">-(IFERROR(K22/Premissas!$B$23,0)+IFERROR(K23/Premissas!$C$23,0)+IFERROR(K24/Premissas!$D$23,0)+IFERROR(K25/Premissas!$E$23,0))*Premissas!$B$24*(1+Premissas!$B$10)</f>
        <v>-6544.81285699865</v>
      </c>
      <c r="L41" s="21" t="n">
        <f aca="false">-(IFERROR(L22/Premissas!$B$23,0)+IFERROR(L23/Premissas!$C$23,0)+IFERROR(L24/Premissas!$D$23,0)+IFERROR(L25/Premissas!$E$23,0))*Premissas!$B$24*(1+Premissas!$B$10)</f>
        <v>-7244.50188136618</v>
      </c>
      <c r="M41" s="21" t="n">
        <f aca="false">-(IFERROR(M22/Premissas!$B$23,0)+IFERROR(M23/Premissas!$C$23,0)+IFERROR(M24/Premissas!$D$23,0)+IFERROR(M25/Premissas!$E$23,0))*Premissas!$B$24*(1+Premissas!$B$10)</f>
        <v>-7938.55840220097</v>
      </c>
      <c r="N41" s="21" t="n">
        <f aca="false">-(IFERROR(N22/Premissas!$B$23,0)+IFERROR(N23/Premissas!$C$23,0)+IFERROR(N24/Premissas!$D$23,0)+IFERROR(N25/Premissas!$E$23,0))*Premissas!$B$24*(1+Premissas!$B$10)</f>
        <v>-8626.95780226704</v>
      </c>
      <c r="O41" s="21" t="n">
        <f aca="false">-(IFERROR(O22/Premissas!$B$23,0)+IFERROR(O23/Premissas!$C$23,0)+IFERROR(O24/Premissas!$D$23,0)+IFERROR(O25/Premissas!$E$23,0))*Premissas!$B$24*(1+Premissas!$B$10)</f>
        <v>-12478.4891770792</v>
      </c>
      <c r="P41" s="21" t="n">
        <f aca="false">-(IFERROR(P22/Premissas!$B$23,0)+IFERROR(P23/Premissas!$C$23,0)+IFERROR(P24/Premissas!$D$23,0)+IFERROR(P25/Premissas!$E$23,0))*Premissas!$B$24*(1+Premissas!$B$10)</f>
        <v>-16309.8148603432</v>
      </c>
      <c r="Q41" s="21" t="n">
        <f aca="false">-(IFERROR(Q22/Premissas!$B$23,0)+IFERROR(Q23/Premissas!$C$23,0)+IFERROR(Q24/Premissas!$D$23,0)+IFERROR(Q25/Premissas!$E$23,0))*Premissas!$B$24*(1+Premissas!$B$10)</f>
        <v>-20120.6678899</v>
      </c>
      <c r="R41" s="21" t="n">
        <f aca="false">-(IFERROR(R22/Premissas!$B$23,0)+IFERROR(R23/Premissas!$C$23,0)+IFERROR(R24/Premissas!$D$23,0)+IFERROR(R25/Premissas!$E$23,0))*Premissas!$B$24*(1+Premissas!$B$10)</f>
        <v>-23910.796717222</v>
      </c>
      <c r="S41" s="21" t="n">
        <f aca="false">-(IFERROR(S22/Premissas!$B$23,0)+IFERROR(S23/Premissas!$C$23,0)+IFERROR(S24/Premissas!$D$23,0)+IFERROR(S25/Premissas!$E$23,0))*Premissas!$B$24*(1+Premissas!$B$10)</f>
        <v>-27679.9646830545</v>
      </c>
      <c r="T41" s="21" t="n">
        <f aca="false">-(IFERROR(T22/Premissas!$B$23,0)+IFERROR(T23/Premissas!$C$23,0)+IFERROR(T24/Premissas!$D$23,0)+IFERROR(T25/Premissas!$E$23,0))*Premissas!$B$24*(1+Premissas!$B$10)</f>
        <v>-31427.9495096785</v>
      </c>
      <c r="U41" s="21" t="n">
        <f aca="false">-(IFERROR(U22/Premissas!$B$23,0)+IFERROR(U23/Premissas!$C$23,0)+IFERROR(U24/Premissas!$D$23,0)+IFERROR(U25/Premissas!$E$23,0))*Premissas!$B$24*(1+Premissas!$B$10)</f>
        <v>-35154.5428092653</v>
      </c>
      <c r="V41" s="21" t="n">
        <f aca="false">-(IFERROR(V22/Premissas!$B$23,0)+IFERROR(V23/Premissas!$C$23,0)+IFERROR(V24/Premissas!$D$23,0)+IFERROR(V25/Premissas!$E$23,0))*Premissas!$B$24*(1+Premissas!$B$10)</f>
        <v>-38859.5496078093</v>
      </c>
      <c r="W41" s="21" t="n">
        <f aca="false">-(IFERROR(W22/Premissas!$B$23,0)+IFERROR(W23/Premissas!$C$23,0)+IFERROR(W24/Premissas!$D$23,0)+IFERROR(W25/Premissas!$E$23,0))*Premissas!$B$24*(1+Premissas!$B$10)</f>
        <v>-42542.7878841432</v>
      </c>
      <c r="X41" s="21" t="n">
        <f aca="false">-(IFERROR(X22/Premissas!$B$23,0)+IFERROR(X23/Premissas!$C$23,0)+IFERROR(X24/Premissas!$D$23,0)+IFERROR(X25/Premissas!$E$23,0))*Premissas!$B$24*(1+Premissas!$B$10)</f>
        <v>-46204.0881235558</v>
      </c>
      <c r="Y41" s="21" t="n">
        <f aca="false">-(IFERROR(Y22/Premissas!$B$23,0)+IFERROR(Y23/Premissas!$C$23,0)+IFERROR(Y24/Premissas!$D$23,0)+IFERROR(Y25/Premissas!$E$23,0))*Premissas!$B$24*(1+Premissas!$B$10)</f>
        <v>-49843.2928855464</v>
      </c>
      <c r="Z41" s="21" t="n">
        <f aca="false">-(IFERROR(Z22/Premissas!$B$23,0)+IFERROR(Z23/Premissas!$C$23,0)+IFERROR(Z24/Premissas!$D$23,0)+IFERROR(Z25/Premissas!$E$23,0))*Premissas!$B$24*(1+Premissas!$B$10)</f>
        <v>-53460.2563852679</v>
      </c>
      <c r="AA41" s="21" t="n">
        <f aca="false">-(IFERROR(AA22/Premissas!$B$23,0)+IFERROR(AA23/Premissas!$C$23,0)+IFERROR(AA24/Premissas!$D$23,0)+IFERROR(AA25/Premissas!$E$23,0))*Premissas!$B$24*(1+Premissas!$B$10)</f>
        <v>-66352.8999228448</v>
      </c>
      <c r="AB41" s="21" t="n">
        <f aca="false">-(IFERROR(AB22/Premissas!$B$23,0)+IFERROR(AB23/Premissas!$C$23,0)+IFERROR(AB24/Premissas!$D$23,0)+IFERROR(AB25/Premissas!$E$23,0))*Premissas!$B$24*(1+Premissas!$B$10)</f>
        <v>-79199.0402065086</v>
      </c>
      <c r="AC41" s="21" t="n">
        <f aca="false">-(IFERROR(AC22/Premissas!$B$23,0)+IFERROR(AC23/Premissas!$C$23,0)+IFERROR(AC24/Premissas!$D$23,0)+IFERROR(AC25/Premissas!$E$23,0))*Premissas!$B$24*(1+Premissas!$B$10)</f>
        <v>-91997.8774497757</v>
      </c>
      <c r="AD41" s="21" t="n">
        <f aca="false">-(IFERROR(AD22/Premissas!$B$23,0)+IFERROR(AD23/Premissas!$C$23,0)+IFERROR(AD24/Premissas!$D$23,0)+IFERROR(AD25/Premissas!$E$23,0))*Premissas!$B$24*(1+Premissas!$B$10)</f>
        <v>-104748.645748965</v>
      </c>
      <c r="AE41" s="21" t="n">
        <f aca="false">-(IFERROR(AE22/Premissas!$B$23,0)+IFERROR(AE23/Premissas!$C$23,0)+IFERROR(AE24/Premissas!$D$23,0)+IFERROR(AE25/Premissas!$E$23,0))*Premissas!$B$24*(1+Premissas!$B$10)</f>
        <v>-117450.612097213</v>
      </c>
      <c r="AF41" s="21" t="n">
        <f aca="false">-(IFERROR(AF22/Premissas!$B$23,0)+IFERROR(AF23/Premissas!$C$23,0)+IFERROR(AF24/Premissas!$D$23,0)+IFERROR(AF25/Premissas!$E$23,0))*Premissas!$B$24*(1+Premissas!$B$10)</f>
        <v>-130103.075426427</v>
      </c>
      <c r="AG41" s="21" t="n">
        <f aca="false">-(IFERROR(AG22/Premissas!$B$23,0)+IFERROR(AG23/Premissas!$C$23,0)+IFERROR(AG24/Premissas!$D$23,0)+IFERROR(AG25/Premissas!$E$23,0))*Premissas!$B$24*(1+Premissas!$B$10)</f>
        <v>-142705.365676374</v>
      </c>
      <c r="AH41" s="21" t="n">
        <f aca="false">-(IFERROR(AH22/Premissas!$B$23,0)+IFERROR(AH23/Premissas!$C$23,0)+IFERROR(AH24/Premissas!$D$23,0)+IFERROR(AH25/Premissas!$E$23,0))*Premissas!$B$24*(1+Premissas!$B$10)</f>
        <v>-155256.8428901</v>
      </c>
      <c r="AI41" s="21" t="n">
        <f aca="false">-(IFERROR(AI22/Premissas!$B$23,0)+IFERROR(AI23/Premissas!$C$23,0)+IFERROR(AI24/Premissas!$D$23,0)+IFERROR(AI25/Premissas!$E$23,0))*Premissas!$B$24*(1+Premissas!$B$10)</f>
        <v>-167756.896334928</v>
      </c>
      <c r="AJ41" s="21" t="n">
        <f aca="false">-(IFERROR(AJ22/Premissas!$B$23,0)+IFERROR(AJ23/Premissas!$C$23,0)+IFERROR(AJ24/Premissas!$D$23,0)+IFERROR(AJ25/Premissas!$E$23,0))*Premissas!$B$24*(1+Premissas!$B$10)</f>
        <v>-180204.943648277</v>
      </c>
      <c r="AK41" s="21" t="n">
        <f aca="false">-(IFERROR(AK22/Premissas!$B$23,0)+IFERROR(AK23/Premissas!$C$23,0)+IFERROR(AK24/Premissas!$D$23,0)+IFERROR(AK25/Premissas!$E$23,0))*Premissas!$B$24*(1+Premissas!$B$10)</f>
        <v>-192600.430007596</v>
      </c>
      <c r="AL41" s="21" t="n">
        <f aca="false">-(IFERROR(AL22/Premissas!$B$23,0)+IFERROR(AL23/Premissas!$C$23,0)+IFERROR(AL24/Premissas!$D$23,0)+IFERROR(AL25/Premissas!$E$23,0))*Premissas!$B$24*(1+Premissas!$B$10)</f>
        <v>-204942.827323696</v>
      </c>
      <c r="AM41" s="21" t="n">
        <f aca="false">-(IFERROR(AM22/Premissas!$B$23,0)+IFERROR(AM23/Premissas!$C$23,0)+IFERROR(AM24/Premissas!$D$23,0)+IFERROR(AM25/Premissas!$E$23,0))*Premissas!$B$24*(1+Premissas!$B$10)</f>
        <v>-229285.874160149</v>
      </c>
      <c r="AN41" s="21" t="n">
        <f aca="false">-(IFERROR(AN22/Premissas!$B$23,0)+IFERROR(AN23/Premissas!$C$23,0)+IFERROR(AN24/Premissas!$D$23,0)+IFERROR(AN25/Premissas!$E$23,0))*Premissas!$B$24*(1+Premissas!$B$10)</f>
        <v>-253571.114977273</v>
      </c>
      <c r="AO41" s="21" t="n">
        <f aca="false">-(IFERROR(AO22/Premissas!$B$23,0)+IFERROR(AO23/Premissas!$C$23,0)+IFERROR(AO24/Premissas!$D$23,0)+IFERROR(AO25/Premissas!$E$23,0))*Premissas!$B$24*(1+Premissas!$B$10)</f>
        <v>-277797.16469205</v>
      </c>
      <c r="AP41" s="21" t="n">
        <f aca="false">-(IFERROR(AP22/Premissas!$B$23,0)+IFERROR(AP23/Premissas!$C$23,0)+IFERROR(AP24/Premissas!$D$23,0)+IFERROR(AP25/Premissas!$E$23,0))*Premissas!$B$24*(1+Premissas!$B$10)</f>
        <v>-301962.68404921</v>
      </c>
      <c r="AQ41" s="21" t="n">
        <f aca="false">-(IFERROR(AQ22/Premissas!$B$23,0)+IFERROR(AQ23/Premissas!$C$23,0)+IFERROR(AQ24/Premissas!$D$23,0)+IFERROR(AQ25/Premissas!$E$23,0))*Premissas!$B$24*(1+Premissas!$B$10)</f>
        <v>-326066.378451771</v>
      </c>
      <c r="AR41" s="21" t="n">
        <f aca="false">-(IFERROR(AR22/Premissas!$B$23,0)+IFERROR(AR23/Premissas!$C$23,0)+IFERROR(AR24/Premissas!$D$23,0)+IFERROR(AR25/Premissas!$E$23,0))*Premissas!$B$24*(1+Premissas!$B$10)</f>
        <v>-350106.996821583</v>
      </c>
      <c r="AS41" s="21" t="n">
        <f aca="false">-(IFERROR(AS22/Premissas!$B$23,0)+IFERROR(AS23/Premissas!$C$23,0)+IFERROR(AS24/Premissas!$D$23,0)+IFERROR(AS25/Premissas!$E$23,0))*Premissas!$B$24*(1+Premissas!$B$10)</f>
        <v>-374083.330489095</v>
      </c>
      <c r="AT41" s="21" t="n">
        <f aca="false">-(IFERROR(AT22/Premissas!$B$23,0)+IFERROR(AT23/Premissas!$C$23,0)+IFERROR(AT24/Premissas!$D$23,0)+IFERROR(AT25/Premissas!$E$23,0))*Premissas!$B$24*(1+Premissas!$B$10)</f>
        <v>-397994.212111558</v>
      </c>
      <c r="AU41" s="21" t="n">
        <f aca="false">-(IFERROR(AU22/Premissas!$B$23,0)+IFERROR(AU23/Premissas!$C$23,0)+IFERROR(AU24/Premissas!$D$23,0)+IFERROR(AU25/Premissas!$E$23,0))*Premissas!$B$24*(1+Premissas!$B$10)</f>
        <v>-421838.514618896</v>
      </c>
      <c r="AV41" s="21" t="n">
        <f aca="false">-(IFERROR(AV22/Premissas!$B$23,0)+IFERROR(AV23/Premissas!$C$23,0)+IFERROR(AV24/Premissas!$D$23,0)+IFERROR(AV25/Premissas!$E$23,0))*Premissas!$B$24*(1+Premissas!$B$10)</f>
        <v>-445615.150186519</v>
      </c>
      <c r="AW41" s="21" t="n">
        <f aca="false">-(IFERROR(AW22/Premissas!$B$23,0)+IFERROR(AW23/Premissas!$C$23,0)+IFERROR(AW24/Premissas!$D$23,0)+IFERROR(AW25/Premissas!$E$23,0))*Premissas!$B$24*(1+Premissas!$B$10)</f>
        <v>-469323.069234362</v>
      </c>
      <c r="AX41" s="21" t="n">
        <f aca="false">-(IFERROR(AX22/Premissas!$B$23,0)+IFERROR(AX23/Premissas!$C$23,0)+IFERROR(AX24/Premissas!$D$23,0)+IFERROR(AX25/Premissas!$E$23,0))*Premissas!$B$24*(1+Premissas!$B$10)</f>
        <v>-492961.259451431</v>
      </c>
      <c r="AY41" s="21" t="n">
        <f aca="false">-(IFERROR(AY22/Premissas!$B$23,0)+IFERROR(AY23/Premissas!$C$23,0)+IFERROR(AY24/Premissas!$D$23,0)+IFERROR(AY25/Premissas!$E$23,0))*Premissas!$B$24*(1+Premissas!$B$10)</f>
        <v>-533160.214919094</v>
      </c>
      <c r="AZ41" s="21" t="n">
        <f aca="false">-(IFERROR(AZ22/Premissas!$B$23,0)+IFERROR(AZ23/Premissas!$C$23,0)+IFERROR(AZ24/Premissas!$D$23,0)+IFERROR(AZ25/Premissas!$E$23,0))*Premissas!$B$24*(1+Premissas!$B$10)</f>
        <v>-573299.372037723</v>
      </c>
      <c r="BA41" s="21" t="n">
        <f aca="false">-(IFERROR(BA22/Premissas!$B$23,0)+IFERROR(BA23/Premissas!$C$23,0)+IFERROR(BA24/Premissas!$D$23,0)+IFERROR(BA25/Premissas!$E$23,0))*Premissas!$B$24*(1+Premissas!$B$10)</f>
        <v>-613376.999757324</v>
      </c>
      <c r="BB41" s="21" t="n">
        <f aca="false">-(IFERROR(BB22/Premissas!$B$23,0)+IFERROR(BB23/Premissas!$C$23,0)+IFERROR(BB24/Premissas!$D$23,0)+IFERROR(BB25/Premissas!$E$23,0))*Premissas!$B$24*(1+Premissas!$B$10)</f>
        <v>-653391.413274421</v>
      </c>
      <c r="BC41" s="21" t="n">
        <f aca="false">-(IFERROR(BC22/Premissas!$B$23,0)+IFERROR(BC23/Premissas!$C$23,0)+IFERROR(BC24/Premissas!$D$23,0)+IFERROR(BC25/Premissas!$E$23,0))*Premissas!$B$24*(1+Premissas!$B$10)</f>
        <v>-693340.972994106</v>
      </c>
      <c r="BD41" s="21" t="n">
        <f aca="false">-(IFERROR(BD22/Premissas!$B$23,0)+IFERROR(BD23/Premissas!$C$23,0)+IFERROR(BD24/Premissas!$D$23,0)+IFERROR(BD25/Premissas!$E$23,0))*Premissas!$B$24*(1+Premissas!$B$10)</f>
        <v>-733224.083516245</v>
      </c>
      <c r="BE41" s="21" t="n">
        <f aca="false">-(IFERROR(BE22/Premissas!$B$23,0)+IFERROR(BE23/Premissas!$C$23,0)+IFERROR(BE24/Premissas!$D$23,0)+IFERROR(BE25/Premissas!$E$23,0))*Premissas!$B$24*(1+Premissas!$B$10)</f>
        <v>-773039.192645263</v>
      </c>
      <c r="BF41" s="21" t="n">
        <f aca="false">-(IFERROR(BF22/Premissas!$B$23,0)+IFERROR(BF23/Premissas!$C$23,0)+IFERROR(BF24/Premissas!$D$23,0)+IFERROR(BF25/Premissas!$E$23,0))*Premissas!$B$24*(1+Premissas!$B$10)</f>
        <v>-812784.790422901</v>
      </c>
      <c r="BG41" s="21" t="n">
        <f aca="false">-(IFERROR(BG22/Premissas!$B$23,0)+IFERROR(BG23/Premissas!$C$23,0)+IFERROR(BG24/Premissas!$D$23,0)+IFERROR(BG25/Premissas!$E$23,0))*Premissas!$B$24*(1+Premissas!$B$10)</f>
        <v>-852459.408183415</v>
      </c>
      <c r="BH41" s="21" t="n">
        <f aca="false">-(IFERROR(BH22/Premissas!$B$23,0)+IFERROR(BH23/Premissas!$C$23,0)+IFERROR(BH24/Premissas!$D$23,0)+IFERROR(BH25/Premissas!$E$23,0))*Premissas!$B$24*(1+Premissas!$B$10)</f>
        <v>-892061.617630647</v>
      </c>
      <c r="BI41" s="21" t="n">
        <f aca="false">-(IFERROR(BI22/Premissas!$B$23,0)+IFERROR(BI23/Premissas!$C$23,0)+IFERROR(BI24/Premissas!$D$23,0)+IFERROR(BI25/Premissas!$E$23,0))*Premissas!$B$24*(1+Premissas!$B$10)</f>
        <v>-931590.029936429</v>
      </c>
      <c r="BJ41" s="21" t="n">
        <f aca="false">-(IFERROR(BJ22/Premissas!$B$23,0)+IFERROR(BJ23/Premissas!$C$23,0)+IFERROR(BJ24/Premissas!$D$23,0)+IFERROR(BJ25/Premissas!$E$23,0))*Premissas!$B$24*(1+Premissas!$B$10)</f>
        <v>-971043.294859825</v>
      </c>
    </row>
    <row r="42" customFormat="false" ht="15" hidden="false" customHeight="false" outlineLevel="0" collapsed="false">
      <c r="A42" s="5" t="s">
        <v>243</v>
      </c>
      <c r="C42" s="21" t="n">
        <f aca="false">-C35*Premissas!$B$9</f>
        <v>-853.118481390972</v>
      </c>
      <c r="D42" s="21" t="n">
        <f aca="false">-D35*Premissas!$B$9</f>
        <v>-1399.97358658552</v>
      </c>
      <c r="E42" s="21" t="n">
        <f aca="false">-E35*Premissas!$B$9</f>
        <v>-1939.64296876462</v>
      </c>
      <c r="F42" s="21" t="n">
        <f aca="false">-F35*Premissas!$B$9</f>
        <v>-2472.2203820431</v>
      </c>
      <c r="G42" s="21" t="n">
        <f aca="false">-G35*Premissas!$B$9</f>
        <v>-2997.7983670897</v>
      </c>
      <c r="H42" s="21" t="n">
        <f aca="false">-H35*Premissas!$B$9</f>
        <v>-3516.46826678463</v>
      </c>
      <c r="I42" s="21" t="n">
        <f aca="false">-I35*Premissas!$B$9</f>
        <v>-4028.3202416703</v>
      </c>
      <c r="J42" s="21" t="n">
        <f aca="false">-J35*Premissas!$B$9</f>
        <v>-4533.44328519807</v>
      </c>
      <c r="K42" s="21" t="n">
        <f aca="false">-K35*Premissas!$B$9</f>
        <v>-5031.92523877408</v>
      </c>
      <c r="L42" s="21" t="n">
        <f aca="false">-L35*Premissas!$B$9</f>
        <v>-5523.85280660726</v>
      </c>
      <c r="M42" s="21" t="n">
        <f aca="false">-M35*Premissas!$B$9</f>
        <v>-6009.31157036208</v>
      </c>
      <c r="N42" s="21" t="n">
        <f aca="false">-N35*Premissas!$B$9</f>
        <v>-6488.38600361921</v>
      </c>
      <c r="O42" s="21" t="n">
        <f aca="false">-O35*Premissas!$B$9</f>
        <v>-9507.29682006516</v>
      </c>
      <c r="P42" s="21" t="n">
        <f aca="false">-P35*Premissas!$B$9</f>
        <v>-11457.7902845864</v>
      </c>
      <c r="Q42" s="21" t="n">
        <f aca="false">-Q35*Premissas!$B$9</f>
        <v>-13389.6781337812</v>
      </c>
      <c r="R42" s="21" t="n">
        <f aca="false">-R35*Premissas!$B$9</f>
        <v>-15303.114902402</v>
      </c>
      <c r="S42" s="21" t="n">
        <f aca="false">-S35*Premissas!$B$9</f>
        <v>-17198.2545327097</v>
      </c>
      <c r="T42" s="21" t="n">
        <f aca="false">-T35*Premissas!$B$9</f>
        <v>-19075.2503515172</v>
      </c>
      <c r="U42" s="21" t="n">
        <f aca="false">-U35*Premissas!$B$9</f>
        <v>-20934.2550483673</v>
      </c>
      <c r="V42" s="21" t="n">
        <f aca="false">-V35*Premissas!$B$9</f>
        <v>-22775.4206548048</v>
      </c>
      <c r="W42" s="21" t="n">
        <f aca="false">-W35*Premissas!$B$9</f>
        <v>-24598.8985247026</v>
      </c>
      <c r="X42" s="21" t="n">
        <f aca="false">-X35*Premissas!$B$9</f>
        <v>-26404.8393156039</v>
      </c>
      <c r="Y42" s="21" t="n">
        <f aca="false">-Y35*Premissas!$B$9</f>
        <v>-28193.3929710459</v>
      </c>
      <c r="Z42" s="21" t="n">
        <f aca="false">-Z35*Premissas!$B$9</f>
        <v>-29964.7087038266</v>
      </c>
      <c r="AA42" s="21" t="n">
        <f aca="false">-AA35*Premissas!$B$9</f>
        <v>-38439.5590568808</v>
      </c>
      <c r="AB42" s="21" t="n">
        <f aca="false">-AB35*Premissas!$B$9</f>
        <v>-43834.3538658935</v>
      </c>
      <c r="AC42" s="21" t="n">
        <f aca="false">-AC35*Premissas!$B$9</f>
        <v>-49193.6073386571</v>
      </c>
      <c r="AD42" s="21" t="n">
        <f aca="false">-AD35*Premissas!$B$9</f>
        <v>-54517.4562282509</v>
      </c>
      <c r="AE42" s="21" t="n">
        <f aca="false">-AE35*Premissas!$B$9</f>
        <v>-59806.0395839767</v>
      </c>
      <c r="AF42" s="21" t="n">
        <f aca="false">-AF35*Premissas!$B$9</f>
        <v>-65059.4986444892</v>
      </c>
      <c r="AG42" s="21" t="n">
        <f aca="false">-AG35*Premissas!$B$9</f>
        <v>-70277.9767342926</v>
      </c>
      <c r="AH42" s="21" t="n">
        <f aca="false">-AH35*Premissas!$B$9</f>
        <v>-75461.6191635014</v>
      </c>
      <c r="AI42" s="21" t="n">
        <f aca="false">-AI35*Premissas!$B$9</f>
        <v>-80610.5731307673</v>
      </c>
      <c r="AJ42" s="21" t="n">
        <f aca="false">-AJ35*Premissas!$B$9</f>
        <v>-85724.9876292753</v>
      </c>
      <c r="AK42" s="21" t="n">
        <f aca="false">-AK35*Premissas!$B$9</f>
        <v>-90805.0133557174</v>
      </c>
      <c r="AL42" s="21" t="n">
        <f aca="false">-AL35*Premissas!$B$9</f>
        <v>-95850.8026221538</v>
      </c>
      <c r="AM42" s="21" t="n">
        <f aca="false">-AM35*Premissas!$B$9</f>
        <v>-110316.706624545</v>
      </c>
      <c r="AN42" s="21" t="n">
        <f aca="false">-AN35*Premissas!$B$9</f>
        <v>-120127.194698097</v>
      </c>
      <c r="AO42" s="21" t="n">
        <f aca="false">-AO35*Premissas!$B$9</f>
        <v>-129890.859825086</v>
      </c>
      <c r="AP42" s="21" t="n">
        <f aca="false">-AP35*Premissas!$B$9</f>
        <v>-139607.743962853</v>
      </c>
      <c r="AQ42" s="21" t="n">
        <f aca="false">-AQ35*Premissas!$B$9</f>
        <v>-149277.894070942</v>
      </c>
      <c r="AR42" s="21" t="n">
        <f aca="false">-AR35*Premissas!$B$9</f>
        <v>-158901.36195336</v>
      </c>
      <c r="AS42" s="21" t="n">
        <f aca="false">-AS35*Premissas!$B$9</f>
        <v>-168478.204105142</v>
      </c>
      <c r="AT42" s="21" t="n">
        <f aca="false">-AT35*Premissas!$B$9</f>
        <v>-178008.481563078</v>
      </c>
      <c r="AU42" s="21" t="n">
        <f aca="false">-AU35*Premissas!$B$9</f>
        <v>-187492.259760513</v>
      </c>
      <c r="AV42" s="21" t="n">
        <f aca="false">-AV35*Premissas!$B$9</f>
        <v>-196929.608386085</v>
      </c>
      <c r="AW42" s="21" t="n">
        <f aca="false">-AW35*Premissas!$B$9</f>
        <v>-206320.601246319</v>
      </c>
      <c r="AX42" s="21" t="n">
        <f aca="false">-AX35*Premissas!$B$9</f>
        <v>-215665.316131941</v>
      </c>
      <c r="AY42" s="21" t="n">
        <f aca="false">-AY35*Premissas!$B$9</f>
        <v>-238642.393297799</v>
      </c>
      <c r="AZ42" s="21" t="n">
        <f aca="false">-AZ35*Premissas!$B$9</f>
        <v>-253969.62854592</v>
      </c>
      <c r="BA42" s="21" t="n">
        <f aca="false">-BA35*Premissas!$B$9</f>
        <v>-269248.219866633</v>
      </c>
      <c r="BB42" s="21" t="n">
        <f aca="false">-BB35*Premissas!$B$9</f>
        <v>-284478.072772046</v>
      </c>
      <c r="BC42" s="21" t="n">
        <f aca="false">-BC35*Premissas!$B$9</f>
        <v>-299659.099174896</v>
      </c>
      <c r="BD42" s="21" t="n">
        <f aca="false">-BD35*Premissas!$B$9</f>
        <v>-314791.217228786</v>
      </c>
      <c r="BE42" s="21" t="n">
        <f aca="false">-BE35*Premissas!$B$9</f>
        <v>-329874.351172267</v>
      </c>
      <c r="BF42" s="21" t="n">
        <f aca="false">-BF35*Premissas!$B$9</f>
        <v>-344908.431176696</v>
      </c>
      <c r="BG42" s="21" t="n">
        <f aca="false">-BG35*Premissas!$B$9</f>
        <v>-359893.393197746</v>
      </c>
      <c r="BH42" s="21" t="n">
        <f aca="false">-BH35*Premissas!$B$9</f>
        <v>-374829.178830498</v>
      </c>
      <c r="BI42" s="21" t="n">
        <f aca="false">-BI35*Premissas!$B$9</f>
        <v>-389715.735168014</v>
      </c>
      <c r="BJ42" s="21" t="n">
        <f aca="false">-BJ35*Premissas!$B$9</f>
        <v>-404553.014663312</v>
      </c>
    </row>
    <row r="43" customFormat="false" ht="15" hidden="false" customHeight="false" outlineLevel="0" collapsed="false">
      <c r="A43" s="18" t="s">
        <v>244</v>
      </c>
      <c r="C43" s="30" t="n">
        <f aca="false">SUM(C39:C42)</f>
        <v>-2952.15430083542</v>
      </c>
      <c r="D43" s="30" t="n">
        <f aca="false">SUM(D39:D42)</f>
        <v>-5574.34280529385</v>
      </c>
      <c r="E43" s="30" t="n">
        <f aca="false">SUM(E39:E42)</f>
        <v>-8165.84777511213</v>
      </c>
      <c r="F43" s="30" t="n">
        <f aca="false">SUM(F39:F42)</f>
        <v>-10726.9679723643</v>
      </c>
      <c r="G43" s="30" t="n">
        <f aca="false">SUM(G39:G42)</f>
        <v>-13258.0012451283</v>
      </c>
      <c r="H43" s="30" t="n">
        <f aca="false">SUM(H39:H42)</f>
        <v>-15759.2444475735</v>
      </c>
      <c r="I43" s="30" t="n">
        <f aca="false">SUM(I39:I42)</f>
        <v>-18230.9933640646</v>
      </c>
      <c r="J43" s="30" t="n">
        <f aca="false">SUM(J39:J42)</f>
        <v>-20673.5426371271</v>
      </c>
      <c r="K43" s="30" t="n">
        <f aca="false">SUM(K39:K42)</f>
        <v>-23087.185699129</v>
      </c>
      <c r="L43" s="30" t="n">
        <f aca="false">SUM(L39:L42)</f>
        <v>-25472.2147075346</v>
      </c>
      <c r="M43" s="30" t="n">
        <f aca="false">SUM(M39:M42)</f>
        <v>-27828.9204835955</v>
      </c>
      <c r="N43" s="30" t="n">
        <f aca="false">SUM(N39:N42)</f>
        <v>-30157.5924543459</v>
      </c>
      <c r="O43" s="30" t="n">
        <f aca="false">SUM(O39:O42)</f>
        <v>-41522.9846225252</v>
      </c>
      <c r="P43" s="30" t="n">
        <f aca="false">SUM(P39:P42)</f>
        <v>-51754.731019226</v>
      </c>
      <c r="Q43" s="30" t="n">
        <f aca="false">SUM(Q39:Q42)</f>
        <v>-61902.8151906281</v>
      </c>
      <c r="R43" s="30" t="n">
        <f aca="false">SUM(R39:R42)</f>
        <v>-71967.574836116</v>
      </c>
      <c r="S43" s="30" t="n">
        <f aca="false">SUM(S39:S42)</f>
        <v>-81949.3579269458</v>
      </c>
      <c r="T43" s="30" t="n">
        <f aca="false">SUM(T39:T42)</f>
        <v>-91848.5222090111</v>
      </c>
      <c r="U43" s="30" t="n">
        <f aca="false">SUM(U39:U42)</f>
        <v>-101665.434722624</v>
      </c>
      <c r="V43" s="30" t="n">
        <f aca="false">SUM(V39:V42)</f>
        <v>-111400.471338755</v>
      </c>
      <c r="W43" s="30" t="n">
        <f aca="false">SUM(W39:W42)</f>
        <v>-121054.016311202</v>
      </c>
      <c r="X43" s="30" t="n">
        <f aca="false">SUM(X39:X42)</f>
        <v>-130626.461844165</v>
      </c>
      <c r="Y43" s="30" t="n">
        <f aca="false">SUM(Y39:Y42)</f>
        <v>-140118.207674723</v>
      </c>
      <c r="Z43" s="30" t="n">
        <f aca="false">SUM(Z39:Z42)</f>
        <v>-149529.660669746</v>
      </c>
      <c r="AA43" s="30" t="n">
        <f aca="false">SUM(AA39:AA42)</f>
        <v>-182565.471677288</v>
      </c>
      <c r="AB43" s="30" t="n">
        <f aca="false">SUM(AB39:AB42)</f>
        <v>-212393.279022537</v>
      </c>
      <c r="AC43" s="30" t="n">
        <f aca="false">SUM(AC39:AC42)</f>
        <v>-242057.238620895</v>
      </c>
      <c r="AD43" s="30" t="n">
        <f aca="false">SUM(AD39:AD42)</f>
        <v>-271557.163712196</v>
      </c>
      <c r="AE43" s="30" t="n">
        <f aca="false">SUM(AE39:AE42)</f>
        <v>-300892.903510298</v>
      </c>
      <c r="AF43" s="30" t="n">
        <f aca="false">SUM(AF39:AF42)</f>
        <v>-330064.342026668</v>
      </c>
      <c r="AG43" s="30" t="n">
        <f aca="false">SUM(AG39:AG42)</f>
        <v>-359071.396928212</v>
      </c>
      <c r="AH43" s="30" t="n">
        <f aca="false">SUM(AH39:AH42)</f>
        <v>-387914.018428334</v>
      </c>
      <c r="AI43" s="30" t="n">
        <f aca="false">SUM(AI39:AI42)</f>
        <v>-416592.188210256</v>
      </c>
      <c r="AJ43" s="30" t="n">
        <f aca="false">SUM(AJ39:AJ42)</f>
        <v>-445105.918381659</v>
      </c>
      <c r="AK43" s="30" t="n">
        <f aca="false">SUM(AK39:AK42)</f>
        <v>-473455.25045971</v>
      </c>
      <c r="AL43" s="30" t="n">
        <f aca="false">SUM(AL39:AL42)</f>
        <v>-501640.254385611</v>
      </c>
      <c r="AM43" s="30" t="n">
        <f aca="false">SUM(AM39:AM42)</f>
        <v>-561023.132617929</v>
      </c>
      <c r="AN43" s="30" t="n">
        <f aca="false">SUM(AN39:AN42)</f>
        <v>-615587.864195215</v>
      </c>
      <c r="AO43" s="30" t="n">
        <f aca="false">SUM(AO39:AO42)</f>
        <v>-669941.930465413</v>
      </c>
      <c r="AP43" s="30" t="n">
        <f aca="false">SUM(AP39:AP42)</f>
        <v>-724084.313470627</v>
      </c>
      <c r="AQ43" s="30" t="n">
        <f aca="false">SUM(AQ39:AQ42)</f>
        <v>-778014.050592335</v>
      </c>
      <c r="AR43" s="30" t="n">
        <f aca="false">SUM(AR39:AR42)</f>
        <v>-831730.233047557</v>
      </c>
      <c r="AS43" s="30" t="n">
        <f aca="false">SUM(AS39:AS42)</f>
        <v>-885232.004424174</v>
      </c>
      <c r="AT43" s="30" t="n">
        <f aca="false">SUM(AT39:AT42)</f>
        <v>-938518.559254367</v>
      </c>
      <c r="AU43" s="30" t="n">
        <f aca="false">SUM(AU39:AU42)</f>
        <v>-991589.141625132</v>
      </c>
      <c r="AV43" s="30" t="n">
        <f aca="false">SUM(AV39:AV42)</f>
        <v>-1044443.0438249</v>
      </c>
      <c r="AW43" s="30" t="n">
        <f aca="false">SUM(AW39:AW42)</f>
        <v>-1097079.60502526</v>
      </c>
      <c r="AX43" s="30" t="n">
        <f aca="false">SUM(AX39:AX42)</f>
        <v>-1149498.20999689</v>
      </c>
      <c r="AY43" s="30" t="n">
        <f aca="false">SUM(AY39:AY42)</f>
        <v>-1243809.52567526</v>
      </c>
      <c r="AZ43" s="30" t="n">
        <f aca="false">SUM(AZ39:AZ42)</f>
        <v>-1330304.86238042</v>
      </c>
      <c r="BA43" s="30" t="n">
        <f aca="false">SUM(BA39:BA42)</f>
        <v>-1416583.67070721</v>
      </c>
      <c r="BB43" s="30" t="n">
        <f aca="false">SUM(BB39:BB42)</f>
        <v>-1502644.16419546</v>
      </c>
      <c r="BC43" s="30" t="n">
        <f aca="false">SUM(BC39:BC42)</f>
        <v>-1588484.61693489</v>
      </c>
      <c r="BD43" s="30" t="n">
        <f aca="false">SUM(BD39:BD42)</f>
        <v>-1674103.36216129</v>
      </c>
      <c r="BE43" s="30" t="n">
        <f aca="false">SUM(BE39:BE42)</f>
        <v>-1759498.79088563</v>
      </c>
      <c r="BF43" s="30" t="n">
        <f aca="false">SUM(BF39:BF42)</f>
        <v>-1844669.35055522</v>
      </c>
      <c r="BG43" s="30" t="n">
        <f aca="false">SUM(BG39:BG42)</f>
        <v>-1929613.54374633</v>
      </c>
      <c r="BH43" s="30" t="n">
        <f aca="false">SUM(BH39:BH42)</f>
        <v>-2014329.92688723</v>
      </c>
      <c r="BI43" s="30" t="n">
        <f aca="false">SUM(BI39:BI42)</f>
        <v>-2098817.10901119</v>
      </c>
      <c r="BJ43" s="30" t="n">
        <f aca="false">SUM(BJ39:BJ42)</f>
        <v>-2183073.75053841</v>
      </c>
    </row>
    <row r="44" customFormat="false" ht="15" hidden="false" customHeight="false" outlineLevel="0" collapsed="false">
      <c r="A44" s="18" t="s">
        <v>130</v>
      </c>
      <c r="C44" s="30" t="n">
        <f aca="false">C37+C43</f>
        <v>18741.4299402493</v>
      </c>
      <c r="D44" s="30" t="n">
        <f aca="false">D37+D43</f>
        <v>30024.9855393094</v>
      </c>
      <c r="E44" s="30" t="n">
        <f aca="false">E37+E43</f>
        <v>41156.5020020453</v>
      </c>
      <c r="F44" s="30" t="n">
        <f aca="false">F37+F43</f>
        <v>52138.0645995889</v>
      </c>
      <c r="G44" s="30" t="n">
        <f aca="false">G37+G43</f>
        <v>62971.7286608669</v>
      </c>
      <c r="H44" s="30" t="n">
        <f aca="false">H37+H43</f>
        <v>73659.5200506642</v>
      </c>
      <c r="I44" s="30" t="n">
        <f aca="false">I37+I43</f>
        <v>84203.4356384088</v>
      </c>
      <c r="J44" s="30" t="n">
        <f aca="false">J37+J43</f>
        <v>94605.4437579094</v>
      </c>
      <c r="K44" s="30" t="n">
        <f aca="false">K37+K43</f>
        <v>104867.484658269</v>
      </c>
      <c r="L44" s="30" t="n">
        <f aca="false">L37+L43</f>
        <v>114991.470946193</v>
      </c>
      <c r="M44" s="30" t="n">
        <f aca="false">M37+M43</f>
        <v>124979.288019897</v>
      </c>
      <c r="N44" s="30" t="n">
        <f aca="false">N37+N43</f>
        <v>134832.794494828</v>
      </c>
      <c r="O44" s="30" t="n">
        <f aca="false">O37+O43</f>
        <v>200233.991659132</v>
      </c>
      <c r="P44" s="30" t="n">
        <f aca="false">P37+P43</f>
        <v>239600.507645971</v>
      </c>
      <c r="Q44" s="30" t="n">
        <f aca="false">Q37+Q43</f>
        <v>278577.571639808</v>
      </c>
      <c r="R44" s="30" t="n">
        <f aca="false">R37+R43</f>
        <v>317168.77553925</v>
      </c>
      <c r="S44" s="30" t="n">
        <f aca="false">S37+S43</f>
        <v>355377.685904816</v>
      </c>
      <c r="T44" s="30" t="n">
        <f aca="false">T37+T43</f>
        <v>393207.843872425</v>
      </c>
      <c r="U44" s="30" t="n">
        <f aca="false">U37+U43</f>
        <v>430662.765078716</v>
      </c>
      <c r="V44" s="30" t="n">
        <f aca="false">V37+V43</f>
        <v>467745.939597711</v>
      </c>
      <c r="W44" s="30" t="n">
        <f aca="false">W37+W43</f>
        <v>504460.831888377</v>
      </c>
      <c r="X44" s="30" t="n">
        <f aca="false">X37+X43</f>
        <v>540810.88075262</v>
      </c>
      <c r="Y44" s="30" t="n">
        <f aca="false">Y37+Y43</f>
        <v>576799.499303301</v>
      </c>
      <c r="Z44" s="30" t="n">
        <f aca="false">Z37+Z43</f>
        <v>612430.074941846</v>
      </c>
      <c r="AA44" s="30" t="n">
        <f aca="false">AA37+AA43</f>
        <v>736359.644405346</v>
      </c>
      <c r="AB44" s="30" t="n">
        <f aca="false">AB37+AB43</f>
        <v>835498.260394409</v>
      </c>
      <c r="AC44" s="30" t="n">
        <f aca="false">AC37+AC43</f>
        <v>933951.083100658</v>
      </c>
      <c r="AD44" s="30" t="n">
        <f aca="false">AD37+AD43</f>
        <v>1031721.5684643</v>
      </c>
      <c r="AE44" s="30" t="n">
        <f aca="false">AE37+AE43</f>
        <v>1128813.19134437</v>
      </c>
      <c r="AF44" s="30" t="n">
        <f aca="false">AF37+AF43</f>
        <v>1225229.44414031</v>
      </c>
      <c r="AG44" s="30" t="n">
        <f aca="false">AG37+AG43</f>
        <v>1320973.83545986</v>
      </c>
      <c r="AH44" s="30" t="n">
        <f aca="false">AH37+AH43</f>
        <v>1416049.88883171</v>
      </c>
      <c r="AI44" s="30" t="n">
        <f aca="false">AI37+AI43</f>
        <v>1510461.14146154</v>
      </c>
      <c r="AJ44" s="30" t="n">
        <f aca="false">AJ37+AJ43</f>
        <v>1604211.14303019</v>
      </c>
      <c r="AK44" s="30" t="n">
        <f aca="false">AK37+AK43</f>
        <v>1697303.45453254</v>
      </c>
      <c r="AL44" s="30" t="n">
        <f aca="false">AL37+AL43</f>
        <v>1789741.64715599</v>
      </c>
      <c r="AM44" s="30" t="n">
        <f aca="false">AM37+AM43</f>
        <v>2076176.53688942</v>
      </c>
      <c r="AN44" s="30" t="n">
        <f aca="false">AN37+AN43</f>
        <v>2256138.53020186</v>
      </c>
      <c r="AO44" s="30" t="n">
        <f aca="false">AO37+AO43</f>
        <v>2435191.85283885</v>
      </c>
      <c r="AP44" s="30" t="n">
        <f aca="false">AP37+AP43</f>
        <v>2613338.52577849</v>
      </c>
      <c r="AQ44" s="30" t="n">
        <f aca="false">AQ37+AQ43</f>
        <v>2790580.63424072</v>
      </c>
      <c r="AR44" s="30" t="n">
        <f aca="false">AR37+AR43</f>
        <v>2966920.32542034</v>
      </c>
      <c r="AS44" s="30" t="n">
        <f aca="false">AS37+AS43</f>
        <v>3142359.80628361</v>
      </c>
      <c r="AT44" s="30" t="n">
        <f aca="false">AT37+AT43</f>
        <v>3316901.34142642</v>
      </c>
      <c r="AU44" s="30" t="n">
        <f aca="false">AU37+AU43</f>
        <v>3490547.25099261</v>
      </c>
      <c r="AV44" s="30" t="n">
        <f aca="false">AV37+AV43</f>
        <v>3663299.90865046</v>
      </c>
      <c r="AW44" s="30" t="n">
        <f aca="false">AW37+AW43</f>
        <v>3835161.73962602</v>
      </c>
      <c r="AX44" s="30" t="n">
        <f aca="false">AX37+AX43</f>
        <v>4006135.21879155</v>
      </c>
      <c r="AY44" s="30" t="n">
        <f aca="false">AY37+AY43</f>
        <v>4461107.34496098</v>
      </c>
      <c r="AZ44" s="30" t="n">
        <f aca="false">AZ37+AZ43</f>
        <v>4741020.51488733</v>
      </c>
      <c r="BA44" s="30" t="n">
        <f aca="false">BA37+BA43</f>
        <v>5019987.3453617</v>
      </c>
      <c r="BB44" s="30" t="n">
        <f aca="false">BB37+BB43</f>
        <v>5298007.3640437</v>
      </c>
      <c r="BC44" s="30" t="n">
        <f aca="false">BC37+BC43</f>
        <v>5575080.1910547</v>
      </c>
      <c r="BD44" s="30" t="n">
        <f aca="false">BD37+BD43</f>
        <v>5851205.53656227</v>
      </c>
      <c r="BE44" s="30" t="n">
        <f aca="false">BE37+BE43</f>
        <v>6126383.19842396</v>
      </c>
      <c r="BF44" s="30" t="n">
        <f aca="false">BF37+BF43</f>
        <v>6400613.05988882</v>
      </c>
      <c r="BG44" s="30" t="n">
        <f aca="false">BG37+BG43</f>
        <v>6673895.08735522</v>
      </c>
      <c r="BH44" s="30" t="n">
        <f aca="false">BH37+BH43</f>
        <v>6946229.32818356</v>
      </c>
      <c r="BI44" s="30" t="n">
        <f aca="false">BI37+BI43</f>
        <v>7217615.90856246</v>
      </c>
      <c r="BJ44" s="30" t="n">
        <f aca="false">BJ37+BJ43</f>
        <v>7488055.0314271</v>
      </c>
    </row>
    <row r="45" customFormat="false" ht="15" hidden="false" customHeight="false" outlineLevel="0" collapsed="false">
      <c r="A45" s="5" t="s">
        <v>245</v>
      </c>
      <c r="C45" s="15" t="n">
        <f aca="false">IFERROR(C44/C37,0)</f>
        <v>0.86391578874069</v>
      </c>
      <c r="D45" s="15" t="n">
        <f aca="false">IFERROR(D44/D37,0)</f>
        <v>0.843414382672225</v>
      </c>
      <c r="E45" s="15" t="n">
        <f aca="false">IFERROR(E44/E37,0)</f>
        <v>0.834439198213262</v>
      </c>
      <c r="F45" s="15" t="n">
        <f aca="false">IFERROR(F44/F37,0)</f>
        <v>0.82936510913143</v>
      </c>
      <c r="G45" s="15" t="n">
        <f aca="false">IFERROR(G44/G37,0)</f>
        <v>0.826078338969877</v>
      </c>
      <c r="H45" s="15" t="n">
        <f aca="false">IFERROR(H44/H37,0)</f>
        <v>0.823759089761477</v>
      </c>
      <c r="I45" s="15" t="n">
        <f aca="false">IFERROR(I44/I37,0)</f>
        <v>0.822022795054343</v>
      </c>
      <c r="J45" s="15" t="n">
        <f aca="false">IFERROR(J44/J37,0)</f>
        <v>0.82066512481049</v>
      </c>
      <c r="K45" s="15" t="n">
        <f aca="false">IFERROR(K44/K37,0)</f>
        <v>0.819567463738191</v>
      </c>
      <c r="L45" s="15" t="n">
        <f aca="false">IFERROR(L44/L37,0)</f>
        <v>0.818656227130983</v>
      </c>
      <c r="M45" s="15" t="n">
        <f aca="false">IFERROR(M44/M37,0)</f>
        <v>0.817883340455762</v>
      </c>
      <c r="N45" s="15" t="n">
        <f aca="false">IFERROR(N44/N37,0)</f>
        <v>0.817216063238666</v>
      </c>
      <c r="O45" s="15" t="n">
        <f aca="false">IFERROR(O44/O37,0)</f>
        <v>0.828244937287149</v>
      </c>
      <c r="P45" s="15" t="n">
        <f aca="false">IFERROR(P44/P37,0)</f>
        <v>0.822365538178298</v>
      </c>
      <c r="Q45" s="15" t="n">
        <f aca="false">IFERROR(Q44/Q37,0)</f>
        <v>0.818189776606849</v>
      </c>
      <c r="R45" s="15" t="n">
        <f aca="false">IFERROR(R44/R37,0)</f>
        <v>0.815058205776214</v>
      </c>
      <c r="S45" s="15" t="n">
        <f aca="false">IFERROR(S44/S37,0)</f>
        <v>0.812613102521802</v>
      </c>
      <c r="T45" s="15" t="n">
        <f aca="false">IFERROR(T44/T37,0)</f>
        <v>0.810643610450851</v>
      </c>
      <c r="U45" s="15" t="n">
        <f aca="false">IFERROR(U44/U37,0)</f>
        <v>0.809017379202221</v>
      </c>
      <c r="V45" s="15" t="n">
        <f aca="false">IFERROR(V44/V37,0)</f>
        <v>0.807647135102464</v>
      </c>
      <c r="W45" s="15" t="n">
        <f aca="false">IFERROR(W44/W37,0)</f>
        <v>0.806472993151749</v>
      </c>
      <c r="X45" s="15" t="n">
        <f aca="false">IFERROR(X44/X37,0)</f>
        <v>0.805452491904953</v>
      </c>
      <c r="Y45" s="15" t="n">
        <f aca="false">IFERROR(Y44/Y37,0)</f>
        <v>0.804554684155656</v>
      </c>
      <c r="Z45" s="15" t="n">
        <f aca="false">IFERROR(Z44/Z37,0)</f>
        <v>0.803756479927742</v>
      </c>
      <c r="AA45" s="15" t="n">
        <f aca="false">IFERROR(AA44/AA37,0)</f>
        <v>0.801327150077732</v>
      </c>
      <c r="AB45" s="15" t="n">
        <f aca="false">IFERROR(AB44/AB37,0)</f>
        <v>0.797313680821667</v>
      </c>
      <c r="AC45" s="15" t="n">
        <f aca="false">IFERROR(AC44/AC37,0)</f>
        <v>0.794170471288376</v>
      </c>
      <c r="AD45" s="15" t="n">
        <f aca="false">IFERROR(AD44/AD37,0)</f>
        <v>0.791635390797262</v>
      </c>
      <c r="AE45" s="15" t="n">
        <f aca="false">IFERROR(AE44/AE37,0)</f>
        <v>0.789542127159439</v>
      </c>
      <c r="AF45" s="15" t="n">
        <f aca="false">IFERROR(AF44/AF37,0)</f>
        <v>0.787780067687332</v>
      </c>
      <c r="AG45" s="15" t="n">
        <f aca="false">IFERROR(AG44/AG37,0)</f>
        <v>0.7862727800383</v>
      </c>
      <c r="AH45" s="15" t="n">
        <f aca="false">IFERROR(AH44/AH37,0)</f>
        <v>0.784965754100082</v>
      </c>
      <c r="AI45" s="15" t="n">
        <f aca="false">IFERROR(AI44/AI37,0)</f>
        <v>0.783819066241822</v>
      </c>
      <c r="AJ45" s="15" t="n">
        <f aca="false">IFERROR(AJ44/AJ37,0)</f>
        <v>0.782802804523079</v>
      </c>
      <c r="AK45" s="15" t="n">
        <f aca="false">IFERROR(AK44/AK37,0)</f>
        <v>0.781894114085149</v>
      </c>
      <c r="AL45" s="15" t="n">
        <f aca="false">IFERROR(AL44/AL37,0)</f>
        <v>0.781075230607296</v>
      </c>
      <c r="AM45" s="15" t="n">
        <f aca="false">IFERROR(AM44/AM37,0)</f>
        <v>0.787265583601892</v>
      </c>
      <c r="AN45" s="15" t="n">
        <f aca="false">IFERROR(AN44/AN37,0)</f>
        <v>0.785638400163655</v>
      </c>
      <c r="AO45" s="15" t="n">
        <f aca="false">IFERROR(AO44/AO37,0)</f>
        <v>0.784246999576131</v>
      </c>
      <c r="AP45" s="15" t="n">
        <f aca="false">IFERROR(AP44/AP37,0)</f>
        <v>0.783040882636994</v>
      </c>
      <c r="AQ45" s="15" t="n">
        <f aca="false">IFERROR(AQ44/AQ37,0)</f>
        <v>0.781983071964158</v>
      </c>
      <c r="AR45" s="15" t="n">
        <f aca="false">IFERROR(AR44/AR37,0)</f>
        <v>0.781045868724757</v>
      </c>
      <c r="AS45" s="15" t="n">
        <f aca="false">IFERROR(AS44/AS37,0)</f>
        <v>0.780208112929744</v>
      </c>
      <c r="AT45" s="15" t="n">
        <f aca="false">IFERROR(AT44/AT37,0)</f>
        <v>0.779453360383021</v>
      </c>
      <c r="AU45" s="15" t="n">
        <f aca="false">IFERROR(AU44/AU37,0)</f>
        <v>0.778768637371607</v>
      </c>
      <c r="AV45" s="15" t="n">
        <f aca="false">IFERROR(AV44/AV37,0)</f>
        <v>0.778143570205819</v>
      </c>
      <c r="AW45" s="15" t="n">
        <f aca="false">IFERROR(AW44/AW37,0)</f>
        <v>0.777569764258399</v>
      </c>
      <c r="AX45" s="15" t="n">
        <f aca="false">IFERROR(AX44/AX37,0)</f>
        <v>0.777040352873378</v>
      </c>
      <c r="AY45" s="15" t="n">
        <f aca="false">IFERROR(AY44/AY37,0)</f>
        <v>0.781975872062699</v>
      </c>
      <c r="AZ45" s="15" t="n">
        <f aca="false">IFERROR(AZ44/AZ37,0)</f>
        <v>0.78088723965259</v>
      </c>
      <c r="BA45" s="15" t="n">
        <f aca="false">IFERROR(BA44/BA37,0)</f>
        <v>0.779916407793729</v>
      </c>
      <c r="BB45" s="15" t="n">
        <f aca="false">IFERROR(BB44/BB37,0)</f>
        <v>0.7790440874737</v>
      </c>
      <c r="BC45" s="15" t="n">
        <f aca="false">IFERROR(BC44/BC37,0)</f>
        <v>0.778255008572933</v>
      </c>
      <c r="BD45" s="15" t="n">
        <f aca="false">IFERROR(BD44/BD37,0)</f>
        <v>0.777536924438377</v>
      </c>
      <c r="BE45" s="15" t="n">
        <f aca="false">IFERROR(BE44/BE37,0)</f>
        <v>0.776879898371435</v>
      </c>
      <c r="BF45" s="15" t="n">
        <f aca="false">IFERROR(BF44/BF37,0)</f>
        <v>0.776275783080682</v>
      </c>
      <c r="BG45" s="15" t="n">
        <f aca="false">IFERROR(BG44/BG37,0)</f>
        <v>0.775717834841148</v>
      </c>
      <c r="BH45" s="15" t="n">
        <f aca="false">IFERROR(BH44/BH37,0)</f>
        <v>0.775200423372311</v>
      </c>
      <c r="BI45" s="15" t="n">
        <f aca="false">IFERROR(BI44/BI37,0)</f>
        <v>0.774718810831122</v>
      </c>
      <c r="BJ45" s="15" t="n">
        <f aca="false">IFERROR(BJ44/BJ37,0)</f>
        <v>0.774268981444094</v>
      </c>
    </row>
    <row r="46" customFormat="false" ht="15" hidden="false" customHeight="false" outlineLevel="0" collapsed="false">
      <c r="A46" s="3" t="s">
        <v>246</v>
      </c>
      <c r="B46" s="4"/>
    </row>
    <row r="47" customFormat="false" ht="15" hidden="false" customHeight="false" outlineLevel="0" collapsed="false">
      <c r="A47" s="5" t="s">
        <v>247</v>
      </c>
      <c r="C47" s="21" t="n">
        <f aca="false">-INDEX(Premissas!$D$67:$H$67,C$4)</f>
        <v>-160550</v>
      </c>
      <c r="D47" s="21" t="n">
        <f aca="false">-INDEX(Premissas!$D$67:$H$67,D$4)</f>
        <v>-160550</v>
      </c>
      <c r="E47" s="21" t="n">
        <f aca="false">-INDEX(Premissas!$D$67:$H$67,E$4)</f>
        <v>-160550</v>
      </c>
      <c r="F47" s="21" t="n">
        <f aca="false">-INDEX(Premissas!$D$67:$H$67,F$4)</f>
        <v>-160550</v>
      </c>
      <c r="G47" s="21" t="n">
        <f aca="false">-INDEX(Premissas!$D$67:$H$67,G$4)</f>
        <v>-160550</v>
      </c>
      <c r="H47" s="21" t="n">
        <f aca="false">-INDEX(Premissas!$D$67:$H$67,H$4)</f>
        <v>-160550</v>
      </c>
      <c r="I47" s="21" t="n">
        <f aca="false">-INDEX(Premissas!$D$67:$H$67,I$4)</f>
        <v>-160550</v>
      </c>
      <c r="J47" s="21" t="n">
        <f aca="false">-INDEX(Premissas!$D$67:$H$67,J$4)</f>
        <v>-160550</v>
      </c>
      <c r="K47" s="21" t="n">
        <f aca="false">-INDEX(Premissas!$D$67:$H$67,K$4)</f>
        <v>-160550</v>
      </c>
      <c r="L47" s="21" t="n">
        <f aca="false">-INDEX(Premissas!$D$67:$H$67,L$4)</f>
        <v>-160550</v>
      </c>
      <c r="M47" s="21" t="n">
        <f aca="false">-INDEX(Premissas!$D$67:$H$67,M$4)</f>
        <v>-160550</v>
      </c>
      <c r="N47" s="21" t="n">
        <f aca="false">-INDEX(Premissas!$D$67:$H$67,N$4)</f>
        <v>-160550</v>
      </c>
      <c r="O47" s="21" t="n">
        <f aca="false">-INDEX(Premissas!$D$67:$H$67,O$4)</f>
        <v>-371600</v>
      </c>
      <c r="P47" s="21" t="n">
        <f aca="false">-INDEX(Premissas!$D$67:$H$67,P$4)</f>
        <v>-371600</v>
      </c>
      <c r="Q47" s="21" t="n">
        <f aca="false">-INDEX(Premissas!$D$67:$H$67,Q$4)</f>
        <v>-371600</v>
      </c>
      <c r="R47" s="21" t="n">
        <f aca="false">-INDEX(Premissas!$D$67:$H$67,R$4)</f>
        <v>-371600</v>
      </c>
      <c r="S47" s="21" t="n">
        <f aca="false">-INDEX(Premissas!$D$67:$H$67,S$4)</f>
        <v>-371600</v>
      </c>
      <c r="T47" s="21" t="n">
        <f aca="false">-INDEX(Premissas!$D$67:$H$67,T$4)</f>
        <v>-371600</v>
      </c>
      <c r="U47" s="21" t="n">
        <f aca="false">-INDEX(Premissas!$D$67:$H$67,U$4)</f>
        <v>-371600</v>
      </c>
      <c r="V47" s="21" t="n">
        <f aca="false">-INDEX(Premissas!$D$67:$H$67,V$4)</f>
        <v>-371600</v>
      </c>
      <c r="W47" s="21" t="n">
        <f aca="false">-INDEX(Premissas!$D$67:$H$67,W$4)</f>
        <v>-371600</v>
      </c>
      <c r="X47" s="21" t="n">
        <f aca="false">-INDEX(Premissas!$D$67:$H$67,X$4)</f>
        <v>-371600</v>
      </c>
      <c r="Y47" s="21" t="n">
        <f aca="false">-INDEX(Premissas!$D$67:$H$67,Y$4)</f>
        <v>-371600</v>
      </c>
      <c r="Z47" s="21" t="n">
        <f aca="false">-INDEX(Premissas!$D$67:$H$67,Z$4)</f>
        <v>-371600</v>
      </c>
      <c r="AA47" s="21" t="n">
        <f aca="false">-INDEX(Premissas!$D$67:$H$67,AA$4)</f>
        <v>-621400</v>
      </c>
      <c r="AB47" s="21" t="n">
        <f aca="false">-INDEX(Premissas!$D$67:$H$67,AB$4)</f>
        <v>-621400</v>
      </c>
      <c r="AC47" s="21" t="n">
        <f aca="false">-INDEX(Premissas!$D$67:$H$67,AC$4)</f>
        <v>-621400</v>
      </c>
      <c r="AD47" s="21" t="n">
        <f aca="false">-INDEX(Premissas!$D$67:$H$67,AD$4)</f>
        <v>-621400</v>
      </c>
      <c r="AE47" s="21" t="n">
        <f aca="false">-INDEX(Premissas!$D$67:$H$67,AE$4)</f>
        <v>-621400</v>
      </c>
      <c r="AF47" s="21" t="n">
        <f aca="false">-INDEX(Premissas!$D$67:$H$67,AF$4)</f>
        <v>-621400</v>
      </c>
      <c r="AG47" s="21" t="n">
        <f aca="false">-INDEX(Premissas!$D$67:$H$67,AG$4)</f>
        <v>-621400</v>
      </c>
      <c r="AH47" s="21" t="n">
        <f aca="false">-INDEX(Premissas!$D$67:$H$67,AH$4)</f>
        <v>-621400</v>
      </c>
      <c r="AI47" s="21" t="n">
        <f aca="false">-INDEX(Premissas!$D$67:$H$67,AI$4)</f>
        <v>-621400</v>
      </c>
      <c r="AJ47" s="21" t="n">
        <f aca="false">-INDEX(Premissas!$D$67:$H$67,AJ$4)</f>
        <v>-621400</v>
      </c>
      <c r="AK47" s="21" t="n">
        <f aca="false">-INDEX(Premissas!$D$67:$H$67,AK$4)</f>
        <v>-621400</v>
      </c>
      <c r="AL47" s="21" t="n">
        <f aca="false">-INDEX(Premissas!$D$67:$H$67,AL$4)</f>
        <v>-621400</v>
      </c>
      <c r="AM47" s="21" t="n">
        <f aca="false">-INDEX(Premissas!$D$67:$H$67,AM$4)</f>
        <v>-899250</v>
      </c>
      <c r="AN47" s="21" t="n">
        <f aca="false">-INDEX(Premissas!$D$67:$H$67,AN$4)</f>
        <v>-899250</v>
      </c>
      <c r="AO47" s="21" t="n">
        <f aca="false">-INDEX(Premissas!$D$67:$H$67,AO$4)</f>
        <v>-899250</v>
      </c>
      <c r="AP47" s="21" t="n">
        <f aca="false">-INDEX(Premissas!$D$67:$H$67,AP$4)</f>
        <v>-899250</v>
      </c>
      <c r="AQ47" s="21" t="n">
        <f aca="false">-INDEX(Premissas!$D$67:$H$67,AQ$4)</f>
        <v>-899250</v>
      </c>
      <c r="AR47" s="21" t="n">
        <f aca="false">-INDEX(Premissas!$D$67:$H$67,AR$4)</f>
        <v>-899250</v>
      </c>
      <c r="AS47" s="21" t="n">
        <f aca="false">-INDEX(Premissas!$D$67:$H$67,AS$4)</f>
        <v>-899250</v>
      </c>
      <c r="AT47" s="21" t="n">
        <f aca="false">-INDEX(Premissas!$D$67:$H$67,AT$4)</f>
        <v>-899250</v>
      </c>
      <c r="AU47" s="21" t="n">
        <f aca="false">-INDEX(Premissas!$D$67:$H$67,AU$4)</f>
        <v>-899250</v>
      </c>
      <c r="AV47" s="21" t="n">
        <f aca="false">-INDEX(Premissas!$D$67:$H$67,AV$4)</f>
        <v>-899250</v>
      </c>
      <c r="AW47" s="21" t="n">
        <f aca="false">-INDEX(Premissas!$D$67:$H$67,AW$4)</f>
        <v>-899250</v>
      </c>
      <c r="AX47" s="21" t="n">
        <f aca="false">-INDEX(Premissas!$D$67:$H$67,AX$4)</f>
        <v>-899250</v>
      </c>
      <c r="AY47" s="21" t="n">
        <f aca="false">-INDEX(Premissas!$D$67:$H$67,AY$4)</f>
        <v>-1142100</v>
      </c>
      <c r="AZ47" s="21" t="n">
        <f aca="false">-INDEX(Premissas!$D$67:$H$67,AZ$4)</f>
        <v>-1142100</v>
      </c>
      <c r="BA47" s="21" t="n">
        <f aca="false">-INDEX(Premissas!$D$67:$H$67,BA$4)</f>
        <v>-1142100</v>
      </c>
      <c r="BB47" s="21" t="n">
        <f aca="false">-INDEX(Premissas!$D$67:$H$67,BB$4)</f>
        <v>-1142100</v>
      </c>
      <c r="BC47" s="21" t="n">
        <f aca="false">-INDEX(Premissas!$D$67:$H$67,BC$4)</f>
        <v>-1142100</v>
      </c>
      <c r="BD47" s="21" t="n">
        <f aca="false">-INDEX(Premissas!$D$67:$H$67,BD$4)</f>
        <v>-1142100</v>
      </c>
      <c r="BE47" s="21" t="n">
        <f aca="false">-INDEX(Premissas!$D$67:$H$67,BE$4)</f>
        <v>-1142100</v>
      </c>
      <c r="BF47" s="21" t="n">
        <f aca="false">-INDEX(Premissas!$D$67:$H$67,BF$4)</f>
        <v>-1142100</v>
      </c>
      <c r="BG47" s="21" t="n">
        <f aca="false">-INDEX(Premissas!$D$67:$H$67,BG$4)</f>
        <v>-1142100</v>
      </c>
      <c r="BH47" s="21" t="n">
        <f aca="false">-INDEX(Premissas!$D$67:$H$67,BH$4)</f>
        <v>-1142100</v>
      </c>
      <c r="BI47" s="21" t="n">
        <f aca="false">-INDEX(Premissas!$D$67:$H$67,BI$4)</f>
        <v>-1142100</v>
      </c>
      <c r="BJ47" s="21" t="n">
        <f aca="false">-INDEX(Premissas!$D$67:$H$67,BJ$4)</f>
        <v>-1142100</v>
      </c>
    </row>
    <row r="48" customFormat="false" ht="15" hidden="false" customHeight="false" outlineLevel="0" collapsed="false">
      <c r="A48" s="5" t="s">
        <v>248</v>
      </c>
      <c r="C48" s="16" t="n">
        <f aca="false">-C7</f>
        <v>-28750</v>
      </c>
      <c r="D48" s="16" t="n">
        <f aca="false">-D7</f>
        <v>-28750</v>
      </c>
      <c r="E48" s="16" t="n">
        <f aca="false">-E7</f>
        <v>-28750</v>
      </c>
      <c r="F48" s="16" t="n">
        <f aca="false">-F7</f>
        <v>-28750</v>
      </c>
      <c r="G48" s="16" t="n">
        <f aca="false">-G7</f>
        <v>-28750</v>
      </c>
      <c r="H48" s="16" t="n">
        <f aca="false">-H7</f>
        <v>-28750</v>
      </c>
      <c r="I48" s="16" t="n">
        <f aca="false">-I7</f>
        <v>-28750</v>
      </c>
      <c r="J48" s="16" t="n">
        <f aca="false">-J7</f>
        <v>-28750</v>
      </c>
      <c r="K48" s="16" t="n">
        <f aca="false">-K7</f>
        <v>-28750</v>
      </c>
      <c r="L48" s="16" t="n">
        <f aca="false">-L7</f>
        <v>-28750</v>
      </c>
      <c r="M48" s="16" t="n">
        <f aca="false">-M7</f>
        <v>-28750</v>
      </c>
      <c r="N48" s="16" t="n">
        <f aca="false">-N7</f>
        <v>-28750</v>
      </c>
      <c r="O48" s="16" t="n">
        <f aca="false">-O7</f>
        <v>-80500</v>
      </c>
      <c r="P48" s="16" t="n">
        <f aca="false">-P7</f>
        <v>-80500</v>
      </c>
      <c r="Q48" s="16" t="n">
        <f aca="false">-Q7</f>
        <v>-80500</v>
      </c>
      <c r="R48" s="16" t="n">
        <f aca="false">-R7</f>
        <v>-80500</v>
      </c>
      <c r="S48" s="16" t="n">
        <f aca="false">-S7</f>
        <v>-80500</v>
      </c>
      <c r="T48" s="16" t="n">
        <f aca="false">-T7</f>
        <v>-80500</v>
      </c>
      <c r="U48" s="16" t="n">
        <f aca="false">-U7</f>
        <v>-80500</v>
      </c>
      <c r="V48" s="16" t="n">
        <f aca="false">-V7</f>
        <v>-80500</v>
      </c>
      <c r="W48" s="16" t="n">
        <f aca="false">-W7</f>
        <v>-80500</v>
      </c>
      <c r="X48" s="16" t="n">
        <f aca="false">-X7</f>
        <v>-80500</v>
      </c>
      <c r="Y48" s="16" t="n">
        <f aca="false">-Y7</f>
        <v>-80500</v>
      </c>
      <c r="Z48" s="16" t="n">
        <f aca="false">-Z7</f>
        <v>-80500</v>
      </c>
      <c r="AA48" s="16" t="n">
        <f aca="false">-AA7</f>
        <v>-172500</v>
      </c>
      <c r="AB48" s="16" t="n">
        <f aca="false">-AB7</f>
        <v>-172500</v>
      </c>
      <c r="AC48" s="16" t="n">
        <f aca="false">-AC7</f>
        <v>-172500</v>
      </c>
      <c r="AD48" s="16" t="n">
        <f aca="false">-AD7</f>
        <v>-172500</v>
      </c>
      <c r="AE48" s="16" t="n">
        <f aca="false">-AE7</f>
        <v>-172500</v>
      </c>
      <c r="AF48" s="16" t="n">
        <f aca="false">-AF7</f>
        <v>-172500</v>
      </c>
      <c r="AG48" s="16" t="n">
        <f aca="false">-AG7</f>
        <v>-172500</v>
      </c>
      <c r="AH48" s="16" t="n">
        <f aca="false">-AH7</f>
        <v>-172500</v>
      </c>
      <c r="AI48" s="16" t="n">
        <f aca="false">-AI7</f>
        <v>-172500</v>
      </c>
      <c r="AJ48" s="16" t="n">
        <f aca="false">-AJ7</f>
        <v>-172500</v>
      </c>
      <c r="AK48" s="16" t="n">
        <f aca="false">-AK7</f>
        <v>-172500</v>
      </c>
      <c r="AL48" s="16" t="n">
        <f aca="false">-AL7</f>
        <v>-172500</v>
      </c>
      <c r="AM48" s="16" t="n">
        <f aca="false">-AM7</f>
        <v>-276000</v>
      </c>
      <c r="AN48" s="16" t="n">
        <f aca="false">-AN7</f>
        <v>-276000</v>
      </c>
      <c r="AO48" s="16" t="n">
        <f aca="false">-AO7</f>
        <v>-276000</v>
      </c>
      <c r="AP48" s="16" t="n">
        <f aca="false">-AP7</f>
        <v>-276000</v>
      </c>
      <c r="AQ48" s="16" t="n">
        <f aca="false">-AQ7</f>
        <v>-276000</v>
      </c>
      <c r="AR48" s="16" t="n">
        <f aca="false">-AR7</f>
        <v>-276000</v>
      </c>
      <c r="AS48" s="16" t="n">
        <f aca="false">-AS7</f>
        <v>-276000</v>
      </c>
      <c r="AT48" s="16" t="n">
        <f aca="false">-AT7</f>
        <v>-276000</v>
      </c>
      <c r="AU48" s="16" t="n">
        <f aca="false">-AU7</f>
        <v>-276000</v>
      </c>
      <c r="AV48" s="16" t="n">
        <f aca="false">-AV7</f>
        <v>-276000</v>
      </c>
      <c r="AW48" s="16" t="n">
        <f aca="false">-AW7</f>
        <v>-276000</v>
      </c>
      <c r="AX48" s="16" t="n">
        <f aca="false">-AX7</f>
        <v>-276000</v>
      </c>
      <c r="AY48" s="16" t="n">
        <f aca="false">-AY7</f>
        <v>-368000</v>
      </c>
      <c r="AZ48" s="16" t="n">
        <f aca="false">-AZ7</f>
        <v>-368000</v>
      </c>
      <c r="BA48" s="16" t="n">
        <f aca="false">-BA7</f>
        <v>-368000</v>
      </c>
      <c r="BB48" s="16" t="n">
        <f aca="false">-BB7</f>
        <v>-368000</v>
      </c>
      <c r="BC48" s="16" t="n">
        <f aca="false">-BC7</f>
        <v>-368000</v>
      </c>
      <c r="BD48" s="16" t="n">
        <f aca="false">-BD7</f>
        <v>-368000</v>
      </c>
      <c r="BE48" s="16" t="n">
        <f aca="false">-BE7</f>
        <v>-368000</v>
      </c>
      <c r="BF48" s="16" t="n">
        <f aca="false">-BF7</f>
        <v>-368000</v>
      </c>
      <c r="BG48" s="16" t="n">
        <f aca="false">-BG7</f>
        <v>-368000</v>
      </c>
      <c r="BH48" s="16" t="n">
        <f aca="false">-BH7</f>
        <v>-368000</v>
      </c>
      <c r="BI48" s="16" t="n">
        <f aca="false">-BI7</f>
        <v>-368000</v>
      </c>
      <c r="BJ48" s="16" t="n">
        <f aca="false">-BJ7</f>
        <v>-368000</v>
      </c>
    </row>
    <row r="49" customFormat="false" ht="15" hidden="false" customHeight="false" outlineLevel="0" collapsed="false">
      <c r="A49" s="5" t="s">
        <v>249</v>
      </c>
      <c r="C49" s="21" t="n">
        <f aca="false">-0.1*(C14*Premissas!$B$18+C15*Premissas!$C$18+C16*Premissas!$D$18+C17*Premissas!$E$18)</f>
        <v>-1552.69763888889</v>
      </c>
      <c r="D49" s="21" t="n">
        <f aca="false">-0.1*(D14*Premissas!$B$18+D15*Premissas!$C$18+D16*Premissas!$D$18+D17*Premissas!$E$18)</f>
        <v>-1572.88270819444</v>
      </c>
      <c r="E49" s="21" t="n">
        <f aca="false">-0.1*(E14*Premissas!$B$18+E15*Premissas!$C$18+E16*Premissas!$D$18+E17*Premissas!$E$18)</f>
        <v>-1592.72463132181</v>
      </c>
      <c r="F49" s="21" t="n">
        <f aca="false">-0.1*(F14*Premissas!$B$18+F15*Premissas!$C$18+F16*Premissas!$D$18+F17*Premissas!$E$18)</f>
        <v>-1612.23061434071</v>
      </c>
      <c r="G49" s="21" t="n">
        <f aca="false">-0.1*(G14*Premissas!$B$18+G15*Premissas!$C$18+G16*Premissas!$D$18+G17*Premissas!$E$18)</f>
        <v>-1631.40767243071</v>
      </c>
      <c r="H49" s="21" t="n">
        <f aca="false">-0.1*(H14*Premissas!$B$18+H15*Premissas!$C$18+H16*Premissas!$D$18+H17*Premissas!$E$18)</f>
        <v>-1650.26263587072</v>
      </c>
      <c r="I49" s="21" t="n">
        <f aca="false">-0.1*(I14*Premissas!$B$18+I15*Premissas!$C$18+I16*Premissas!$D$18+I17*Premissas!$E$18)</f>
        <v>-1668.80215582302</v>
      </c>
      <c r="J49" s="21" t="n">
        <f aca="false">-0.1*(J14*Premissas!$B$18+J15*Premissas!$C$18+J16*Premissas!$D$18+J17*Premissas!$E$18)</f>
        <v>-1687.03270991906</v>
      </c>
      <c r="K49" s="21" t="n">
        <f aca="false">-0.1*(K14*Premissas!$B$18+K15*Premissas!$C$18+K16*Premissas!$D$18+K17*Premissas!$E$18)</f>
        <v>-1704.96060765401</v>
      </c>
      <c r="L49" s="21" t="n">
        <f aca="false">-0.1*(L14*Premissas!$B$18+L15*Premissas!$C$18+L16*Premissas!$D$18+L17*Premissas!$E$18)</f>
        <v>-1722.59199559708</v>
      </c>
      <c r="M49" s="21" t="n">
        <f aca="false">-0.1*(M14*Premissas!$B$18+M15*Premissas!$C$18+M16*Premissas!$D$18+M17*Premissas!$E$18)</f>
        <v>-1739.93286242395</v>
      </c>
      <c r="N49" s="21" t="n">
        <f aca="false">-0.1*(N14*Premissas!$B$18+N15*Premissas!$C$18+N16*Premissas!$D$18+N17*Premissas!$E$18)</f>
        <v>-1756.9890437779</v>
      </c>
      <c r="O49" s="21" t="n">
        <f aca="false">-0.1*(O14*Premissas!$B$18+O15*Premissas!$C$18+O16*Premissas!$D$18+O17*Premissas!$E$18)</f>
        <v>-5749.25255534348</v>
      </c>
      <c r="P49" s="21" t="n">
        <f aca="false">-0.1*(P14*Premissas!$B$18+P15*Premissas!$C$18+P16*Premissas!$D$18+P17*Premissas!$E$18)</f>
        <v>-5816.90580148821</v>
      </c>
      <c r="Q49" s="21" t="n">
        <f aca="false">-0.1*(Q14*Premissas!$B$18+Q15*Premissas!$C$18+Q16*Premissas!$D$18+Q17*Premissas!$E$18)</f>
        <v>-5883.65801788635</v>
      </c>
      <c r="R49" s="21" t="n">
        <f aca="false">-0.1*(R14*Premissas!$B$18+R15*Premissas!$C$18+R16*Premissas!$D$18+R17*Premissas!$E$18)</f>
        <v>-5949.52482369352</v>
      </c>
      <c r="S49" s="21" t="n">
        <f aca="false">-0.1*(S14*Premissas!$B$18+S15*Premissas!$C$18+S16*Premissas!$D$18+S17*Premissas!$E$18)</f>
        <v>-6014.52147109732</v>
      </c>
      <c r="T49" s="21" t="n">
        <f aca="false">-0.1*(T14*Premissas!$B$18+T15*Premissas!$C$18+T16*Premissas!$D$18+T17*Premissas!$E$18)</f>
        <v>-6078.66285595379</v>
      </c>
      <c r="U49" s="21" t="n">
        <f aca="false">-0.1*(U14*Premissas!$B$18+U15*Premissas!$C$18+U16*Premissas!$D$18+U17*Premissas!$E$18)</f>
        <v>-6141.96352808362</v>
      </c>
      <c r="V49" s="21" t="n">
        <f aca="false">-0.1*(V14*Premissas!$B$18+V15*Premissas!$C$18+V16*Premissas!$D$18+V17*Premissas!$E$18)</f>
        <v>-6204.43770123939</v>
      </c>
      <c r="W49" s="21" t="n">
        <f aca="false">-0.1*(W14*Premissas!$B$18+W15*Premissas!$C$18+W16*Premissas!$D$18+W17*Premissas!$E$18)</f>
        <v>-6266.09926275471</v>
      </c>
      <c r="X49" s="21" t="n">
        <f aca="false">-0.1*(X14*Premissas!$B$18+X15*Premissas!$C$18+X16*Premissas!$D$18+X17*Premissas!$E$18)</f>
        <v>-6326.96178288586</v>
      </c>
      <c r="Y49" s="21" t="n">
        <f aca="false">-0.1*(Y14*Premissas!$B$18+Y15*Premissas!$C$18+Y16*Premissas!$D$18+Y17*Premissas!$E$18)</f>
        <v>-6387.03852385622</v>
      </c>
      <c r="Z49" s="21" t="n">
        <f aca="false">-0.1*(Z14*Premissas!$B$18+Z15*Premissas!$C$18+Z16*Premissas!$D$18+Z17*Premissas!$E$18)</f>
        <v>-6446.34244861322</v>
      </c>
      <c r="AA49" s="21" t="n">
        <f aca="false">-0.1*(AA14*Premissas!$B$18+AA15*Premissas!$C$18+AA16*Premissas!$D$18+AA17*Premissas!$E$18)</f>
        <v>-15857.970844495</v>
      </c>
      <c r="AB49" s="21" t="n">
        <f aca="false">-0.1*(AB14*Premissas!$B$18+AB15*Premissas!$C$18+AB16*Premissas!$D$18+AB17*Premissas!$E$18)</f>
        <v>-16035.0120368428</v>
      </c>
      <c r="AC49" s="21" t="n">
        <f aca="false">-0.1*(AC14*Premissas!$B$18+AC15*Premissas!$C$18+AC16*Premissas!$D$18+AC17*Premissas!$E$18)</f>
        <v>-16210.267383754</v>
      </c>
      <c r="AD49" s="21" t="n">
        <f aca="false">-0.1*(AD14*Premissas!$B$18+AD15*Premissas!$C$18+AD16*Premissas!$D$18+AD17*Premissas!$E$18)</f>
        <v>-16383.7621656527</v>
      </c>
      <c r="AE49" s="21" t="n">
        <f aca="false">-0.1*(AE14*Premissas!$B$18+AE15*Premissas!$C$18+AE16*Premissas!$D$18+AE17*Premissas!$E$18)</f>
        <v>-16555.5211285829</v>
      </c>
      <c r="AF49" s="21" t="n">
        <f aca="false">-0.1*(AF14*Premissas!$B$18+AF15*Premissas!$C$18+AF16*Premissas!$D$18+AF17*Premissas!$E$18)</f>
        <v>-16725.5684987003</v>
      </c>
      <c r="AG49" s="21" t="n">
        <f aca="false">-0.1*(AG14*Premissas!$B$18+AG15*Premissas!$C$18+AG16*Premissas!$D$18+AG17*Premissas!$E$18)</f>
        <v>-16893.9279963299</v>
      </c>
      <c r="AH49" s="21" t="n">
        <f aca="false">-0.1*(AH14*Premissas!$B$18+AH15*Premissas!$C$18+AH16*Premissas!$D$18+AH17*Premissas!$E$18)</f>
        <v>-17060.6228496032</v>
      </c>
      <c r="AI49" s="21" t="n">
        <f aca="false">-0.1*(AI14*Premissas!$B$18+AI15*Premissas!$C$18+AI16*Premissas!$D$18+AI17*Premissas!$E$18)</f>
        <v>-17225.6758076871</v>
      </c>
      <c r="AJ49" s="21" t="n">
        <f aca="false">-0.1*(AJ14*Premissas!$B$18+AJ15*Premissas!$C$18+AJ16*Premissas!$D$18+AJ17*Premissas!$E$18)</f>
        <v>-17389.1091536193</v>
      </c>
      <c r="AK49" s="21" t="n">
        <f aca="false">-0.1*(AK14*Premissas!$B$18+AK15*Premissas!$C$18+AK16*Premissas!$D$18+AK17*Premissas!$E$18)</f>
        <v>-17550.9447167593</v>
      </c>
      <c r="AL49" s="21" t="n">
        <f aca="false">-0.1*(AL14*Premissas!$B$18+AL15*Premissas!$C$18+AL16*Premissas!$D$18+AL17*Premissas!$E$18)</f>
        <v>-17711.2038848698</v>
      </c>
      <c r="AM49" s="21" t="n">
        <f aca="false">-0.1*(AM14*Premissas!$B$18+AM15*Premissas!$C$18+AM16*Premissas!$D$18+AM17*Premissas!$E$18)</f>
        <v>-29668.4151033849</v>
      </c>
      <c r="AN49" s="21" t="n">
        <f aca="false">-0.1*(AN14*Premissas!$B$18+AN15*Premissas!$C$18+AN16*Premissas!$D$18+AN17*Premissas!$E$18)</f>
        <v>-29981.1021329327</v>
      </c>
      <c r="AO49" s="21" t="n">
        <f aca="false">-0.1*(AO14*Premissas!$B$18+AO15*Premissas!$C$18+AO16*Premissas!$D$18+AO17*Premissas!$E$18)</f>
        <v>-30291.3426621242</v>
      </c>
      <c r="AP49" s="21" t="n">
        <f aca="false">-0.1*(AP14*Premissas!$B$18+AP15*Premissas!$C$18+AP16*Premissas!$D$18+AP17*Premissas!$E$18)</f>
        <v>-30599.1658561322</v>
      </c>
      <c r="AQ49" s="21" t="n">
        <f aca="false">-0.1*(AQ14*Premissas!$B$18+AQ15*Premissas!$C$18+AQ16*Premissas!$D$18+AQ17*Premissas!$E$18)</f>
        <v>-30904.6003109827</v>
      </c>
      <c r="AR49" s="21" t="n">
        <f aca="false">-0.1*(AR14*Premissas!$B$18+AR15*Premissas!$C$18+AR16*Premissas!$D$18+AR17*Premissas!$E$18)</f>
        <v>-31207.6740680622</v>
      </c>
      <c r="AS49" s="21" t="n">
        <f aca="false">-0.1*(AS14*Premissas!$B$18+AS15*Premissas!$C$18+AS16*Premissas!$D$18+AS17*Premissas!$E$18)</f>
        <v>-31508.4146282218</v>
      </c>
      <c r="AT49" s="21" t="n">
        <f aca="false">-0.1*(AT14*Premissas!$B$18+AT15*Premissas!$C$18+AT16*Premissas!$D$18+AT17*Premissas!$E$18)</f>
        <v>-31806.8489654872</v>
      </c>
      <c r="AU49" s="21" t="n">
        <f aca="false">-0.1*(AU14*Premissas!$B$18+AU15*Premissas!$C$18+AU16*Premissas!$D$18+AU17*Premissas!$E$18)</f>
        <v>-32103.0035403874</v>
      </c>
      <c r="AV49" s="21" t="n">
        <f aca="false">-0.1*(AV14*Premissas!$B$18+AV15*Premissas!$C$18+AV16*Premissas!$D$18+AV17*Premissas!$E$18)</f>
        <v>-32396.9043129128</v>
      </c>
      <c r="AW49" s="21" t="n">
        <f aca="false">-0.1*(AW14*Premissas!$B$18+AW15*Premissas!$C$18+AW16*Premissas!$D$18+AW17*Premissas!$E$18)</f>
        <v>-32688.5767551126</v>
      </c>
      <c r="AX49" s="21" t="n">
        <f aca="false">-0.1*(AX14*Premissas!$B$18+AX15*Premissas!$C$18+AX16*Premissas!$D$18+AX17*Premissas!$E$18)</f>
        <v>-32978.0458633428</v>
      </c>
      <c r="AY49" s="21" t="n">
        <f aca="false">-0.1*(AY14*Premissas!$B$18+AY15*Premissas!$C$18+AY16*Premissas!$D$18+AY17*Premissas!$E$18)</f>
        <v>-47328.3165023173</v>
      </c>
      <c r="AZ49" s="21" t="n">
        <f aca="false">-0.1*(AZ14*Premissas!$B$18+AZ15*Premissas!$C$18+AZ16*Premissas!$D$18+AZ17*Premissas!$E$18)</f>
        <v>-47799.0679032348</v>
      </c>
      <c r="BA49" s="21" t="n">
        <f aca="false">-0.1*(BA14*Premissas!$B$18+BA15*Premissas!$C$18+BA16*Premissas!$D$18+BA17*Premissas!$E$18)</f>
        <v>-48267.2080470186</v>
      </c>
      <c r="BB49" s="21" t="n">
        <f aca="false">-0.1*(BB14*Premissas!$B$18+BB15*Premissas!$C$18+BB16*Premissas!$D$18+BB17*Premissas!$E$18)</f>
        <v>-48732.7618061124</v>
      </c>
      <c r="BC49" s="21" t="n">
        <f aca="false">-0.1*(BC14*Premissas!$B$18+BC15*Premissas!$C$18+BC16*Premissas!$D$18+BC17*Premissas!$E$18)</f>
        <v>-49195.7536053489</v>
      </c>
      <c r="BD49" s="21" t="n">
        <f aca="false">-0.1*(BD14*Premissas!$B$18+BD15*Premissas!$C$18+BD16*Premissas!$D$18+BD17*Premissas!$E$18)</f>
        <v>-49656.2074326966</v>
      </c>
      <c r="BE49" s="21" t="n">
        <f aca="false">-0.1*(BE14*Premissas!$B$18+BE15*Premissas!$C$18+BE16*Premissas!$D$18+BE17*Premissas!$E$18)</f>
        <v>-50114.1468497291</v>
      </c>
      <c r="BF49" s="21" t="n">
        <f aca="false">-0.1*(BF14*Premissas!$B$18+BF15*Premissas!$C$18+BF16*Premissas!$D$18+BF17*Premissas!$E$18)</f>
        <v>-50569.5950018215</v>
      </c>
      <c r="BG49" s="21" t="n">
        <f aca="false">-0.1*(BG14*Premissas!$B$18+BG15*Premissas!$C$18+BG16*Premissas!$D$18+BG17*Premissas!$E$18)</f>
        <v>-51022.5746280831</v>
      </c>
      <c r="BH49" s="21" t="n">
        <f aca="false">-0.1*(BH14*Premissas!$B$18+BH15*Premissas!$C$18+BH16*Premissas!$D$18+BH17*Premissas!$E$18)</f>
        <v>-51473.108071032</v>
      </c>
      <c r="BI49" s="21" t="n">
        <f aca="false">-0.1*(BI14*Premissas!$B$18+BI15*Premissas!$C$18+BI16*Premissas!$D$18+BI17*Premissas!$E$18)</f>
        <v>-51921.2172860194</v>
      </c>
      <c r="BJ49" s="21" t="n">
        <f aca="false">-0.1*(BJ14*Premissas!$B$18+BJ15*Premissas!$C$18+BJ16*Premissas!$D$18+BJ17*Premissas!$E$18)</f>
        <v>-52366.9238504102</v>
      </c>
    </row>
    <row r="50" customFormat="false" ht="15" hidden="false" customHeight="false" outlineLevel="0" collapsed="false">
      <c r="A50" s="5" t="s">
        <v>250</v>
      </c>
      <c r="C50" s="21" t="n">
        <f aca="false">-INDEX(Premissas!$B$72:$F$72,C$4)</f>
        <v>-5000</v>
      </c>
      <c r="D50" s="21" t="n">
        <f aca="false">-INDEX(Premissas!$B$72:$F$72,D$4)</f>
        <v>-5000</v>
      </c>
      <c r="E50" s="21" t="n">
        <f aca="false">-INDEX(Premissas!$B$72:$F$72,E$4)</f>
        <v>-5000</v>
      </c>
      <c r="F50" s="21" t="n">
        <f aca="false">-INDEX(Premissas!$B$72:$F$72,F$4)</f>
        <v>-5000</v>
      </c>
      <c r="G50" s="21" t="n">
        <f aca="false">-INDEX(Premissas!$B$72:$F$72,G$4)</f>
        <v>-5000</v>
      </c>
      <c r="H50" s="21" t="n">
        <f aca="false">-INDEX(Premissas!$B$72:$F$72,H$4)</f>
        <v>-5000</v>
      </c>
      <c r="I50" s="21" t="n">
        <f aca="false">-INDEX(Premissas!$B$72:$F$72,I$4)</f>
        <v>-5000</v>
      </c>
      <c r="J50" s="21" t="n">
        <f aca="false">-INDEX(Premissas!$B$72:$F$72,J$4)</f>
        <v>-5000</v>
      </c>
      <c r="K50" s="21" t="n">
        <f aca="false">-INDEX(Premissas!$B$72:$F$72,K$4)</f>
        <v>-5000</v>
      </c>
      <c r="L50" s="21" t="n">
        <f aca="false">-INDEX(Premissas!$B$72:$F$72,L$4)</f>
        <v>-5000</v>
      </c>
      <c r="M50" s="21" t="n">
        <f aca="false">-INDEX(Premissas!$B$72:$F$72,M$4)</f>
        <v>-5000</v>
      </c>
      <c r="N50" s="21" t="n">
        <f aca="false">-INDEX(Premissas!$B$72:$F$72,N$4)</f>
        <v>-5000</v>
      </c>
      <c r="O50" s="21" t="n">
        <f aca="false">-INDEX(Premissas!$B$72:$F$72,O$4)</f>
        <v>-8000</v>
      </c>
      <c r="P50" s="21" t="n">
        <f aca="false">-INDEX(Premissas!$B$72:$F$72,P$4)</f>
        <v>-8000</v>
      </c>
      <c r="Q50" s="21" t="n">
        <f aca="false">-INDEX(Premissas!$B$72:$F$72,Q$4)</f>
        <v>-8000</v>
      </c>
      <c r="R50" s="21" t="n">
        <f aca="false">-INDEX(Premissas!$B$72:$F$72,R$4)</f>
        <v>-8000</v>
      </c>
      <c r="S50" s="21" t="n">
        <f aca="false">-INDEX(Premissas!$B$72:$F$72,S$4)</f>
        <v>-8000</v>
      </c>
      <c r="T50" s="21" t="n">
        <f aca="false">-INDEX(Premissas!$B$72:$F$72,T$4)</f>
        <v>-8000</v>
      </c>
      <c r="U50" s="21" t="n">
        <f aca="false">-INDEX(Premissas!$B$72:$F$72,U$4)</f>
        <v>-8000</v>
      </c>
      <c r="V50" s="21" t="n">
        <f aca="false">-INDEX(Premissas!$B$72:$F$72,V$4)</f>
        <v>-8000</v>
      </c>
      <c r="W50" s="21" t="n">
        <f aca="false">-INDEX(Premissas!$B$72:$F$72,W$4)</f>
        <v>-8000</v>
      </c>
      <c r="X50" s="21" t="n">
        <f aca="false">-INDEX(Premissas!$B$72:$F$72,X$4)</f>
        <v>-8000</v>
      </c>
      <c r="Y50" s="21" t="n">
        <f aca="false">-INDEX(Premissas!$B$72:$F$72,Y$4)</f>
        <v>-8000</v>
      </c>
      <c r="Z50" s="21" t="n">
        <f aca="false">-INDEX(Premissas!$B$72:$F$72,Z$4)</f>
        <v>-8000</v>
      </c>
      <c r="AA50" s="21" t="n">
        <f aca="false">-INDEX(Premissas!$B$72:$F$72,AA$4)</f>
        <v>-12000</v>
      </c>
      <c r="AB50" s="21" t="n">
        <f aca="false">-INDEX(Premissas!$B$72:$F$72,AB$4)</f>
        <v>-12000</v>
      </c>
      <c r="AC50" s="21" t="n">
        <f aca="false">-INDEX(Premissas!$B$72:$F$72,AC$4)</f>
        <v>-12000</v>
      </c>
      <c r="AD50" s="21" t="n">
        <f aca="false">-INDEX(Premissas!$B$72:$F$72,AD$4)</f>
        <v>-12000</v>
      </c>
      <c r="AE50" s="21" t="n">
        <f aca="false">-INDEX(Premissas!$B$72:$F$72,AE$4)</f>
        <v>-12000</v>
      </c>
      <c r="AF50" s="21" t="n">
        <f aca="false">-INDEX(Premissas!$B$72:$F$72,AF$4)</f>
        <v>-12000</v>
      </c>
      <c r="AG50" s="21" t="n">
        <f aca="false">-INDEX(Premissas!$B$72:$F$72,AG$4)</f>
        <v>-12000</v>
      </c>
      <c r="AH50" s="21" t="n">
        <f aca="false">-INDEX(Premissas!$B$72:$F$72,AH$4)</f>
        <v>-12000</v>
      </c>
      <c r="AI50" s="21" t="n">
        <f aca="false">-INDEX(Premissas!$B$72:$F$72,AI$4)</f>
        <v>-12000</v>
      </c>
      <c r="AJ50" s="21" t="n">
        <f aca="false">-INDEX(Premissas!$B$72:$F$72,AJ$4)</f>
        <v>-12000</v>
      </c>
      <c r="AK50" s="21" t="n">
        <f aca="false">-INDEX(Premissas!$B$72:$F$72,AK$4)</f>
        <v>-12000</v>
      </c>
      <c r="AL50" s="21" t="n">
        <f aca="false">-INDEX(Premissas!$B$72:$F$72,AL$4)</f>
        <v>-12000</v>
      </c>
      <c r="AM50" s="21" t="n">
        <f aca="false">-INDEX(Premissas!$B$72:$F$72,AM$4)</f>
        <v>-18000</v>
      </c>
      <c r="AN50" s="21" t="n">
        <f aca="false">-INDEX(Premissas!$B$72:$F$72,AN$4)</f>
        <v>-18000</v>
      </c>
      <c r="AO50" s="21" t="n">
        <f aca="false">-INDEX(Premissas!$B$72:$F$72,AO$4)</f>
        <v>-18000</v>
      </c>
      <c r="AP50" s="21" t="n">
        <f aca="false">-INDEX(Premissas!$B$72:$F$72,AP$4)</f>
        <v>-18000</v>
      </c>
      <c r="AQ50" s="21" t="n">
        <f aca="false">-INDEX(Premissas!$B$72:$F$72,AQ$4)</f>
        <v>-18000</v>
      </c>
      <c r="AR50" s="21" t="n">
        <f aca="false">-INDEX(Premissas!$B$72:$F$72,AR$4)</f>
        <v>-18000</v>
      </c>
      <c r="AS50" s="21" t="n">
        <f aca="false">-INDEX(Premissas!$B$72:$F$72,AS$4)</f>
        <v>-18000</v>
      </c>
      <c r="AT50" s="21" t="n">
        <f aca="false">-INDEX(Premissas!$B$72:$F$72,AT$4)</f>
        <v>-18000</v>
      </c>
      <c r="AU50" s="21" t="n">
        <f aca="false">-INDEX(Premissas!$B$72:$F$72,AU$4)</f>
        <v>-18000</v>
      </c>
      <c r="AV50" s="21" t="n">
        <f aca="false">-INDEX(Premissas!$B$72:$F$72,AV$4)</f>
        <v>-18000</v>
      </c>
      <c r="AW50" s="21" t="n">
        <f aca="false">-INDEX(Premissas!$B$72:$F$72,AW$4)</f>
        <v>-18000</v>
      </c>
      <c r="AX50" s="21" t="n">
        <f aca="false">-INDEX(Premissas!$B$72:$F$72,AX$4)</f>
        <v>-18000</v>
      </c>
      <c r="AY50" s="21" t="n">
        <f aca="false">-INDEX(Premissas!$B$72:$F$72,AY$4)</f>
        <v>-25000</v>
      </c>
      <c r="AZ50" s="21" t="n">
        <f aca="false">-INDEX(Premissas!$B$72:$F$72,AZ$4)</f>
        <v>-25000</v>
      </c>
      <c r="BA50" s="21" t="n">
        <f aca="false">-INDEX(Premissas!$B$72:$F$72,BA$4)</f>
        <v>-25000</v>
      </c>
      <c r="BB50" s="21" t="n">
        <f aca="false">-INDEX(Premissas!$B$72:$F$72,BB$4)</f>
        <v>-25000</v>
      </c>
      <c r="BC50" s="21" t="n">
        <f aca="false">-INDEX(Premissas!$B$72:$F$72,BC$4)</f>
        <v>-25000</v>
      </c>
      <c r="BD50" s="21" t="n">
        <f aca="false">-INDEX(Premissas!$B$72:$F$72,BD$4)</f>
        <v>-25000</v>
      </c>
      <c r="BE50" s="21" t="n">
        <f aca="false">-INDEX(Premissas!$B$72:$F$72,BE$4)</f>
        <v>-25000</v>
      </c>
      <c r="BF50" s="21" t="n">
        <f aca="false">-INDEX(Premissas!$B$72:$F$72,BF$4)</f>
        <v>-25000</v>
      </c>
      <c r="BG50" s="21" t="n">
        <f aca="false">-INDEX(Premissas!$B$72:$F$72,BG$4)</f>
        <v>-25000</v>
      </c>
      <c r="BH50" s="21" t="n">
        <f aca="false">-INDEX(Premissas!$B$72:$F$72,BH$4)</f>
        <v>-25000</v>
      </c>
      <c r="BI50" s="21" t="n">
        <f aca="false">-INDEX(Premissas!$B$72:$F$72,BI$4)</f>
        <v>-25000</v>
      </c>
      <c r="BJ50" s="21" t="n">
        <f aca="false">-INDEX(Premissas!$B$72:$F$72,BJ$4)</f>
        <v>-25000</v>
      </c>
    </row>
    <row r="51" customFormat="false" ht="15" hidden="false" customHeight="false" outlineLevel="0" collapsed="false">
      <c r="A51" s="5" t="s">
        <v>251</v>
      </c>
      <c r="C51" s="21" t="n">
        <f aca="false">-INDEX(Premissas!$B$73:$F$73,C$4)</f>
        <v>-2000</v>
      </c>
      <c r="D51" s="21" t="n">
        <f aca="false">-INDEX(Premissas!$B$73:$F$73,D$4)</f>
        <v>-2000</v>
      </c>
      <c r="E51" s="21" t="n">
        <f aca="false">-INDEX(Premissas!$B$73:$F$73,E$4)</f>
        <v>-2000</v>
      </c>
      <c r="F51" s="21" t="n">
        <f aca="false">-INDEX(Premissas!$B$73:$F$73,F$4)</f>
        <v>-2000</v>
      </c>
      <c r="G51" s="21" t="n">
        <f aca="false">-INDEX(Premissas!$B$73:$F$73,G$4)</f>
        <v>-2000</v>
      </c>
      <c r="H51" s="21" t="n">
        <f aca="false">-INDEX(Premissas!$B$73:$F$73,H$4)</f>
        <v>-2000</v>
      </c>
      <c r="I51" s="21" t="n">
        <f aca="false">-INDEX(Premissas!$B$73:$F$73,I$4)</f>
        <v>-2000</v>
      </c>
      <c r="J51" s="21" t="n">
        <f aca="false">-INDEX(Premissas!$B$73:$F$73,J$4)</f>
        <v>-2000</v>
      </c>
      <c r="K51" s="21" t="n">
        <f aca="false">-INDEX(Premissas!$B$73:$F$73,K$4)</f>
        <v>-2000</v>
      </c>
      <c r="L51" s="21" t="n">
        <f aca="false">-INDEX(Premissas!$B$73:$F$73,L$4)</f>
        <v>-2000</v>
      </c>
      <c r="M51" s="21" t="n">
        <f aca="false">-INDEX(Premissas!$B$73:$F$73,M$4)</f>
        <v>-2000</v>
      </c>
      <c r="N51" s="21" t="n">
        <f aca="false">-INDEX(Premissas!$B$73:$F$73,N$4)</f>
        <v>-2000</v>
      </c>
      <c r="O51" s="21" t="n">
        <f aca="false">-INDEX(Premissas!$B$73:$F$73,O$4)</f>
        <v>-8000</v>
      </c>
      <c r="P51" s="21" t="n">
        <f aca="false">-INDEX(Premissas!$B$73:$F$73,P$4)</f>
        <v>-8000</v>
      </c>
      <c r="Q51" s="21" t="n">
        <f aca="false">-INDEX(Premissas!$B$73:$F$73,Q$4)</f>
        <v>-8000</v>
      </c>
      <c r="R51" s="21" t="n">
        <f aca="false">-INDEX(Premissas!$B$73:$F$73,R$4)</f>
        <v>-8000</v>
      </c>
      <c r="S51" s="21" t="n">
        <f aca="false">-INDEX(Premissas!$B$73:$F$73,S$4)</f>
        <v>-8000</v>
      </c>
      <c r="T51" s="21" t="n">
        <f aca="false">-INDEX(Premissas!$B$73:$F$73,T$4)</f>
        <v>-8000</v>
      </c>
      <c r="U51" s="21" t="n">
        <f aca="false">-INDEX(Premissas!$B$73:$F$73,U$4)</f>
        <v>-8000</v>
      </c>
      <c r="V51" s="21" t="n">
        <f aca="false">-INDEX(Premissas!$B$73:$F$73,V$4)</f>
        <v>-8000</v>
      </c>
      <c r="W51" s="21" t="n">
        <f aca="false">-INDEX(Premissas!$B$73:$F$73,W$4)</f>
        <v>-8000</v>
      </c>
      <c r="X51" s="21" t="n">
        <f aca="false">-INDEX(Premissas!$B$73:$F$73,X$4)</f>
        <v>-8000</v>
      </c>
      <c r="Y51" s="21" t="n">
        <f aca="false">-INDEX(Premissas!$B$73:$F$73,Y$4)</f>
        <v>-8000</v>
      </c>
      <c r="Z51" s="21" t="n">
        <f aca="false">-INDEX(Premissas!$B$73:$F$73,Z$4)</f>
        <v>-8000</v>
      </c>
      <c r="AA51" s="21" t="n">
        <f aca="false">-INDEX(Premissas!$B$73:$F$73,AA$4)</f>
        <v>-15000</v>
      </c>
      <c r="AB51" s="21" t="n">
        <f aca="false">-INDEX(Premissas!$B$73:$F$73,AB$4)</f>
        <v>-15000</v>
      </c>
      <c r="AC51" s="21" t="n">
        <f aca="false">-INDEX(Premissas!$B$73:$F$73,AC$4)</f>
        <v>-15000</v>
      </c>
      <c r="AD51" s="21" t="n">
        <f aca="false">-INDEX(Premissas!$B$73:$F$73,AD$4)</f>
        <v>-15000</v>
      </c>
      <c r="AE51" s="21" t="n">
        <f aca="false">-INDEX(Premissas!$B$73:$F$73,AE$4)</f>
        <v>-15000</v>
      </c>
      <c r="AF51" s="21" t="n">
        <f aca="false">-INDEX(Premissas!$B$73:$F$73,AF$4)</f>
        <v>-15000</v>
      </c>
      <c r="AG51" s="21" t="n">
        <f aca="false">-INDEX(Premissas!$B$73:$F$73,AG$4)</f>
        <v>-15000</v>
      </c>
      <c r="AH51" s="21" t="n">
        <f aca="false">-INDEX(Premissas!$B$73:$F$73,AH$4)</f>
        <v>-15000</v>
      </c>
      <c r="AI51" s="21" t="n">
        <f aca="false">-INDEX(Premissas!$B$73:$F$73,AI$4)</f>
        <v>-15000</v>
      </c>
      <c r="AJ51" s="21" t="n">
        <f aca="false">-INDEX(Premissas!$B$73:$F$73,AJ$4)</f>
        <v>-15000</v>
      </c>
      <c r="AK51" s="21" t="n">
        <f aca="false">-INDEX(Premissas!$B$73:$F$73,AK$4)</f>
        <v>-15000</v>
      </c>
      <c r="AL51" s="21" t="n">
        <f aca="false">-INDEX(Premissas!$B$73:$F$73,AL$4)</f>
        <v>-15000</v>
      </c>
      <c r="AM51" s="21" t="n">
        <f aca="false">-INDEX(Premissas!$B$73:$F$73,AM$4)</f>
        <v>-25000</v>
      </c>
      <c r="AN51" s="21" t="n">
        <f aca="false">-INDEX(Premissas!$B$73:$F$73,AN$4)</f>
        <v>-25000</v>
      </c>
      <c r="AO51" s="21" t="n">
        <f aca="false">-INDEX(Premissas!$B$73:$F$73,AO$4)</f>
        <v>-25000</v>
      </c>
      <c r="AP51" s="21" t="n">
        <f aca="false">-INDEX(Premissas!$B$73:$F$73,AP$4)</f>
        <v>-25000</v>
      </c>
      <c r="AQ51" s="21" t="n">
        <f aca="false">-INDEX(Premissas!$B$73:$F$73,AQ$4)</f>
        <v>-25000</v>
      </c>
      <c r="AR51" s="21" t="n">
        <f aca="false">-INDEX(Premissas!$B$73:$F$73,AR$4)</f>
        <v>-25000</v>
      </c>
      <c r="AS51" s="21" t="n">
        <f aca="false">-INDEX(Premissas!$B$73:$F$73,AS$4)</f>
        <v>-25000</v>
      </c>
      <c r="AT51" s="21" t="n">
        <f aca="false">-INDEX(Premissas!$B$73:$F$73,AT$4)</f>
        <v>-25000</v>
      </c>
      <c r="AU51" s="21" t="n">
        <f aca="false">-INDEX(Premissas!$B$73:$F$73,AU$4)</f>
        <v>-25000</v>
      </c>
      <c r="AV51" s="21" t="n">
        <f aca="false">-INDEX(Premissas!$B$73:$F$73,AV$4)</f>
        <v>-25000</v>
      </c>
      <c r="AW51" s="21" t="n">
        <f aca="false">-INDEX(Premissas!$B$73:$F$73,AW$4)</f>
        <v>-25000</v>
      </c>
      <c r="AX51" s="21" t="n">
        <f aca="false">-INDEX(Premissas!$B$73:$F$73,AX$4)</f>
        <v>-25000</v>
      </c>
      <c r="AY51" s="21" t="n">
        <f aca="false">-INDEX(Premissas!$B$73:$F$73,AY$4)</f>
        <v>-35000</v>
      </c>
      <c r="AZ51" s="21" t="n">
        <f aca="false">-INDEX(Premissas!$B$73:$F$73,AZ$4)</f>
        <v>-35000</v>
      </c>
      <c r="BA51" s="21" t="n">
        <f aca="false">-INDEX(Premissas!$B$73:$F$73,BA$4)</f>
        <v>-35000</v>
      </c>
      <c r="BB51" s="21" t="n">
        <f aca="false">-INDEX(Premissas!$B$73:$F$73,BB$4)</f>
        <v>-35000</v>
      </c>
      <c r="BC51" s="21" t="n">
        <f aca="false">-INDEX(Premissas!$B$73:$F$73,BC$4)</f>
        <v>-35000</v>
      </c>
      <c r="BD51" s="21" t="n">
        <f aca="false">-INDEX(Premissas!$B$73:$F$73,BD$4)</f>
        <v>-35000</v>
      </c>
      <c r="BE51" s="21" t="n">
        <f aca="false">-INDEX(Premissas!$B$73:$F$73,BE$4)</f>
        <v>-35000</v>
      </c>
      <c r="BF51" s="21" t="n">
        <f aca="false">-INDEX(Premissas!$B$73:$F$73,BF$4)</f>
        <v>-35000</v>
      </c>
      <c r="BG51" s="21" t="n">
        <f aca="false">-INDEX(Premissas!$B$73:$F$73,BG$4)</f>
        <v>-35000</v>
      </c>
      <c r="BH51" s="21" t="n">
        <f aca="false">-INDEX(Premissas!$B$73:$F$73,BH$4)</f>
        <v>-35000</v>
      </c>
      <c r="BI51" s="21" t="n">
        <f aca="false">-INDEX(Premissas!$B$73:$F$73,BI$4)</f>
        <v>-35000</v>
      </c>
      <c r="BJ51" s="21" t="n">
        <f aca="false">-INDEX(Premissas!$B$73:$F$73,BJ$4)</f>
        <v>-35000</v>
      </c>
    </row>
    <row r="52" customFormat="false" ht="15" hidden="false" customHeight="false" outlineLevel="0" collapsed="false">
      <c r="A52" s="5" t="s">
        <v>252</v>
      </c>
      <c r="C52" s="21" t="n">
        <f aca="false">-INDEX(Premissas!$B$74:$F$74,C$4)</f>
        <v>-3000</v>
      </c>
      <c r="D52" s="21" t="n">
        <f aca="false">-INDEX(Premissas!$B$74:$F$74,D$4)</f>
        <v>-3000</v>
      </c>
      <c r="E52" s="21" t="n">
        <f aca="false">-INDEX(Premissas!$B$74:$F$74,E$4)</f>
        <v>-3000</v>
      </c>
      <c r="F52" s="21" t="n">
        <f aca="false">-INDEX(Premissas!$B$74:$F$74,F$4)</f>
        <v>-3000</v>
      </c>
      <c r="G52" s="21" t="n">
        <f aca="false">-INDEX(Premissas!$B$74:$F$74,G$4)</f>
        <v>-3000</v>
      </c>
      <c r="H52" s="21" t="n">
        <f aca="false">-INDEX(Premissas!$B$74:$F$74,H$4)</f>
        <v>-3000</v>
      </c>
      <c r="I52" s="21" t="n">
        <f aca="false">-INDEX(Premissas!$B$74:$F$74,I$4)</f>
        <v>-3000</v>
      </c>
      <c r="J52" s="21" t="n">
        <f aca="false">-INDEX(Premissas!$B$74:$F$74,J$4)</f>
        <v>-3000</v>
      </c>
      <c r="K52" s="21" t="n">
        <f aca="false">-INDEX(Premissas!$B$74:$F$74,K$4)</f>
        <v>-3000</v>
      </c>
      <c r="L52" s="21" t="n">
        <f aca="false">-INDEX(Premissas!$B$74:$F$74,L$4)</f>
        <v>-3000</v>
      </c>
      <c r="M52" s="21" t="n">
        <f aca="false">-INDEX(Premissas!$B$74:$F$74,M$4)</f>
        <v>-3000</v>
      </c>
      <c r="N52" s="21" t="n">
        <f aca="false">-INDEX(Premissas!$B$74:$F$74,N$4)</f>
        <v>-3000</v>
      </c>
      <c r="O52" s="21" t="n">
        <f aca="false">-INDEX(Premissas!$B$74:$F$74,O$4)</f>
        <v>-8000</v>
      </c>
      <c r="P52" s="21" t="n">
        <f aca="false">-INDEX(Premissas!$B$74:$F$74,P$4)</f>
        <v>-8000</v>
      </c>
      <c r="Q52" s="21" t="n">
        <f aca="false">-INDEX(Premissas!$B$74:$F$74,Q$4)</f>
        <v>-8000</v>
      </c>
      <c r="R52" s="21" t="n">
        <f aca="false">-INDEX(Premissas!$B$74:$F$74,R$4)</f>
        <v>-8000</v>
      </c>
      <c r="S52" s="21" t="n">
        <f aca="false">-INDEX(Premissas!$B$74:$F$74,S$4)</f>
        <v>-8000</v>
      </c>
      <c r="T52" s="21" t="n">
        <f aca="false">-INDEX(Premissas!$B$74:$F$74,T$4)</f>
        <v>-8000</v>
      </c>
      <c r="U52" s="21" t="n">
        <f aca="false">-INDEX(Premissas!$B$74:$F$74,U$4)</f>
        <v>-8000</v>
      </c>
      <c r="V52" s="21" t="n">
        <f aca="false">-INDEX(Premissas!$B$74:$F$74,V$4)</f>
        <v>-8000</v>
      </c>
      <c r="W52" s="21" t="n">
        <f aca="false">-INDEX(Premissas!$B$74:$F$74,W$4)</f>
        <v>-8000</v>
      </c>
      <c r="X52" s="21" t="n">
        <f aca="false">-INDEX(Premissas!$B$74:$F$74,X$4)</f>
        <v>-8000</v>
      </c>
      <c r="Y52" s="21" t="n">
        <f aca="false">-INDEX(Premissas!$B$74:$F$74,Y$4)</f>
        <v>-8000</v>
      </c>
      <c r="Z52" s="21" t="n">
        <f aca="false">-INDEX(Premissas!$B$74:$F$74,Z$4)</f>
        <v>-8000</v>
      </c>
      <c r="AA52" s="21" t="n">
        <f aca="false">-INDEX(Premissas!$B$74:$F$74,AA$4)</f>
        <v>-15000</v>
      </c>
      <c r="AB52" s="21" t="n">
        <f aca="false">-INDEX(Premissas!$B$74:$F$74,AB$4)</f>
        <v>-15000</v>
      </c>
      <c r="AC52" s="21" t="n">
        <f aca="false">-INDEX(Premissas!$B$74:$F$74,AC$4)</f>
        <v>-15000</v>
      </c>
      <c r="AD52" s="21" t="n">
        <f aca="false">-INDEX(Premissas!$B$74:$F$74,AD$4)</f>
        <v>-15000</v>
      </c>
      <c r="AE52" s="21" t="n">
        <f aca="false">-INDEX(Premissas!$B$74:$F$74,AE$4)</f>
        <v>-15000</v>
      </c>
      <c r="AF52" s="21" t="n">
        <f aca="false">-INDEX(Premissas!$B$74:$F$74,AF$4)</f>
        <v>-15000</v>
      </c>
      <c r="AG52" s="21" t="n">
        <f aca="false">-INDEX(Premissas!$B$74:$F$74,AG$4)</f>
        <v>-15000</v>
      </c>
      <c r="AH52" s="21" t="n">
        <f aca="false">-INDEX(Premissas!$B$74:$F$74,AH$4)</f>
        <v>-15000</v>
      </c>
      <c r="AI52" s="21" t="n">
        <f aca="false">-INDEX(Premissas!$B$74:$F$74,AI$4)</f>
        <v>-15000</v>
      </c>
      <c r="AJ52" s="21" t="n">
        <f aca="false">-INDEX(Premissas!$B$74:$F$74,AJ$4)</f>
        <v>-15000</v>
      </c>
      <c r="AK52" s="21" t="n">
        <f aca="false">-INDEX(Premissas!$B$74:$F$74,AK$4)</f>
        <v>-15000</v>
      </c>
      <c r="AL52" s="21" t="n">
        <f aca="false">-INDEX(Premissas!$B$74:$F$74,AL$4)</f>
        <v>-15000</v>
      </c>
      <c r="AM52" s="21" t="n">
        <f aca="false">-INDEX(Premissas!$B$74:$F$74,AM$4)</f>
        <v>-25000</v>
      </c>
      <c r="AN52" s="21" t="n">
        <f aca="false">-INDEX(Premissas!$B$74:$F$74,AN$4)</f>
        <v>-25000</v>
      </c>
      <c r="AO52" s="21" t="n">
        <f aca="false">-INDEX(Premissas!$B$74:$F$74,AO$4)</f>
        <v>-25000</v>
      </c>
      <c r="AP52" s="21" t="n">
        <f aca="false">-INDEX(Premissas!$B$74:$F$74,AP$4)</f>
        <v>-25000</v>
      </c>
      <c r="AQ52" s="21" t="n">
        <f aca="false">-INDEX(Premissas!$B$74:$F$74,AQ$4)</f>
        <v>-25000</v>
      </c>
      <c r="AR52" s="21" t="n">
        <f aca="false">-INDEX(Premissas!$B$74:$F$74,AR$4)</f>
        <v>-25000</v>
      </c>
      <c r="AS52" s="21" t="n">
        <f aca="false">-INDEX(Premissas!$B$74:$F$74,AS$4)</f>
        <v>-25000</v>
      </c>
      <c r="AT52" s="21" t="n">
        <f aca="false">-INDEX(Premissas!$B$74:$F$74,AT$4)</f>
        <v>-25000</v>
      </c>
      <c r="AU52" s="21" t="n">
        <f aca="false">-INDEX(Premissas!$B$74:$F$74,AU$4)</f>
        <v>-25000</v>
      </c>
      <c r="AV52" s="21" t="n">
        <f aca="false">-INDEX(Premissas!$B$74:$F$74,AV$4)</f>
        <v>-25000</v>
      </c>
      <c r="AW52" s="21" t="n">
        <f aca="false">-INDEX(Premissas!$B$74:$F$74,AW$4)</f>
        <v>-25000</v>
      </c>
      <c r="AX52" s="21" t="n">
        <f aca="false">-INDEX(Premissas!$B$74:$F$74,AX$4)</f>
        <v>-25000</v>
      </c>
      <c r="AY52" s="21" t="n">
        <f aca="false">-INDEX(Premissas!$B$74:$F$74,AY$4)</f>
        <v>-35000</v>
      </c>
      <c r="AZ52" s="21" t="n">
        <f aca="false">-INDEX(Premissas!$B$74:$F$74,AZ$4)</f>
        <v>-35000</v>
      </c>
      <c r="BA52" s="21" t="n">
        <f aca="false">-INDEX(Premissas!$B$74:$F$74,BA$4)</f>
        <v>-35000</v>
      </c>
      <c r="BB52" s="21" t="n">
        <f aca="false">-INDEX(Premissas!$B$74:$F$74,BB$4)</f>
        <v>-35000</v>
      </c>
      <c r="BC52" s="21" t="n">
        <f aca="false">-INDEX(Premissas!$B$74:$F$74,BC$4)</f>
        <v>-35000</v>
      </c>
      <c r="BD52" s="21" t="n">
        <f aca="false">-INDEX(Premissas!$B$74:$F$74,BD$4)</f>
        <v>-35000</v>
      </c>
      <c r="BE52" s="21" t="n">
        <f aca="false">-INDEX(Premissas!$B$74:$F$74,BE$4)</f>
        <v>-35000</v>
      </c>
      <c r="BF52" s="21" t="n">
        <f aca="false">-INDEX(Premissas!$B$74:$F$74,BF$4)</f>
        <v>-35000</v>
      </c>
      <c r="BG52" s="21" t="n">
        <f aca="false">-INDEX(Premissas!$B$74:$F$74,BG$4)</f>
        <v>-35000</v>
      </c>
      <c r="BH52" s="21" t="n">
        <f aca="false">-INDEX(Premissas!$B$74:$F$74,BH$4)</f>
        <v>-35000</v>
      </c>
      <c r="BI52" s="21" t="n">
        <f aca="false">-INDEX(Premissas!$B$74:$F$74,BI$4)</f>
        <v>-35000</v>
      </c>
      <c r="BJ52" s="21" t="n">
        <f aca="false">-INDEX(Premissas!$B$74:$F$74,BJ$4)</f>
        <v>-35000</v>
      </c>
    </row>
    <row r="53" customFormat="false" ht="15" hidden="false" customHeight="false" outlineLevel="0" collapsed="false">
      <c r="A53" s="5" t="s">
        <v>253</v>
      </c>
      <c r="C53" s="21" t="n">
        <f aca="false">-INDEX(Premissas!$B$75:$F$75,C$4)</f>
        <v>-2000</v>
      </c>
      <c r="D53" s="21" t="n">
        <f aca="false">-INDEX(Premissas!$B$75:$F$75,D$4)</f>
        <v>-2000</v>
      </c>
      <c r="E53" s="21" t="n">
        <f aca="false">-INDEX(Premissas!$B$75:$F$75,E$4)</f>
        <v>-2000</v>
      </c>
      <c r="F53" s="21" t="n">
        <f aca="false">-INDEX(Premissas!$B$75:$F$75,F$4)</f>
        <v>-2000</v>
      </c>
      <c r="G53" s="21" t="n">
        <f aca="false">-INDEX(Premissas!$B$75:$F$75,G$4)</f>
        <v>-2000</v>
      </c>
      <c r="H53" s="21" t="n">
        <f aca="false">-INDEX(Premissas!$B$75:$F$75,H$4)</f>
        <v>-2000</v>
      </c>
      <c r="I53" s="21" t="n">
        <f aca="false">-INDEX(Premissas!$B$75:$F$75,I$4)</f>
        <v>-2000</v>
      </c>
      <c r="J53" s="21" t="n">
        <f aca="false">-INDEX(Premissas!$B$75:$F$75,J$4)</f>
        <v>-2000</v>
      </c>
      <c r="K53" s="21" t="n">
        <f aca="false">-INDEX(Premissas!$B$75:$F$75,K$4)</f>
        <v>-2000</v>
      </c>
      <c r="L53" s="21" t="n">
        <f aca="false">-INDEX(Premissas!$B$75:$F$75,L$4)</f>
        <v>-2000</v>
      </c>
      <c r="M53" s="21" t="n">
        <f aca="false">-INDEX(Premissas!$B$75:$F$75,M$4)</f>
        <v>-2000</v>
      </c>
      <c r="N53" s="21" t="n">
        <f aca="false">-INDEX(Premissas!$B$75:$F$75,N$4)</f>
        <v>-2000</v>
      </c>
      <c r="O53" s="21" t="n">
        <f aca="false">-INDEX(Premissas!$B$75:$F$75,O$4)</f>
        <v>-6000</v>
      </c>
      <c r="P53" s="21" t="n">
        <f aca="false">-INDEX(Premissas!$B$75:$F$75,P$4)</f>
        <v>-6000</v>
      </c>
      <c r="Q53" s="21" t="n">
        <f aca="false">-INDEX(Premissas!$B$75:$F$75,Q$4)</f>
        <v>-6000</v>
      </c>
      <c r="R53" s="21" t="n">
        <f aca="false">-INDEX(Premissas!$B$75:$F$75,R$4)</f>
        <v>-6000</v>
      </c>
      <c r="S53" s="21" t="n">
        <f aca="false">-INDEX(Premissas!$B$75:$F$75,S$4)</f>
        <v>-6000</v>
      </c>
      <c r="T53" s="21" t="n">
        <f aca="false">-INDEX(Premissas!$B$75:$F$75,T$4)</f>
        <v>-6000</v>
      </c>
      <c r="U53" s="21" t="n">
        <f aca="false">-INDEX(Premissas!$B$75:$F$75,U$4)</f>
        <v>-6000</v>
      </c>
      <c r="V53" s="21" t="n">
        <f aca="false">-INDEX(Premissas!$B$75:$F$75,V$4)</f>
        <v>-6000</v>
      </c>
      <c r="W53" s="21" t="n">
        <f aca="false">-INDEX(Premissas!$B$75:$F$75,W$4)</f>
        <v>-6000</v>
      </c>
      <c r="X53" s="21" t="n">
        <f aca="false">-INDEX(Premissas!$B$75:$F$75,X$4)</f>
        <v>-6000</v>
      </c>
      <c r="Y53" s="21" t="n">
        <f aca="false">-INDEX(Premissas!$B$75:$F$75,Y$4)</f>
        <v>-6000</v>
      </c>
      <c r="Z53" s="21" t="n">
        <f aca="false">-INDEX(Premissas!$B$75:$F$75,Z$4)</f>
        <v>-6000</v>
      </c>
      <c r="AA53" s="21" t="n">
        <f aca="false">-INDEX(Premissas!$B$75:$F$75,AA$4)</f>
        <v>-15000</v>
      </c>
      <c r="AB53" s="21" t="n">
        <f aca="false">-INDEX(Premissas!$B$75:$F$75,AB$4)</f>
        <v>-15000</v>
      </c>
      <c r="AC53" s="21" t="n">
        <f aca="false">-INDEX(Premissas!$B$75:$F$75,AC$4)</f>
        <v>-15000</v>
      </c>
      <c r="AD53" s="21" t="n">
        <f aca="false">-INDEX(Premissas!$B$75:$F$75,AD$4)</f>
        <v>-15000</v>
      </c>
      <c r="AE53" s="21" t="n">
        <f aca="false">-INDEX(Premissas!$B$75:$F$75,AE$4)</f>
        <v>-15000</v>
      </c>
      <c r="AF53" s="21" t="n">
        <f aca="false">-INDEX(Premissas!$B$75:$F$75,AF$4)</f>
        <v>-15000</v>
      </c>
      <c r="AG53" s="21" t="n">
        <f aca="false">-INDEX(Premissas!$B$75:$F$75,AG$4)</f>
        <v>-15000</v>
      </c>
      <c r="AH53" s="21" t="n">
        <f aca="false">-INDEX(Premissas!$B$75:$F$75,AH$4)</f>
        <v>-15000</v>
      </c>
      <c r="AI53" s="21" t="n">
        <f aca="false">-INDEX(Premissas!$B$75:$F$75,AI$4)</f>
        <v>-15000</v>
      </c>
      <c r="AJ53" s="21" t="n">
        <f aca="false">-INDEX(Premissas!$B$75:$F$75,AJ$4)</f>
        <v>-15000</v>
      </c>
      <c r="AK53" s="21" t="n">
        <f aca="false">-INDEX(Premissas!$B$75:$F$75,AK$4)</f>
        <v>-15000</v>
      </c>
      <c r="AL53" s="21" t="n">
        <f aca="false">-INDEX(Premissas!$B$75:$F$75,AL$4)</f>
        <v>-15000</v>
      </c>
      <c r="AM53" s="21" t="n">
        <f aca="false">-INDEX(Premissas!$B$75:$F$75,AM$4)</f>
        <v>-25000</v>
      </c>
      <c r="AN53" s="21" t="n">
        <f aca="false">-INDEX(Premissas!$B$75:$F$75,AN$4)</f>
        <v>-25000</v>
      </c>
      <c r="AO53" s="21" t="n">
        <f aca="false">-INDEX(Premissas!$B$75:$F$75,AO$4)</f>
        <v>-25000</v>
      </c>
      <c r="AP53" s="21" t="n">
        <f aca="false">-INDEX(Premissas!$B$75:$F$75,AP$4)</f>
        <v>-25000</v>
      </c>
      <c r="AQ53" s="21" t="n">
        <f aca="false">-INDEX(Premissas!$B$75:$F$75,AQ$4)</f>
        <v>-25000</v>
      </c>
      <c r="AR53" s="21" t="n">
        <f aca="false">-INDEX(Premissas!$B$75:$F$75,AR$4)</f>
        <v>-25000</v>
      </c>
      <c r="AS53" s="21" t="n">
        <f aca="false">-INDEX(Premissas!$B$75:$F$75,AS$4)</f>
        <v>-25000</v>
      </c>
      <c r="AT53" s="21" t="n">
        <f aca="false">-INDEX(Premissas!$B$75:$F$75,AT$4)</f>
        <v>-25000</v>
      </c>
      <c r="AU53" s="21" t="n">
        <f aca="false">-INDEX(Premissas!$B$75:$F$75,AU$4)</f>
        <v>-25000</v>
      </c>
      <c r="AV53" s="21" t="n">
        <f aca="false">-INDEX(Premissas!$B$75:$F$75,AV$4)</f>
        <v>-25000</v>
      </c>
      <c r="AW53" s="21" t="n">
        <f aca="false">-INDEX(Premissas!$B$75:$F$75,AW$4)</f>
        <v>-25000</v>
      </c>
      <c r="AX53" s="21" t="n">
        <f aca="false">-INDEX(Premissas!$B$75:$F$75,AX$4)</f>
        <v>-25000</v>
      </c>
      <c r="AY53" s="21" t="n">
        <f aca="false">-INDEX(Premissas!$B$75:$F$75,AY$4)</f>
        <v>-35000</v>
      </c>
      <c r="AZ53" s="21" t="n">
        <f aca="false">-INDEX(Premissas!$B$75:$F$75,AZ$4)</f>
        <v>-35000</v>
      </c>
      <c r="BA53" s="21" t="n">
        <f aca="false">-INDEX(Premissas!$B$75:$F$75,BA$4)</f>
        <v>-35000</v>
      </c>
      <c r="BB53" s="21" t="n">
        <f aca="false">-INDEX(Premissas!$B$75:$F$75,BB$4)</f>
        <v>-35000</v>
      </c>
      <c r="BC53" s="21" t="n">
        <f aca="false">-INDEX(Premissas!$B$75:$F$75,BC$4)</f>
        <v>-35000</v>
      </c>
      <c r="BD53" s="21" t="n">
        <f aca="false">-INDEX(Premissas!$B$75:$F$75,BD$4)</f>
        <v>-35000</v>
      </c>
      <c r="BE53" s="21" t="n">
        <f aca="false">-INDEX(Premissas!$B$75:$F$75,BE$4)</f>
        <v>-35000</v>
      </c>
      <c r="BF53" s="21" t="n">
        <f aca="false">-INDEX(Premissas!$B$75:$F$75,BF$4)</f>
        <v>-35000</v>
      </c>
      <c r="BG53" s="21" t="n">
        <f aca="false">-INDEX(Premissas!$B$75:$F$75,BG$4)</f>
        <v>-35000</v>
      </c>
      <c r="BH53" s="21" t="n">
        <f aca="false">-INDEX(Premissas!$B$75:$F$75,BH$4)</f>
        <v>-35000</v>
      </c>
      <c r="BI53" s="21" t="n">
        <f aca="false">-INDEX(Premissas!$B$75:$F$75,BI$4)</f>
        <v>-35000</v>
      </c>
      <c r="BJ53" s="21" t="n">
        <f aca="false">-INDEX(Premissas!$B$75:$F$75,BJ$4)</f>
        <v>-35000</v>
      </c>
    </row>
    <row r="54" customFormat="false" ht="15" hidden="false" customHeight="false" outlineLevel="0" collapsed="false">
      <c r="A54" s="5" t="s">
        <v>254</v>
      </c>
      <c r="C54" s="21" t="n">
        <f aca="false">-INDEX(Premissas!$B$76:$F$76,C$4)</f>
        <v>-3000</v>
      </c>
      <c r="D54" s="21" t="n">
        <f aca="false">-INDEX(Premissas!$B$76:$F$76,D$4)</f>
        <v>-3000</v>
      </c>
      <c r="E54" s="21" t="n">
        <f aca="false">-INDEX(Premissas!$B$76:$F$76,E$4)</f>
        <v>-3000</v>
      </c>
      <c r="F54" s="21" t="n">
        <f aca="false">-INDEX(Premissas!$B$76:$F$76,F$4)</f>
        <v>-3000</v>
      </c>
      <c r="G54" s="21" t="n">
        <f aca="false">-INDEX(Premissas!$B$76:$F$76,G$4)</f>
        <v>-3000</v>
      </c>
      <c r="H54" s="21" t="n">
        <f aca="false">-INDEX(Premissas!$B$76:$F$76,H$4)</f>
        <v>-3000</v>
      </c>
      <c r="I54" s="21" t="n">
        <f aca="false">-INDEX(Premissas!$B$76:$F$76,I$4)</f>
        <v>-3000</v>
      </c>
      <c r="J54" s="21" t="n">
        <f aca="false">-INDEX(Premissas!$B$76:$F$76,J$4)</f>
        <v>-3000</v>
      </c>
      <c r="K54" s="21" t="n">
        <f aca="false">-INDEX(Premissas!$B$76:$F$76,K$4)</f>
        <v>-3000</v>
      </c>
      <c r="L54" s="21" t="n">
        <f aca="false">-INDEX(Premissas!$B$76:$F$76,L$4)</f>
        <v>-3000</v>
      </c>
      <c r="M54" s="21" t="n">
        <f aca="false">-INDEX(Premissas!$B$76:$F$76,M$4)</f>
        <v>-3000</v>
      </c>
      <c r="N54" s="21" t="n">
        <f aca="false">-INDEX(Premissas!$B$76:$F$76,N$4)</f>
        <v>-3000</v>
      </c>
      <c r="O54" s="21" t="n">
        <f aca="false">-INDEX(Premissas!$B$76:$F$76,O$4)</f>
        <v>-5000</v>
      </c>
      <c r="P54" s="21" t="n">
        <f aca="false">-INDEX(Premissas!$B$76:$F$76,P$4)</f>
        <v>-5000</v>
      </c>
      <c r="Q54" s="21" t="n">
        <f aca="false">-INDEX(Premissas!$B$76:$F$76,Q$4)</f>
        <v>-5000</v>
      </c>
      <c r="R54" s="21" t="n">
        <f aca="false">-INDEX(Premissas!$B$76:$F$76,R$4)</f>
        <v>-5000</v>
      </c>
      <c r="S54" s="21" t="n">
        <f aca="false">-INDEX(Premissas!$B$76:$F$76,S$4)</f>
        <v>-5000</v>
      </c>
      <c r="T54" s="21" t="n">
        <f aca="false">-INDEX(Premissas!$B$76:$F$76,T$4)</f>
        <v>-5000</v>
      </c>
      <c r="U54" s="21" t="n">
        <f aca="false">-INDEX(Premissas!$B$76:$F$76,U$4)</f>
        <v>-5000</v>
      </c>
      <c r="V54" s="21" t="n">
        <f aca="false">-INDEX(Premissas!$B$76:$F$76,V$4)</f>
        <v>-5000</v>
      </c>
      <c r="W54" s="21" t="n">
        <f aca="false">-INDEX(Premissas!$B$76:$F$76,W$4)</f>
        <v>-5000</v>
      </c>
      <c r="X54" s="21" t="n">
        <f aca="false">-INDEX(Premissas!$B$76:$F$76,X$4)</f>
        <v>-5000</v>
      </c>
      <c r="Y54" s="21" t="n">
        <f aca="false">-INDEX(Premissas!$B$76:$F$76,Y$4)</f>
        <v>-5000</v>
      </c>
      <c r="Z54" s="21" t="n">
        <f aca="false">-INDEX(Premissas!$B$76:$F$76,Z$4)</f>
        <v>-5000</v>
      </c>
      <c r="AA54" s="21" t="n">
        <f aca="false">-INDEX(Premissas!$B$76:$F$76,AA$4)</f>
        <v>-9000</v>
      </c>
      <c r="AB54" s="21" t="n">
        <f aca="false">-INDEX(Premissas!$B$76:$F$76,AB$4)</f>
        <v>-9000</v>
      </c>
      <c r="AC54" s="21" t="n">
        <f aca="false">-INDEX(Premissas!$B$76:$F$76,AC$4)</f>
        <v>-9000</v>
      </c>
      <c r="AD54" s="21" t="n">
        <f aca="false">-INDEX(Premissas!$B$76:$F$76,AD$4)</f>
        <v>-9000</v>
      </c>
      <c r="AE54" s="21" t="n">
        <f aca="false">-INDEX(Premissas!$B$76:$F$76,AE$4)</f>
        <v>-9000</v>
      </c>
      <c r="AF54" s="21" t="n">
        <f aca="false">-INDEX(Premissas!$B$76:$F$76,AF$4)</f>
        <v>-9000</v>
      </c>
      <c r="AG54" s="21" t="n">
        <f aca="false">-INDEX(Premissas!$B$76:$F$76,AG$4)</f>
        <v>-9000</v>
      </c>
      <c r="AH54" s="21" t="n">
        <f aca="false">-INDEX(Premissas!$B$76:$F$76,AH$4)</f>
        <v>-9000</v>
      </c>
      <c r="AI54" s="21" t="n">
        <f aca="false">-INDEX(Premissas!$B$76:$F$76,AI$4)</f>
        <v>-9000</v>
      </c>
      <c r="AJ54" s="21" t="n">
        <f aca="false">-INDEX(Premissas!$B$76:$F$76,AJ$4)</f>
        <v>-9000</v>
      </c>
      <c r="AK54" s="21" t="n">
        <f aca="false">-INDEX(Premissas!$B$76:$F$76,AK$4)</f>
        <v>-9000</v>
      </c>
      <c r="AL54" s="21" t="n">
        <f aca="false">-INDEX(Premissas!$B$76:$F$76,AL$4)</f>
        <v>-9000</v>
      </c>
      <c r="AM54" s="21" t="n">
        <f aca="false">-INDEX(Premissas!$B$76:$F$76,AM$4)</f>
        <v>-14000</v>
      </c>
      <c r="AN54" s="21" t="n">
        <f aca="false">-INDEX(Premissas!$B$76:$F$76,AN$4)</f>
        <v>-14000</v>
      </c>
      <c r="AO54" s="21" t="n">
        <f aca="false">-INDEX(Premissas!$B$76:$F$76,AO$4)</f>
        <v>-14000</v>
      </c>
      <c r="AP54" s="21" t="n">
        <f aca="false">-INDEX(Premissas!$B$76:$F$76,AP$4)</f>
        <v>-14000</v>
      </c>
      <c r="AQ54" s="21" t="n">
        <f aca="false">-INDEX(Premissas!$B$76:$F$76,AQ$4)</f>
        <v>-14000</v>
      </c>
      <c r="AR54" s="21" t="n">
        <f aca="false">-INDEX(Premissas!$B$76:$F$76,AR$4)</f>
        <v>-14000</v>
      </c>
      <c r="AS54" s="21" t="n">
        <f aca="false">-INDEX(Premissas!$B$76:$F$76,AS$4)</f>
        <v>-14000</v>
      </c>
      <c r="AT54" s="21" t="n">
        <f aca="false">-INDEX(Premissas!$B$76:$F$76,AT$4)</f>
        <v>-14000</v>
      </c>
      <c r="AU54" s="21" t="n">
        <f aca="false">-INDEX(Premissas!$B$76:$F$76,AU$4)</f>
        <v>-14000</v>
      </c>
      <c r="AV54" s="21" t="n">
        <f aca="false">-INDEX(Premissas!$B$76:$F$76,AV$4)</f>
        <v>-14000</v>
      </c>
      <c r="AW54" s="21" t="n">
        <f aca="false">-INDEX(Premissas!$B$76:$F$76,AW$4)</f>
        <v>-14000</v>
      </c>
      <c r="AX54" s="21" t="n">
        <f aca="false">-INDEX(Premissas!$B$76:$F$76,AX$4)</f>
        <v>-14000</v>
      </c>
      <c r="AY54" s="21" t="n">
        <f aca="false">-INDEX(Premissas!$B$76:$F$76,AY$4)</f>
        <v>-20000</v>
      </c>
      <c r="AZ54" s="21" t="n">
        <f aca="false">-INDEX(Premissas!$B$76:$F$76,AZ$4)</f>
        <v>-20000</v>
      </c>
      <c r="BA54" s="21" t="n">
        <f aca="false">-INDEX(Premissas!$B$76:$F$76,BA$4)</f>
        <v>-20000</v>
      </c>
      <c r="BB54" s="21" t="n">
        <f aca="false">-INDEX(Premissas!$B$76:$F$76,BB$4)</f>
        <v>-20000</v>
      </c>
      <c r="BC54" s="21" t="n">
        <f aca="false">-INDEX(Premissas!$B$76:$F$76,BC$4)</f>
        <v>-20000</v>
      </c>
      <c r="BD54" s="21" t="n">
        <f aca="false">-INDEX(Premissas!$B$76:$F$76,BD$4)</f>
        <v>-20000</v>
      </c>
      <c r="BE54" s="21" t="n">
        <f aca="false">-INDEX(Premissas!$B$76:$F$76,BE$4)</f>
        <v>-20000</v>
      </c>
      <c r="BF54" s="21" t="n">
        <f aca="false">-INDEX(Premissas!$B$76:$F$76,BF$4)</f>
        <v>-20000</v>
      </c>
      <c r="BG54" s="21" t="n">
        <f aca="false">-INDEX(Premissas!$B$76:$F$76,BG$4)</f>
        <v>-20000</v>
      </c>
      <c r="BH54" s="21" t="n">
        <f aca="false">-INDEX(Premissas!$B$76:$F$76,BH$4)</f>
        <v>-20000</v>
      </c>
      <c r="BI54" s="21" t="n">
        <f aca="false">-INDEX(Premissas!$B$76:$F$76,BI$4)</f>
        <v>-20000</v>
      </c>
      <c r="BJ54" s="21" t="n">
        <f aca="false">-INDEX(Premissas!$B$76:$F$76,BJ$4)</f>
        <v>-20000</v>
      </c>
    </row>
    <row r="55" customFormat="false" ht="15" hidden="false" customHeight="false" outlineLevel="0" collapsed="false">
      <c r="A55" s="18" t="s">
        <v>255</v>
      </c>
      <c r="C55" s="30" t="n">
        <f aca="false">SUM(C47:C54)</f>
        <v>-205852.697638889</v>
      </c>
      <c r="D55" s="30" t="n">
        <f aca="false">SUM(D47:D54)</f>
        <v>-205872.882708194</v>
      </c>
      <c r="E55" s="30" t="n">
        <f aca="false">SUM(E47:E54)</f>
        <v>-205892.724631322</v>
      </c>
      <c r="F55" s="30" t="n">
        <f aca="false">SUM(F47:F54)</f>
        <v>-205912.230614341</v>
      </c>
      <c r="G55" s="30" t="n">
        <f aca="false">SUM(G47:G54)</f>
        <v>-205931.407672431</v>
      </c>
      <c r="H55" s="30" t="n">
        <f aca="false">SUM(H47:H54)</f>
        <v>-205950.262635871</v>
      </c>
      <c r="I55" s="30" t="n">
        <f aca="false">SUM(I47:I54)</f>
        <v>-205968.802155823</v>
      </c>
      <c r="J55" s="30" t="n">
        <f aca="false">SUM(J47:J54)</f>
        <v>-205987.032709919</v>
      </c>
      <c r="K55" s="30" t="n">
        <f aca="false">SUM(K47:K54)</f>
        <v>-206004.960607654</v>
      </c>
      <c r="L55" s="30" t="n">
        <f aca="false">SUM(L47:L54)</f>
        <v>-206022.591995597</v>
      </c>
      <c r="M55" s="30" t="n">
        <f aca="false">SUM(M47:M54)</f>
        <v>-206039.932862424</v>
      </c>
      <c r="N55" s="30" t="n">
        <f aca="false">SUM(N47:N54)</f>
        <v>-206056.989043778</v>
      </c>
      <c r="O55" s="30" t="n">
        <f aca="false">SUM(O47:O54)</f>
        <v>-492849.252555344</v>
      </c>
      <c r="P55" s="30" t="n">
        <f aca="false">SUM(P47:P54)</f>
        <v>-492916.905801488</v>
      </c>
      <c r="Q55" s="30" t="n">
        <f aca="false">SUM(Q47:Q54)</f>
        <v>-492983.658017886</v>
      </c>
      <c r="R55" s="30" t="n">
        <f aca="false">SUM(R47:R54)</f>
        <v>-493049.524823694</v>
      </c>
      <c r="S55" s="30" t="n">
        <f aca="false">SUM(S47:S54)</f>
        <v>-493114.521471097</v>
      </c>
      <c r="T55" s="30" t="n">
        <f aca="false">SUM(T47:T54)</f>
        <v>-493178.662855954</v>
      </c>
      <c r="U55" s="30" t="n">
        <f aca="false">SUM(U47:U54)</f>
        <v>-493241.963528084</v>
      </c>
      <c r="V55" s="30" t="n">
        <f aca="false">SUM(V47:V54)</f>
        <v>-493304.437701239</v>
      </c>
      <c r="W55" s="30" t="n">
        <f aca="false">SUM(W47:W54)</f>
        <v>-493366.099262755</v>
      </c>
      <c r="X55" s="30" t="n">
        <f aca="false">SUM(X47:X54)</f>
        <v>-493426.961782886</v>
      </c>
      <c r="Y55" s="30" t="n">
        <f aca="false">SUM(Y47:Y54)</f>
        <v>-493487.038523856</v>
      </c>
      <c r="Z55" s="30" t="n">
        <f aca="false">SUM(Z47:Z54)</f>
        <v>-493546.342448613</v>
      </c>
      <c r="AA55" s="30" t="n">
        <f aca="false">SUM(AA47:AA54)</f>
        <v>-875757.970844495</v>
      </c>
      <c r="AB55" s="30" t="n">
        <f aca="false">SUM(AB47:AB54)</f>
        <v>-875935.012036843</v>
      </c>
      <c r="AC55" s="30" t="n">
        <f aca="false">SUM(AC47:AC54)</f>
        <v>-876110.267383754</v>
      </c>
      <c r="AD55" s="30" t="n">
        <f aca="false">SUM(AD47:AD54)</f>
        <v>-876283.762165653</v>
      </c>
      <c r="AE55" s="30" t="n">
        <f aca="false">SUM(AE47:AE54)</f>
        <v>-876455.521128583</v>
      </c>
      <c r="AF55" s="30" t="n">
        <f aca="false">SUM(AF47:AF54)</f>
        <v>-876625.5684987</v>
      </c>
      <c r="AG55" s="30" t="n">
        <f aca="false">SUM(AG47:AG54)</f>
        <v>-876793.92799633</v>
      </c>
      <c r="AH55" s="30" t="n">
        <f aca="false">SUM(AH47:AH54)</f>
        <v>-876960.622849603</v>
      </c>
      <c r="AI55" s="30" t="n">
        <f aca="false">SUM(AI47:AI54)</f>
        <v>-877125.675807687</v>
      </c>
      <c r="AJ55" s="30" t="n">
        <f aca="false">SUM(AJ47:AJ54)</f>
        <v>-877289.109153619</v>
      </c>
      <c r="AK55" s="30" t="n">
        <f aca="false">SUM(AK47:AK54)</f>
        <v>-877450.944716759</v>
      </c>
      <c r="AL55" s="30" t="n">
        <f aca="false">SUM(AL47:AL54)</f>
        <v>-877611.20388487</v>
      </c>
      <c r="AM55" s="30" t="n">
        <f aca="false">SUM(AM47:AM54)</f>
        <v>-1311918.41510339</v>
      </c>
      <c r="AN55" s="30" t="n">
        <f aca="false">SUM(AN47:AN54)</f>
        <v>-1312231.10213293</v>
      </c>
      <c r="AO55" s="30" t="n">
        <f aca="false">SUM(AO47:AO54)</f>
        <v>-1312541.34266212</v>
      </c>
      <c r="AP55" s="30" t="n">
        <f aca="false">SUM(AP47:AP54)</f>
        <v>-1312849.16585613</v>
      </c>
      <c r="AQ55" s="30" t="n">
        <f aca="false">SUM(AQ47:AQ54)</f>
        <v>-1313154.60031098</v>
      </c>
      <c r="AR55" s="30" t="n">
        <f aca="false">SUM(AR47:AR54)</f>
        <v>-1313457.67406806</v>
      </c>
      <c r="AS55" s="30" t="n">
        <f aca="false">SUM(AS47:AS54)</f>
        <v>-1313758.41462822</v>
      </c>
      <c r="AT55" s="30" t="n">
        <f aca="false">SUM(AT47:AT54)</f>
        <v>-1314056.84896549</v>
      </c>
      <c r="AU55" s="30" t="n">
        <f aca="false">SUM(AU47:AU54)</f>
        <v>-1314353.00354039</v>
      </c>
      <c r="AV55" s="30" t="n">
        <f aca="false">SUM(AV47:AV54)</f>
        <v>-1314646.90431291</v>
      </c>
      <c r="AW55" s="30" t="n">
        <f aca="false">SUM(AW47:AW54)</f>
        <v>-1314938.57675511</v>
      </c>
      <c r="AX55" s="30" t="n">
        <f aca="false">SUM(AX47:AX54)</f>
        <v>-1315228.04586334</v>
      </c>
      <c r="AY55" s="30" t="n">
        <f aca="false">SUM(AY47:AY54)</f>
        <v>-1707428.31650232</v>
      </c>
      <c r="AZ55" s="30" t="n">
        <f aca="false">SUM(AZ47:AZ54)</f>
        <v>-1707899.06790323</v>
      </c>
      <c r="BA55" s="30" t="n">
        <f aca="false">SUM(BA47:BA54)</f>
        <v>-1708367.20804702</v>
      </c>
      <c r="BB55" s="30" t="n">
        <f aca="false">SUM(BB47:BB54)</f>
        <v>-1708832.76180611</v>
      </c>
      <c r="BC55" s="30" t="n">
        <f aca="false">SUM(BC47:BC54)</f>
        <v>-1709295.75360535</v>
      </c>
      <c r="BD55" s="30" t="n">
        <f aca="false">SUM(BD47:BD54)</f>
        <v>-1709756.2074327</v>
      </c>
      <c r="BE55" s="30" t="n">
        <f aca="false">SUM(BE47:BE54)</f>
        <v>-1710214.14684973</v>
      </c>
      <c r="BF55" s="30" t="n">
        <f aca="false">SUM(BF47:BF54)</f>
        <v>-1710669.59500182</v>
      </c>
      <c r="BG55" s="30" t="n">
        <f aca="false">SUM(BG47:BG54)</f>
        <v>-1711122.57462808</v>
      </c>
      <c r="BH55" s="30" t="n">
        <f aca="false">SUM(BH47:BH54)</f>
        <v>-1711573.10807103</v>
      </c>
      <c r="BI55" s="30" t="n">
        <f aca="false">SUM(BI47:BI54)</f>
        <v>-1712021.21728602</v>
      </c>
      <c r="BJ55" s="30" t="n">
        <f aca="false">SUM(BJ47:BJ54)</f>
        <v>-1712466.92385041</v>
      </c>
    </row>
    <row r="56" customFormat="false" ht="15" hidden="false" customHeight="false" outlineLevel="0" collapsed="false">
      <c r="A56" s="18" t="s">
        <v>135</v>
      </c>
      <c r="C56" s="30" t="n">
        <f aca="false">C44+C55</f>
        <v>-187111.26769864</v>
      </c>
      <c r="D56" s="30" t="n">
        <f aca="false">D44+D55</f>
        <v>-175847.897168885</v>
      </c>
      <c r="E56" s="30" t="n">
        <f aca="false">E44+E55</f>
        <v>-164736.222629276</v>
      </c>
      <c r="F56" s="30" t="n">
        <f aca="false">F44+F55</f>
        <v>-153774.166014752</v>
      </c>
      <c r="G56" s="30" t="n">
        <f aca="false">G44+G55</f>
        <v>-142959.679011564</v>
      </c>
      <c r="H56" s="30" t="n">
        <f aca="false">H44+H55</f>
        <v>-132290.742585207</v>
      </c>
      <c r="I56" s="30" t="n">
        <f aca="false">I44+I55</f>
        <v>-121765.366517414</v>
      </c>
      <c r="J56" s="30" t="n">
        <f aca="false">J44+J55</f>
        <v>-111381.58895201</v>
      </c>
      <c r="K56" s="30" t="n">
        <f aca="false">K44+K55</f>
        <v>-101137.475949385</v>
      </c>
      <c r="L56" s="30" t="n">
        <f aca="false">L44+L55</f>
        <v>-91031.1210494041</v>
      </c>
      <c r="M56" s="30" t="n">
        <f aca="false">M44+M55</f>
        <v>-81060.6448425265</v>
      </c>
      <c r="N56" s="30" t="n">
        <f aca="false">N44+N55</f>
        <v>-71224.1945489497</v>
      </c>
      <c r="O56" s="30" t="n">
        <f aca="false">O44+O55</f>
        <v>-292615.260896212</v>
      </c>
      <c r="P56" s="30" t="n">
        <f aca="false">P44+P55</f>
        <v>-253316.398155517</v>
      </c>
      <c r="Q56" s="30" t="n">
        <f aca="false">Q44+Q55</f>
        <v>-214406.086378078</v>
      </c>
      <c r="R56" s="30" t="n">
        <f aca="false">R44+R55</f>
        <v>-175880.749284443</v>
      </c>
      <c r="S56" s="30" t="n">
        <f aca="false">S44+S55</f>
        <v>-137736.835566281</v>
      </c>
      <c r="T56" s="30" t="n">
        <f aca="false">T44+T55</f>
        <v>-99970.8189835284</v>
      </c>
      <c r="U56" s="30" t="n">
        <f aca="false">U44+U55</f>
        <v>-62579.1984493679</v>
      </c>
      <c r="V56" s="30" t="n">
        <f aca="false">V44+V55</f>
        <v>-25558.4981035283</v>
      </c>
      <c r="W56" s="30" t="n">
        <f aca="false">W44+W55</f>
        <v>11094.732625622</v>
      </c>
      <c r="X56" s="30" t="n">
        <f aca="false">X44+X55</f>
        <v>47383.9189697342</v>
      </c>
      <c r="Y56" s="30" t="n">
        <f aca="false">Y44+Y55</f>
        <v>83312.460779445</v>
      </c>
      <c r="Z56" s="30" t="n">
        <f aca="false">Z44+Z55</f>
        <v>118883.732493232</v>
      </c>
      <c r="AA56" s="30" t="n">
        <f aca="false">AA44+AA55</f>
        <v>-139398.326439149</v>
      </c>
      <c r="AB56" s="30" t="n">
        <f aca="false">AB44+AB55</f>
        <v>-40436.7516424342</v>
      </c>
      <c r="AC56" s="30" t="n">
        <f aca="false">AC44+AC55</f>
        <v>57840.8157169035</v>
      </c>
      <c r="AD56" s="30" t="n">
        <f aca="false">AD44+AD55</f>
        <v>155437.806298651</v>
      </c>
      <c r="AE56" s="30" t="n">
        <f aca="false">AE44+AE55</f>
        <v>252357.670215785</v>
      </c>
      <c r="AF56" s="30" t="n">
        <f aca="false">AF44+AF55</f>
        <v>348603.875641607</v>
      </c>
      <c r="AG56" s="30" t="n">
        <f aca="false">AG44+AG55</f>
        <v>444179.907463532</v>
      </c>
      <c r="AH56" s="30" t="n">
        <f aca="false">AH44+AH55</f>
        <v>539089.265982109</v>
      </c>
      <c r="AI56" s="30" t="n">
        <f aca="false">AI44+AI55</f>
        <v>633335.465653856</v>
      </c>
      <c r="AJ56" s="30" t="n">
        <f aca="false">AJ44+AJ55</f>
        <v>726922.033876568</v>
      </c>
      <c r="AK56" s="30" t="n">
        <f aca="false">AK44+AK55</f>
        <v>819852.50981578</v>
      </c>
      <c r="AL56" s="30" t="n">
        <f aca="false">AL44+AL55</f>
        <v>912130.443271121</v>
      </c>
      <c r="AM56" s="30" t="n">
        <f aca="false">AM44+AM55</f>
        <v>764258.121786031</v>
      </c>
      <c r="AN56" s="30" t="n">
        <f aca="false">AN44+AN55</f>
        <v>943907.428068925</v>
      </c>
      <c r="AO56" s="30" t="n">
        <f aca="false">AO44+AO55</f>
        <v>1122650.51017672</v>
      </c>
      <c r="AP56" s="30" t="n">
        <f aca="false">AP44+AP55</f>
        <v>1300489.35992236</v>
      </c>
      <c r="AQ56" s="30" t="n">
        <f aca="false">AQ44+AQ55</f>
        <v>1477426.03392974</v>
      </c>
      <c r="AR56" s="30" t="n">
        <f aca="false">AR44+AR55</f>
        <v>1653462.65135228</v>
      </c>
      <c r="AS56" s="30" t="n">
        <f aca="false">AS44+AS55</f>
        <v>1828601.39165539</v>
      </c>
      <c r="AT56" s="30" t="n">
        <f aca="false">AT44+AT55</f>
        <v>2002844.49246094</v>
      </c>
      <c r="AU56" s="30" t="n">
        <f aca="false">AU44+AU55</f>
        <v>2176194.24745222</v>
      </c>
      <c r="AV56" s="30" t="n">
        <f aca="false">AV44+AV55</f>
        <v>2348653.00433754</v>
      </c>
      <c r="AW56" s="30" t="n">
        <f aca="false">AW44+AW55</f>
        <v>2520223.16287091</v>
      </c>
      <c r="AX56" s="30" t="n">
        <f aca="false">AX44+AX55</f>
        <v>2690907.17292821</v>
      </c>
      <c r="AY56" s="30" t="n">
        <f aca="false">AY44+AY55</f>
        <v>2753679.02845866</v>
      </c>
      <c r="AZ56" s="30" t="n">
        <f aca="false">AZ44+AZ55</f>
        <v>3033121.4469841</v>
      </c>
      <c r="BA56" s="30" t="n">
        <f aca="false">BA44+BA55</f>
        <v>3311620.13731468</v>
      </c>
      <c r="BB56" s="30" t="n">
        <f aca="false">BB44+BB55</f>
        <v>3589174.60223759</v>
      </c>
      <c r="BC56" s="30" t="n">
        <f aca="false">BC44+BC55</f>
        <v>3865784.43744935</v>
      </c>
      <c r="BD56" s="30" t="n">
        <f aca="false">BD44+BD55</f>
        <v>4141449.32912958</v>
      </c>
      <c r="BE56" s="30" t="n">
        <f aca="false">BE44+BE55</f>
        <v>4416169.05157423</v>
      </c>
      <c r="BF56" s="30" t="n">
        <f aca="false">BF44+BF55</f>
        <v>4689943.464887</v>
      </c>
      <c r="BG56" s="30" t="n">
        <f aca="false">BG44+BG55</f>
        <v>4962772.51272714</v>
      </c>
      <c r="BH56" s="30" t="n">
        <f aca="false">BH44+BH55</f>
        <v>5234656.22011253</v>
      </c>
      <c r="BI56" s="30" t="n">
        <f aca="false">BI44+BI55</f>
        <v>5505594.69127644</v>
      </c>
      <c r="BJ56" s="30" t="n">
        <f aca="false">BJ44+BJ55</f>
        <v>5775588.10757669</v>
      </c>
    </row>
    <row r="57" customFormat="false" ht="15" hidden="false" customHeight="false" outlineLevel="0" collapsed="false">
      <c r="A57" s="5" t="s">
        <v>256</v>
      </c>
      <c r="C57" s="15" t="n">
        <f aca="false">IFERROR(C56/C37,0)</f>
        <v>-8.62518916280677</v>
      </c>
      <c r="D57" s="15" t="n">
        <f aca="false">IFERROR(D56/D37,0)</f>
        <v>-4.93964086812731</v>
      </c>
      <c r="E57" s="15" t="n">
        <f aca="false">IFERROR(E56/E37,0)</f>
        <v>-3.33999137051598</v>
      </c>
      <c r="F57" s="15" t="n">
        <f aca="false">IFERROR(F56/F37,0)</f>
        <v>-2.44610015653372</v>
      </c>
      <c r="G57" s="15" t="n">
        <f aca="false">IFERROR(G56/G37,0)</f>
        <v>-1.87537958205884</v>
      </c>
      <c r="H57" s="15" t="n">
        <f aca="false">IFERROR(H56/H37,0)</f>
        <v>-1.47945169369695</v>
      </c>
      <c r="I57" s="15" t="n">
        <f aca="false">IFERROR(I56/I37,0)</f>
        <v>-1.18871523669521</v>
      </c>
      <c r="J57" s="15" t="n">
        <f aca="false">IFERROR(J56/J37,0)</f>
        <v>-0.96619160555705</v>
      </c>
      <c r="K57" s="15" t="n">
        <f aca="false">IFERROR(K56/K37,0)</f>
        <v>-0.79041644722222</v>
      </c>
      <c r="L57" s="15" t="n">
        <f aca="false">IFERROR(L56/L37,0)</f>
        <v>-0.64807583985668</v>
      </c>
      <c r="M57" s="15" t="n">
        <f aca="false">IFERROR(M56/M37,0)</f>
        <v>-0.530473105053605</v>
      </c>
      <c r="N57" s="15" t="n">
        <f aca="false">IFERROR(N56/N37,0)</f>
        <v>-0.431686935620622</v>
      </c>
      <c r="O57" s="15" t="n">
        <f aca="false">IFERROR(O56/O37,0)</f>
        <v>-1.21036946026038</v>
      </c>
      <c r="P57" s="15" t="n">
        <f aca="false">IFERROR(P56/P37,0)</f>
        <v>-0.869441714231912</v>
      </c>
      <c r="Q57" s="15" t="n">
        <f aca="false">IFERROR(Q56/Q37,0)</f>
        <v>-0.629716408554409</v>
      </c>
      <c r="R57" s="15" t="n">
        <f aca="false">IFERROR(R56/R37,0)</f>
        <v>-0.45197717744638</v>
      </c>
      <c r="S57" s="15" t="n">
        <f aca="false">IFERROR(S56/S37,0)</f>
        <v>-0.31495156201515</v>
      </c>
      <c r="T57" s="15" t="n">
        <f aca="false">IFERROR(T56/T37,0)</f>
        <v>-0.206101447118713</v>
      </c>
      <c r="U57" s="15" t="n">
        <f aca="false">IFERROR(U56/U37,0)</f>
        <v>-0.117557549032198</v>
      </c>
      <c r="V57" s="15" t="n">
        <f aca="false">IFERROR(V56/V37,0)</f>
        <v>-0.0441313243437023</v>
      </c>
      <c r="W57" s="15" t="n">
        <f aca="false">IFERROR(W56/W37,0)</f>
        <v>0.0177369612528879</v>
      </c>
      <c r="X57" s="15" t="n">
        <f aca="false">IFERROR(X56/X37,0)</f>
        <v>0.0705708723117437</v>
      </c>
      <c r="Y57" s="15" t="n">
        <f aca="false">IFERROR(Y56/Y37,0)</f>
        <v>0.116209238478188</v>
      </c>
      <c r="Z57" s="15" t="n">
        <f aca="false">IFERROR(Z56/Z37,0)</f>
        <v>0.156023641325102</v>
      </c>
      <c r="AA57" s="15" t="n">
        <f aca="false">IFERROR(AA56/AA37,0)</f>
        <v>-0.151697155730602</v>
      </c>
      <c r="AB57" s="15" t="n">
        <f aca="false">IFERROR(AB56/AB37,0)</f>
        <v>-0.0385886803370256</v>
      </c>
      <c r="AC57" s="15" t="n">
        <f aca="false">IFERROR(AC56/AC37,0)</f>
        <v>0.0491840190656395</v>
      </c>
      <c r="AD57" s="15" t="n">
        <f aca="false">IFERROR(AD56/AD37,0)</f>
        <v>0.119266740460858</v>
      </c>
      <c r="AE57" s="15" t="n">
        <f aca="false">IFERROR(AE56/AE37,0)</f>
        <v>0.176510173051643</v>
      </c>
      <c r="AF57" s="15" t="n">
        <f aca="false">IFERROR(AF56/AF37,0)</f>
        <v>0.224140209870408</v>
      </c>
      <c r="AG57" s="15" t="n">
        <f aca="false">IFERROR(AG56/AG37,0)</f>
        <v>0.264385683730764</v>
      </c>
      <c r="AH57" s="15" t="n">
        <f aca="false">IFERROR(AH56/AH37,0)</f>
        <v>0.298835948885976</v>
      </c>
      <c r="AI57" s="15" t="n">
        <f aca="false">IFERROR(AI56/AI37,0)</f>
        <v>0.328654872131495</v>
      </c>
      <c r="AJ57" s="15" t="n">
        <f aca="false">IFERROR(AJ56/AJ37,0)</f>
        <v>0.354714283877462</v>
      </c>
      <c r="AK57" s="15" t="n">
        <f aca="false">IFERROR(AK56/AK37,0)</f>
        <v>0.377680166814629</v>
      </c>
      <c r="AL57" s="15" t="n">
        <f aca="false">IFERROR(AL56/AL37,0)</f>
        <v>0.398070021700641</v>
      </c>
      <c r="AM57" s="15" t="n">
        <f aca="false">IFERROR(AM56/AM37,0)</f>
        <v>0.289799111771011</v>
      </c>
      <c r="AN57" s="15" t="n">
        <f aca="false">IFERROR(AN56/AN37,0)</f>
        <v>0.328689888392763</v>
      </c>
      <c r="AO57" s="15" t="n">
        <f aca="false">IFERROR(AO56/AO37,0)</f>
        <v>0.361546583343047</v>
      </c>
      <c r="AP57" s="15" t="n">
        <f aca="false">IFERROR(AP56/AP37,0)</f>
        <v>0.389668742188795</v>
      </c>
      <c r="AQ57" s="15" t="n">
        <f aca="false">IFERROR(AQ56/AQ37,0)</f>
        <v>0.414007799823547</v>
      </c>
      <c r="AR57" s="15" t="n">
        <f aca="false">IFERROR(AR56/AR37,0)</f>
        <v>0.435276324026806</v>
      </c>
      <c r="AS57" s="15" t="n">
        <f aca="false">IFERROR(AS56/AS37,0)</f>
        <v>0.454018549445317</v>
      </c>
      <c r="AT57" s="15" t="n">
        <f aca="false">IFERROR(AT56/AT37,0)</f>
        <v>0.470657312135171</v>
      </c>
      <c r="AU57" s="15" t="n">
        <f aca="false">IFERROR(AU56/AU37,0)</f>
        <v>0.485526110056914</v>
      </c>
      <c r="AV57" s="15" t="n">
        <f aca="false">IFERROR(AV56/AV37,0)</f>
        <v>0.498891512991934</v>
      </c>
      <c r="AW57" s="15" t="n">
        <f aca="false">IFERROR(AW56/AW37,0)</f>
        <v>0.510969149067278</v>
      </c>
      <c r="AX57" s="15" t="n">
        <f aca="false">IFERROR(AX56/AX37,0)</f>
        <v>0.521935317957732</v>
      </c>
      <c r="AY57" s="15" t="n">
        <f aca="false">IFERROR(AY56/AY37,0)</f>
        <v>0.482685215385366</v>
      </c>
      <c r="AZ57" s="15" t="n">
        <f aca="false">IFERROR(AZ56/AZ37,0)</f>
        <v>0.499581435437591</v>
      </c>
      <c r="BA57" s="15" t="n">
        <f aca="false">IFERROR(BA56/BA37,0)</f>
        <v>0.514500675755338</v>
      </c>
      <c r="BB57" s="15" t="n">
        <f aca="false">IFERROR(BB56/BB37,0)</f>
        <v>0.527769227306212</v>
      </c>
      <c r="BC57" s="15" t="n">
        <f aca="false">IFERROR(BC56/BC37,0)</f>
        <v>0.539645349915423</v>
      </c>
      <c r="BD57" s="15" t="n">
        <f aca="false">IFERROR(BD56/BD37,0)</f>
        <v>0.550336123721386</v>
      </c>
      <c r="BE57" s="15" t="n">
        <f aca="false">IFERROR(BE56/BE37,0)</f>
        <v>0.560009528111245</v>
      </c>
      <c r="BF57" s="15" t="n">
        <f aca="false">IFERROR(BF56/BF37,0)</f>
        <v>0.568803253960882</v>
      </c>
      <c r="BG57" s="15" t="n">
        <f aca="false">IFERROR(BG56/BG37,0)</f>
        <v>0.576831235431878</v>
      </c>
      <c r="BH57" s="15" t="n">
        <f aca="false">IFERROR(BH56/BH37,0)</f>
        <v>0.584188561350144</v>
      </c>
      <c r="BI57" s="15" t="n">
        <f aca="false">IFERROR(BI56/BI37,0)</f>
        <v>0.590955216539549</v>
      </c>
      <c r="BJ57" s="15" t="n">
        <f aca="false">IFERROR(BJ56/BJ37,0)</f>
        <v>0.59719896588978</v>
      </c>
    </row>
    <row r="58" customFormat="false" ht="15" hidden="false" customHeight="false" outlineLevel="0" collapsed="false">
      <c r="A58" s="3" t="s">
        <v>257</v>
      </c>
      <c r="B58" s="4"/>
    </row>
    <row r="59" customFormat="false" ht="15" hidden="false" customHeight="false" outlineLevel="0" collapsed="false">
      <c r="A59" s="5" t="s">
        <v>258</v>
      </c>
      <c r="C59" s="21" t="n">
        <f aca="false">IF(C$3=1,Premissas!$B$14,0)+IF(C$3=INDEX(Premissas!$B$53:$D$53,$B$2),INDEX(Premissas!$B$52:$D$52,$B$2),0)</f>
        <v>3300000</v>
      </c>
      <c r="D59" s="21" t="n">
        <f aca="false">IF(D$3=1,Premissas!$B$14,0)+IF(D$3=INDEX(Premissas!$B$53:$D$53,$B$2),INDEX(Premissas!$B$52:$D$52,$B$2),0)</f>
        <v>0</v>
      </c>
      <c r="E59" s="21" t="n">
        <f aca="false">IF(E$3=1,Premissas!$B$14,0)+IF(E$3=INDEX(Premissas!$B$53:$D$53,$B$2),INDEX(Premissas!$B$52:$D$52,$B$2),0)</f>
        <v>0</v>
      </c>
      <c r="F59" s="21" t="n">
        <f aca="false">IF(F$3=1,Premissas!$B$14,0)+IF(F$3=INDEX(Premissas!$B$53:$D$53,$B$2),INDEX(Premissas!$B$52:$D$52,$B$2),0)</f>
        <v>0</v>
      </c>
      <c r="G59" s="21" t="n">
        <f aca="false">IF(G$3=1,Premissas!$B$14,0)+IF(G$3=INDEX(Premissas!$B$53:$D$53,$B$2),INDEX(Premissas!$B$52:$D$52,$B$2),0)</f>
        <v>0</v>
      </c>
      <c r="H59" s="21" t="n">
        <f aca="false">IF(H$3=1,Premissas!$B$14,0)+IF(H$3=INDEX(Premissas!$B$53:$D$53,$B$2),INDEX(Premissas!$B$52:$D$52,$B$2),0)</f>
        <v>0</v>
      </c>
      <c r="I59" s="21" t="n">
        <f aca="false">IF(I$3=1,Premissas!$B$14,0)+IF(I$3=INDEX(Premissas!$B$53:$D$53,$B$2),INDEX(Premissas!$B$52:$D$52,$B$2),0)</f>
        <v>0</v>
      </c>
      <c r="J59" s="21" t="n">
        <f aca="false">IF(J$3=1,Premissas!$B$14,0)+IF(J$3=INDEX(Premissas!$B$53:$D$53,$B$2),INDEX(Premissas!$B$52:$D$52,$B$2),0)</f>
        <v>0</v>
      </c>
      <c r="K59" s="21" t="n">
        <f aca="false">IF(K$3=1,Premissas!$B$14,0)+IF(K$3=INDEX(Premissas!$B$53:$D$53,$B$2),INDEX(Premissas!$B$52:$D$52,$B$2),0)</f>
        <v>0</v>
      </c>
      <c r="L59" s="21" t="n">
        <f aca="false">IF(L$3=1,Premissas!$B$14,0)+IF(L$3=INDEX(Premissas!$B$53:$D$53,$B$2),INDEX(Premissas!$B$52:$D$52,$B$2),0)</f>
        <v>0</v>
      </c>
      <c r="M59" s="21" t="n">
        <f aca="false">IF(M$3=1,Premissas!$B$14,0)+IF(M$3=INDEX(Premissas!$B$53:$D$53,$B$2),INDEX(Premissas!$B$52:$D$52,$B$2),0)</f>
        <v>0</v>
      </c>
      <c r="N59" s="21" t="n">
        <f aca="false">IF(N$3=1,Premissas!$B$14,0)+IF(N$3=INDEX(Premissas!$B$53:$D$53,$B$2),INDEX(Premissas!$B$52:$D$52,$B$2),0)</f>
        <v>0</v>
      </c>
      <c r="O59" s="21" t="n">
        <f aca="false">IF(O$3=1,Premissas!$B$14,0)+IF(O$3=INDEX(Premissas!$B$53:$D$53,$B$2),INDEX(Premissas!$B$52:$D$52,$B$2),0)</f>
        <v>0</v>
      </c>
      <c r="P59" s="21" t="n">
        <f aca="false">IF(P$3=1,Premissas!$B$14,0)+IF(P$3=INDEX(Premissas!$B$53:$D$53,$B$2),INDEX(Premissas!$B$52:$D$52,$B$2),0)</f>
        <v>10000000</v>
      </c>
      <c r="Q59" s="21" t="n">
        <f aca="false">IF(Q$3=1,Premissas!$B$14,0)+IF(Q$3=INDEX(Premissas!$B$53:$D$53,$B$2),INDEX(Premissas!$B$52:$D$52,$B$2),0)</f>
        <v>0</v>
      </c>
      <c r="R59" s="21" t="n">
        <f aca="false">IF(R$3=1,Premissas!$B$14,0)+IF(R$3=INDEX(Premissas!$B$53:$D$53,$B$2),INDEX(Premissas!$B$52:$D$52,$B$2),0)</f>
        <v>0</v>
      </c>
      <c r="S59" s="21" t="n">
        <f aca="false">IF(S$3=1,Premissas!$B$14,0)+IF(S$3=INDEX(Premissas!$B$53:$D$53,$B$2),INDEX(Premissas!$B$52:$D$52,$B$2),0)</f>
        <v>0</v>
      </c>
      <c r="T59" s="21" t="n">
        <f aca="false">IF(T$3=1,Premissas!$B$14,0)+IF(T$3=INDEX(Premissas!$B$53:$D$53,$B$2),INDEX(Premissas!$B$52:$D$52,$B$2),0)</f>
        <v>0</v>
      </c>
      <c r="U59" s="21" t="n">
        <f aca="false">IF(U$3=1,Premissas!$B$14,0)+IF(U$3=INDEX(Premissas!$B$53:$D$53,$B$2),INDEX(Premissas!$B$52:$D$52,$B$2),0)</f>
        <v>0</v>
      </c>
      <c r="V59" s="21" t="n">
        <f aca="false">IF(V$3=1,Premissas!$B$14,0)+IF(V$3=INDEX(Premissas!$B$53:$D$53,$B$2),INDEX(Premissas!$B$52:$D$52,$B$2),0)</f>
        <v>0</v>
      </c>
      <c r="W59" s="21" t="n">
        <f aca="false">IF(W$3=1,Premissas!$B$14,0)+IF(W$3=INDEX(Premissas!$B$53:$D$53,$B$2),INDEX(Premissas!$B$52:$D$52,$B$2),0)</f>
        <v>0</v>
      </c>
      <c r="X59" s="21" t="n">
        <f aca="false">IF(X$3=1,Premissas!$B$14,0)+IF(X$3=INDEX(Premissas!$B$53:$D$53,$B$2),INDEX(Premissas!$B$52:$D$52,$B$2),0)</f>
        <v>0</v>
      </c>
      <c r="Y59" s="21" t="n">
        <f aca="false">IF(Y$3=1,Premissas!$B$14,0)+IF(Y$3=INDEX(Premissas!$B$53:$D$53,$B$2),INDEX(Premissas!$B$52:$D$52,$B$2),0)</f>
        <v>0</v>
      </c>
      <c r="Z59" s="21" t="n">
        <f aca="false">IF(Z$3=1,Premissas!$B$14,0)+IF(Z$3=INDEX(Premissas!$B$53:$D$53,$B$2),INDEX(Premissas!$B$52:$D$52,$B$2),0)</f>
        <v>0</v>
      </c>
      <c r="AA59" s="21" t="n">
        <f aca="false">IF(AA$3=1,Premissas!$B$14,0)+IF(AA$3=INDEX(Premissas!$B$53:$D$53,$B$2),INDEX(Premissas!$B$52:$D$52,$B$2),0)</f>
        <v>0</v>
      </c>
      <c r="AB59" s="21" t="n">
        <f aca="false">IF(AB$3=1,Premissas!$B$14,0)+IF(AB$3=INDEX(Premissas!$B$53:$D$53,$B$2),INDEX(Premissas!$B$52:$D$52,$B$2),0)</f>
        <v>0</v>
      </c>
      <c r="AC59" s="21" t="n">
        <f aca="false">IF(AC$3=1,Premissas!$B$14,0)+IF(AC$3=INDEX(Premissas!$B$53:$D$53,$B$2),INDEX(Premissas!$B$52:$D$52,$B$2),0)</f>
        <v>0</v>
      </c>
      <c r="AD59" s="21" t="n">
        <f aca="false">IF(AD$3=1,Premissas!$B$14,0)+IF(AD$3=INDEX(Premissas!$B$53:$D$53,$B$2),INDEX(Premissas!$B$52:$D$52,$B$2),0)</f>
        <v>0</v>
      </c>
      <c r="AE59" s="21" t="n">
        <f aca="false">IF(AE$3=1,Premissas!$B$14,0)+IF(AE$3=INDEX(Premissas!$B$53:$D$53,$B$2),INDEX(Premissas!$B$52:$D$52,$B$2),0)</f>
        <v>0</v>
      </c>
      <c r="AF59" s="21" t="n">
        <f aca="false">IF(AF$3=1,Premissas!$B$14,0)+IF(AF$3=INDEX(Premissas!$B$53:$D$53,$B$2),INDEX(Premissas!$B$52:$D$52,$B$2),0)</f>
        <v>0</v>
      </c>
      <c r="AG59" s="21" t="n">
        <f aca="false">IF(AG$3=1,Premissas!$B$14,0)+IF(AG$3=INDEX(Premissas!$B$53:$D$53,$B$2),INDEX(Premissas!$B$52:$D$52,$B$2),0)</f>
        <v>0</v>
      </c>
      <c r="AH59" s="21" t="n">
        <f aca="false">IF(AH$3=1,Premissas!$B$14,0)+IF(AH$3=INDEX(Premissas!$B$53:$D$53,$B$2),INDEX(Premissas!$B$52:$D$52,$B$2),0)</f>
        <v>0</v>
      </c>
      <c r="AI59" s="21" t="n">
        <f aca="false">IF(AI$3=1,Premissas!$B$14,0)+IF(AI$3=INDEX(Premissas!$B$53:$D$53,$B$2),INDEX(Premissas!$B$52:$D$52,$B$2),0)</f>
        <v>0</v>
      </c>
      <c r="AJ59" s="21" t="n">
        <f aca="false">IF(AJ$3=1,Premissas!$B$14,0)+IF(AJ$3=INDEX(Premissas!$B$53:$D$53,$B$2),INDEX(Premissas!$B$52:$D$52,$B$2),0)</f>
        <v>0</v>
      </c>
      <c r="AK59" s="21" t="n">
        <f aca="false">IF(AK$3=1,Premissas!$B$14,0)+IF(AK$3=INDEX(Premissas!$B$53:$D$53,$B$2),INDEX(Premissas!$B$52:$D$52,$B$2),0)</f>
        <v>0</v>
      </c>
      <c r="AL59" s="21" t="n">
        <f aca="false">IF(AL$3=1,Premissas!$B$14,0)+IF(AL$3=INDEX(Premissas!$B$53:$D$53,$B$2),INDEX(Premissas!$B$52:$D$52,$B$2),0)</f>
        <v>0</v>
      </c>
      <c r="AM59" s="21" t="n">
        <f aca="false">IF(AM$3=1,Premissas!$B$14,0)+IF(AM$3=INDEX(Premissas!$B$53:$D$53,$B$2),INDEX(Premissas!$B$52:$D$52,$B$2),0)</f>
        <v>0</v>
      </c>
      <c r="AN59" s="21" t="n">
        <f aca="false">IF(AN$3=1,Premissas!$B$14,0)+IF(AN$3=INDEX(Premissas!$B$53:$D$53,$B$2),INDEX(Premissas!$B$52:$D$52,$B$2),0)</f>
        <v>0</v>
      </c>
      <c r="AO59" s="21" t="n">
        <f aca="false">IF(AO$3=1,Premissas!$B$14,0)+IF(AO$3=INDEX(Premissas!$B$53:$D$53,$B$2),INDEX(Premissas!$B$52:$D$52,$B$2),0)</f>
        <v>0</v>
      </c>
      <c r="AP59" s="21" t="n">
        <f aca="false">IF(AP$3=1,Premissas!$B$14,0)+IF(AP$3=INDEX(Premissas!$B$53:$D$53,$B$2),INDEX(Premissas!$B$52:$D$52,$B$2),0)</f>
        <v>0</v>
      </c>
      <c r="AQ59" s="21" t="n">
        <f aca="false">IF(AQ$3=1,Premissas!$B$14,0)+IF(AQ$3=INDEX(Premissas!$B$53:$D$53,$B$2),INDEX(Premissas!$B$52:$D$52,$B$2),0)</f>
        <v>0</v>
      </c>
      <c r="AR59" s="21" t="n">
        <f aca="false">IF(AR$3=1,Premissas!$B$14,0)+IF(AR$3=INDEX(Premissas!$B$53:$D$53,$B$2),INDEX(Premissas!$B$52:$D$52,$B$2),0)</f>
        <v>0</v>
      </c>
      <c r="AS59" s="21" t="n">
        <f aca="false">IF(AS$3=1,Premissas!$B$14,0)+IF(AS$3=INDEX(Premissas!$B$53:$D$53,$B$2),INDEX(Premissas!$B$52:$D$52,$B$2),0)</f>
        <v>0</v>
      </c>
      <c r="AT59" s="21" t="n">
        <f aca="false">IF(AT$3=1,Premissas!$B$14,0)+IF(AT$3=INDEX(Premissas!$B$53:$D$53,$B$2),INDEX(Premissas!$B$52:$D$52,$B$2),0)</f>
        <v>0</v>
      </c>
      <c r="AU59" s="21" t="n">
        <f aca="false">IF(AU$3=1,Premissas!$B$14,0)+IF(AU$3=INDEX(Premissas!$B$53:$D$53,$B$2),INDEX(Premissas!$B$52:$D$52,$B$2),0)</f>
        <v>0</v>
      </c>
      <c r="AV59" s="21" t="n">
        <f aca="false">IF(AV$3=1,Premissas!$B$14,0)+IF(AV$3=INDEX(Premissas!$B$53:$D$53,$B$2),INDEX(Premissas!$B$52:$D$52,$B$2),0)</f>
        <v>0</v>
      </c>
      <c r="AW59" s="21" t="n">
        <f aca="false">IF(AW$3=1,Premissas!$B$14,0)+IF(AW$3=INDEX(Premissas!$B$53:$D$53,$B$2),INDEX(Premissas!$B$52:$D$52,$B$2),0)</f>
        <v>0</v>
      </c>
      <c r="AX59" s="21" t="n">
        <f aca="false">IF(AX$3=1,Premissas!$B$14,0)+IF(AX$3=INDEX(Premissas!$B$53:$D$53,$B$2),INDEX(Premissas!$B$52:$D$52,$B$2),0)</f>
        <v>0</v>
      </c>
      <c r="AY59" s="21" t="n">
        <f aca="false">IF(AY$3=1,Premissas!$B$14,0)+IF(AY$3=INDEX(Premissas!$B$53:$D$53,$B$2),INDEX(Premissas!$B$52:$D$52,$B$2),0)</f>
        <v>0</v>
      </c>
      <c r="AZ59" s="21" t="n">
        <f aca="false">IF(AZ$3=1,Premissas!$B$14,0)+IF(AZ$3=INDEX(Premissas!$B$53:$D$53,$B$2),INDEX(Premissas!$B$52:$D$52,$B$2),0)</f>
        <v>0</v>
      </c>
      <c r="BA59" s="21" t="n">
        <f aca="false">IF(BA$3=1,Premissas!$B$14,0)+IF(BA$3=INDEX(Premissas!$B$53:$D$53,$B$2),INDEX(Premissas!$B$52:$D$52,$B$2),0)</f>
        <v>0</v>
      </c>
      <c r="BB59" s="21" t="n">
        <f aca="false">IF(BB$3=1,Premissas!$B$14,0)+IF(BB$3=INDEX(Premissas!$B$53:$D$53,$B$2),INDEX(Premissas!$B$52:$D$52,$B$2),0)</f>
        <v>0</v>
      </c>
      <c r="BC59" s="21" t="n">
        <f aca="false">IF(BC$3=1,Premissas!$B$14,0)+IF(BC$3=INDEX(Premissas!$B$53:$D$53,$B$2),INDEX(Premissas!$B$52:$D$52,$B$2),0)</f>
        <v>0</v>
      </c>
      <c r="BD59" s="21" t="n">
        <f aca="false">IF(BD$3=1,Premissas!$B$14,0)+IF(BD$3=INDEX(Premissas!$B$53:$D$53,$B$2),INDEX(Premissas!$B$52:$D$52,$B$2),0)</f>
        <v>0</v>
      </c>
      <c r="BE59" s="21" t="n">
        <f aca="false">IF(BE$3=1,Premissas!$B$14,0)+IF(BE$3=INDEX(Premissas!$B$53:$D$53,$B$2),INDEX(Premissas!$B$52:$D$52,$B$2),0)</f>
        <v>0</v>
      </c>
      <c r="BF59" s="21" t="n">
        <f aca="false">IF(BF$3=1,Premissas!$B$14,0)+IF(BF$3=INDEX(Premissas!$B$53:$D$53,$B$2),INDEX(Premissas!$B$52:$D$52,$B$2),0)</f>
        <v>0</v>
      </c>
      <c r="BG59" s="21" t="n">
        <f aca="false">IF(BG$3=1,Premissas!$B$14,0)+IF(BG$3=INDEX(Premissas!$B$53:$D$53,$B$2),INDEX(Premissas!$B$52:$D$52,$B$2),0)</f>
        <v>0</v>
      </c>
      <c r="BH59" s="21" t="n">
        <f aca="false">IF(BH$3=1,Premissas!$B$14,0)+IF(BH$3=INDEX(Premissas!$B$53:$D$53,$B$2),INDEX(Premissas!$B$52:$D$52,$B$2),0)</f>
        <v>0</v>
      </c>
      <c r="BI59" s="21" t="n">
        <f aca="false">IF(BI$3=1,Premissas!$B$14,0)+IF(BI$3=INDEX(Premissas!$B$53:$D$53,$B$2),INDEX(Premissas!$B$52:$D$52,$B$2),0)</f>
        <v>0</v>
      </c>
      <c r="BJ59" s="21" t="n">
        <f aca="false">IF(BJ$3=1,Premissas!$B$14,0)+IF(BJ$3=INDEX(Premissas!$B$53:$D$53,$B$2),INDEX(Premissas!$B$52:$D$52,$B$2),0)</f>
        <v>0</v>
      </c>
    </row>
    <row r="60" customFormat="false" ht="15" hidden="false" customHeight="false" outlineLevel="0" collapsed="false">
      <c r="A60" s="18" t="s">
        <v>259</v>
      </c>
      <c r="C60" s="30" t="n">
        <f aca="false">C59+C56</f>
        <v>3112888.73230136</v>
      </c>
      <c r="D60" s="30" t="n">
        <f aca="false">C60+D59+D56</f>
        <v>2937040.83513248</v>
      </c>
      <c r="E60" s="30" t="n">
        <f aca="false">D60+E59+E56</f>
        <v>2772304.6125032</v>
      </c>
      <c r="F60" s="30" t="n">
        <f aca="false">E60+F59+F56</f>
        <v>2618530.44648845</v>
      </c>
      <c r="G60" s="30" t="n">
        <f aca="false">F60+G59+G56</f>
        <v>2475570.76747688</v>
      </c>
      <c r="H60" s="30" t="n">
        <f aca="false">G60+H59+H56</f>
        <v>2343280.02489168</v>
      </c>
      <c r="I60" s="30" t="n">
        <f aca="false">H60+I59+I56</f>
        <v>2221514.65837426</v>
      </c>
      <c r="J60" s="30" t="n">
        <f aca="false">I60+J59+J56</f>
        <v>2110133.06942225</v>
      </c>
      <c r="K60" s="30" t="n">
        <f aca="false">J60+K59+K56</f>
        <v>2008995.59347287</v>
      </c>
      <c r="L60" s="30" t="n">
        <f aca="false">K60+L59+L56</f>
        <v>1917964.47242346</v>
      </c>
      <c r="M60" s="30" t="n">
        <f aca="false">L60+M59+M56</f>
        <v>1836903.82758094</v>
      </c>
      <c r="N60" s="30" t="n">
        <f aca="false">M60+N59+N56</f>
        <v>1765679.63303199</v>
      </c>
      <c r="O60" s="30" t="n">
        <f aca="false">N60+O59+O56</f>
        <v>1473064.37213578</v>
      </c>
      <c r="P60" s="30" t="n">
        <f aca="false">O60+P59+P56</f>
        <v>11219747.9739803</v>
      </c>
      <c r="Q60" s="30" t="n">
        <f aca="false">P60+Q59+Q56</f>
        <v>11005341.8876022</v>
      </c>
      <c r="R60" s="30" t="n">
        <f aca="false">Q60+R59+R56</f>
        <v>10829461.1383177</v>
      </c>
      <c r="S60" s="30" t="n">
        <f aca="false">R60+S59+S56</f>
        <v>10691724.3027515</v>
      </c>
      <c r="T60" s="30" t="n">
        <f aca="false">S60+T59+T56</f>
        <v>10591753.4837679</v>
      </c>
      <c r="U60" s="30" t="n">
        <f aca="false">T60+U59+U56</f>
        <v>10529174.2853186</v>
      </c>
      <c r="V60" s="30" t="n">
        <f aca="false">U60+V59+V56</f>
        <v>10503615.787215</v>
      </c>
      <c r="W60" s="30" t="n">
        <f aca="false">V60+W59+W56</f>
        <v>10514710.5198407</v>
      </c>
      <c r="X60" s="30" t="n">
        <f aca="false">W60+X59+X56</f>
        <v>10562094.4388104</v>
      </c>
      <c r="Y60" s="30" t="n">
        <f aca="false">X60+Y59+Y56</f>
        <v>10645406.8995898</v>
      </c>
      <c r="Z60" s="30" t="n">
        <f aca="false">Y60+Z59+Z56</f>
        <v>10764290.6320831</v>
      </c>
      <c r="AA60" s="30" t="n">
        <f aca="false">Z60+AA59+AA56</f>
        <v>10624892.3056439</v>
      </c>
      <c r="AB60" s="30" t="n">
        <f aca="false">AA60+AB59+AB56</f>
        <v>10584455.5540015</v>
      </c>
      <c r="AC60" s="30" t="n">
        <f aca="false">AB60+AC59+AC56</f>
        <v>10642296.3697184</v>
      </c>
      <c r="AD60" s="30" t="n">
        <f aca="false">AC60+AD59+AD56</f>
        <v>10797734.176017</v>
      </c>
      <c r="AE60" s="30" t="n">
        <f aca="false">AD60+AE59+AE56</f>
        <v>11050091.8462328</v>
      </c>
      <c r="AF60" s="30" t="n">
        <f aca="false">AE60+AF59+AF56</f>
        <v>11398695.7218744</v>
      </c>
      <c r="AG60" s="30" t="n">
        <f aca="false">AF60+AG59+AG56</f>
        <v>11842875.629338</v>
      </c>
      <c r="AH60" s="30" t="n">
        <f aca="false">AG60+AH59+AH56</f>
        <v>12381964.8953201</v>
      </c>
      <c r="AI60" s="30" t="n">
        <f aca="false">AH60+AI59+AI56</f>
        <v>13015300.3609739</v>
      </c>
      <c r="AJ60" s="30" t="n">
        <f aca="false">AI60+AJ59+AJ56</f>
        <v>13742222.3948505</v>
      </c>
      <c r="AK60" s="30" t="n">
        <f aca="false">AJ60+AK59+AK56</f>
        <v>14562074.9046663</v>
      </c>
      <c r="AL60" s="30" t="n">
        <f aca="false">AK60+AL59+AL56</f>
        <v>15474205.3479374</v>
      </c>
      <c r="AM60" s="30" t="n">
        <f aca="false">AL60+AM59+AM56</f>
        <v>16238463.4697234</v>
      </c>
      <c r="AN60" s="30" t="n">
        <f aca="false">AM60+AN59+AN56</f>
        <v>17182370.8977924</v>
      </c>
      <c r="AO60" s="30" t="n">
        <f aca="false">AN60+AO59+AO56</f>
        <v>18305021.4079691</v>
      </c>
      <c r="AP60" s="30" t="n">
        <f aca="false">AO60+AP59+AP56</f>
        <v>19605510.7678914</v>
      </c>
      <c r="AQ60" s="30" t="n">
        <f aca="false">AP60+AQ59+AQ56</f>
        <v>21082936.8018212</v>
      </c>
      <c r="AR60" s="30" t="n">
        <f aca="false">AQ60+AR59+AR56</f>
        <v>22736399.4531735</v>
      </c>
      <c r="AS60" s="30" t="n">
        <f aca="false">AR60+AS59+AS56</f>
        <v>24565000.8448288</v>
      </c>
      <c r="AT60" s="30" t="n">
        <f aca="false">AS60+AT59+AT56</f>
        <v>26567845.3372898</v>
      </c>
      <c r="AU60" s="30" t="n">
        <f aca="false">AT60+AU59+AU56</f>
        <v>28744039.584742</v>
      </c>
      <c r="AV60" s="30" t="n">
        <f aca="false">AU60+AV59+AV56</f>
        <v>31092692.5890795</v>
      </c>
      <c r="AW60" s="30" t="n">
        <f aca="false">AV60+AW59+AW56</f>
        <v>33612915.7519505</v>
      </c>
      <c r="AX60" s="30" t="n">
        <f aca="false">AW60+AX59+AX56</f>
        <v>36303822.9248787</v>
      </c>
      <c r="AY60" s="30" t="n">
        <f aca="false">AX60+AY59+AY56</f>
        <v>39057501.9533373</v>
      </c>
      <c r="AZ60" s="30" t="n">
        <f aca="false">AY60+AZ59+AZ56</f>
        <v>42090623.4003214</v>
      </c>
      <c r="BA60" s="30" t="n">
        <f aca="false">AZ60+BA59+BA56</f>
        <v>45402243.5376361</v>
      </c>
      <c r="BB60" s="30" t="n">
        <f aca="false">BA60+BB59+BB56</f>
        <v>48991418.1398737</v>
      </c>
      <c r="BC60" s="30" t="n">
        <f aca="false">BB60+BC59+BC56</f>
        <v>52857202.577323</v>
      </c>
      <c r="BD60" s="30" t="n">
        <f aca="false">BC60+BD59+BD56</f>
        <v>56998651.9064526</v>
      </c>
      <c r="BE60" s="30" t="n">
        <f aca="false">BD60+BE59+BE56</f>
        <v>61414820.9580268</v>
      </c>
      <c r="BF60" s="30" t="n">
        <f aca="false">BE60+BF59+BF56</f>
        <v>66104764.4229138</v>
      </c>
      <c r="BG60" s="30" t="n">
        <f aca="false">BF60+BG59+BG56</f>
        <v>71067536.935641</v>
      </c>
      <c r="BH60" s="30" t="n">
        <f aca="false">BG60+BH59+BH56</f>
        <v>76302193.1557535</v>
      </c>
      <c r="BI60" s="30" t="n">
        <f aca="false">BH60+BI59+BI56</f>
        <v>81807787.8470299</v>
      </c>
      <c r="BJ60" s="30" t="n">
        <f aca="false">BI60+BJ59+BJ56</f>
        <v>87583375.9546066</v>
      </c>
    </row>
    <row r="61" customFormat="false" ht="15" hidden="false" customHeight="false" outlineLevel="0" collapsed="false">
      <c r="A61" s="3" t="s">
        <v>260</v>
      </c>
      <c r="B61" s="4"/>
    </row>
    <row r="62" customFormat="false" ht="15" hidden="false" customHeight="false" outlineLevel="0" collapsed="false">
      <c r="A62" s="5" t="s">
        <v>261</v>
      </c>
      <c r="C62" s="16" t="n">
        <f aca="false">C32*12</f>
        <v>177939.149416667</v>
      </c>
      <c r="D62" s="16" t="n">
        <f aca="false">D32*12</f>
        <v>353545.47909325</v>
      </c>
      <c r="E62" s="16" t="n">
        <f aca="false">E32*12</f>
        <v>526849.244164638</v>
      </c>
      <c r="F62" s="16" t="n">
        <f aca="false">F32*12</f>
        <v>697880.314583987</v>
      </c>
      <c r="G62" s="16" t="n">
        <f aca="false">G32*12</f>
        <v>866668.179863623</v>
      </c>
      <c r="H62" s="16" t="n">
        <f aca="false">H32*12</f>
        <v>1033241.95376146</v>
      </c>
      <c r="I62" s="16" t="n">
        <f aca="false">I32*12</f>
        <v>1197630.37891344</v>
      </c>
      <c r="J62" s="16" t="n">
        <f aca="false">J32*12</f>
        <v>1359861.83141256</v>
      </c>
      <c r="K62" s="16" t="n">
        <f aca="false">K32*12</f>
        <v>1519964.32533495</v>
      </c>
      <c r="L62" s="16" t="n">
        <f aca="false">L32*12</f>
        <v>1677965.51721361</v>
      </c>
      <c r="M62" s="16" t="n">
        <f aca="false">M32*12</f>
        <v>1833892.71046018</v>
      </c>
      <c r="N62" s="16" t="n">
        <f aca="false">N32*12</f>
        <v>1987772.85973545</v>
      </c>
      <c r="O62" s="16" t="n">
        <f aca="false">O32*12</f>
        <v>2599336.42002724</v>
      </c>
      <c r="P62" s="16" t="n">
        <f aca="false">P32*12</f>
        <v>3205090.92311415</v>
      </c>
      <c r="Q62" s="16" t="n">
        <f aca="false">Q32*12</f>
        <v>3805083.84641406</v>
      </c>
      <c r="R62" s="16" t="n">
        <f aca="false">R32*12</f>
        <v>4399362.51418623</v>
      </c>
      <c r="S62" s="16" t="n">
        <f aca="false">S32*12</f>
        <v>4987974.08926572</v>
      </c>
      <c r="T62" s="16" t="n">
        <f aca="false">T32*12</f>
        <v>5570965.56518872</v>
      </c>
      <c r="U62" s="16" t="n">
        <f aca="false">U32*12</f>
        <v>6148383.75869482</v>
      </c>
      <c r="V62" s="16" t="n">
        <f aca="false">V32*12</f>
        <v>6720275.30259293</v>
      </c>
      <c r="W62" s="16" t="n">
        <f aca="false">W32*12</f>
        <v>7286686.63897777</v>
      </c>
      <c r="X62" s="16" t="n">
        <f aca="false">X32*12</f>
        <v>7847664.01278442</v>
      </c>
      <c r="Y62" s="16" t="n">
        <f aca="false">Y32*12</f>
        <v>8403253.46566888</v>
      </c>
      <c r="Z62" s="16" t="n">
        <f aca="false">Z32*12</f>
        <v>8953500.83020277</v>
      </c>
      <c r="AA62" s="16" t="n">
        <f aca="false">AA32*12</f>
        <v>10586355.9466884</v>
      </c>
      <c r="AB62" s="16" t="n">
        <f aca="false">AB32*12</f>
        <v>12208526.362106</v>
      </c>
      <c r="AC62" s="16" t="n">
        <f aca="false">AC32*12</f>
        <v>13820051.0467514</v>
      </c>
      <c r="AD62" s="16" t="n">
        <f aca="false">AD32*12</f>
        <v>15420969.7363973</v>
      </c>
      <c r="AE62" s="16" t="n">
        <f aca="false">AE32*12</f>
        <v>17011322.897879</v>
      </c>
      <c r="AF62" s="16" t="n">
        <f aca="false">AF32*12</f>
        <v>18591151.6957611</v>
      </c>
      <c r="AG62" s="16" t="n">
        <f aca="false">AG32*12</f>
        <v>20160497.960052</v>
      </c>
      <c r="AH62" s="16" t="n">
        <f aca="false">AH32*12</f>
        <v>21719404.1549358</v>
      </c>
      <c r="AI62" s="16" t="n">
        <f aca="false">AI32*12</f>
        <v>23267913.3484901</v>
      </c>
      <c r="AJ62" s="16" t="n">
        <f aca="false">AJ32*12</f>
        <v>24806069.1833592</v>
      </c>
      <c r="AK62" s="16" t="n">
        <f aca="false">AK32*12</f>
        <v>26333915.8483557</v>
      </c>
      <c r="AL62" s="16" t="n">
        <f aca="false">AL32*12</f>
        <v>27851498.0509597</v>
      </c>
      <c r="AM62" s="16" t="n">
        <f aca="false">AM32*12</f>
        <v>30754212.2266081</v>
      </c>
      <c r="AN62" s="16" t="n">
        <f aca="false">AN32*12</f>
        <v>33643192.276681</v>
      </c>
      <c r="AO62" s="16" t="n">
        <f aca="false">AO32*12</f>
        <v>36518447.1436964</v>
      </c>
      <c r="AP62" s="16" t="n">
        <f aca="false">AP32*12</f>
        <v>39379987.3405383</v>
      </c>
      <c r="AQ62" s="16" t="n">
        <f aca="false">AQ32*12</f>
        <v>42227824.9013764</v>
      </c>
      <c r="AR62" s="16" t="n">
        <f aca="false">AR32*12</f>
        <v>45061973.3339234</v>
      </c>
      <c r="AS62" s="16" t="n">
        <f aca="false">AS32*12</f>
        <v>47882447.5729912</v>
      </c>
      <c r="AT62" s="16" t="n">
        <f aca="false">AT32*12</f>
        <v>50689263.9353128</v>
      </c>
      <c r="AU62" s="16" t="n">
        <f aca="false">AU32*12</f>
        <v>53482440.0755932</v>
      </c>
      <c r="AV62" s="16" t="n">
        <f aca="false">AV32*12</f>
        <v>56261994.9437563</v>
      </c>
      <c r="AW62" s="16" t="n">
        <f aca="false">AW32*12</f>
        <v>59027948.7433551</v>
      </c>
      <c r="AX62" s="16" t="n">
        <f aca="false">AX32*12</f>
        <v>61780322.8911141</v>
      </c>
      <c r="AY62" s="16" t="n">
        <f aca="false">AY32*12</f>
        <v>66216628.758726</v>
      </c>
      <c r="AZ62" s="16" t="n">
        <f aca="false">AZ32*12</f>
        <v>70639004.1123286</v>
      </c>
      <c r="BA62" s="16" t="n">
        <f aca="false">BA32*12</f>
        <v>75047417.9192332</v>
      </c>
      <c r="BB62" s="16" t="n">
        <f aca="false">BB32*12</f>
        <v>79441841.0843293</v>
      </c>
      <c r="BC62" s="16" t="n">
        <f aca="false">BC32*12</f>
        <v>83822246.4017856</v>
      </c>
      <c r="BD62" s="16" t="n">
        <f aca="false">BD32*12</f>
        <v>88188608.5079194</v>
      </c>
      <c r="BE62" s="16" t="n">
        <f aca="false">BE32*12</f>
        <v>92540903.835205</v>
      </c>
      <c r="BF62" s="16" t="n">
        <f aca="false">BF32*12</f>
        <v>96879110.567393</v>
      </c>
      <c r="BG62" s="16" t="n">
        <f aca="false">BG32*12</f>
        <v>101203208.595711</v>
      </c>
      <c r="BH62" s="16" t="n">
        <f aca="false">BH32*12</f>
        <v>105513179.476122</v>
      </c>
      <c r="BI62" s="16" t="n">
        <f aca="false">BI32*12</f>
        <v>109809006.387608</v>
      </c>
      <c r="BJ62" s="16" t="n">
        <f aca="false">BJ32*12</f>
        <v>114090674.091462</v>
      </c>
    </row>
    <row r="63" customFormat="false" ht="15" hidden="false" customHeight="false" outlineLevel="0" collapsed="false">
      <c r="A63" s="5" t="s">
        <v>262</v>
      </c>
      <c r="C63" s="16" t="n">
        <f aca="false">IFERROR(C32/C26,0)</f>
        <v>589.235</v>
      </c>
      <c r="D63" s="16" t="n">
        <f aca="false">IFERROR(D32/D26,0)</f>
        <v>590.390824508321</v>
      </c>
      <c r="E63" s="16" t="n">
        <f aca="false">IFERROR(E32/E26,0)</f>
        <v>591.529002116393</v>
      </c>
      <c r="F63" s="16" t="n">
        <f aca="false">IFERROR(F32/F26,0)</f>
        <v>592.649771084962</v>
      </c>
      <c r="G63" s="16" t="n">
        <f aca="false">IFERROR(G32/G26,0)</f>
        <v>593.753368329838</v>
      </c>
      <c r="H63" s="16" t="n">
        <f aca="false">IFERROR(H32/H26,0)</f>
        <v>594.840029337698</v>
      </c>
      <c r="I63" s="16" t="n">
        <f aca="false">IFERROR(I32/I26,0)</f>
        <v>595.909988086628</v>
      </c>
      <c r="J63" s="16" t="n">
        <f aca="false">IFERROR(J32/J26,0)</f>
        <v>596.963476971296</v>
      </c>
      <c r="K63" s="16" t="n">
        <f aca="false">IFERROR(K32/K26,0)</f>
        <v>598.000726732597</v>
      </c>
      <c r="L63" s="16" t="n">
        <f aca="false">IFERROR(L32/L26,0)</f>
        <v>599.021966391647</v>
      </c>
      <c r="M63" s="16" t="n">
        <f aca="false">IFERROR(M32/M26,0)</f>
        <v>600.027423187983</v>
      </c>
      <c r="N63" s="16" t="n">
        <f aca="false">IFERROR(N32/N26,0)</f>
        <v>601.017322521839</v>
      </c>
      <c r="O63" s="16" t="n">
        <f aca="false">IFERROR(O32/O26,0)</f>
        <v>623.544929247598</v>
      </c>
      <c r="P63" s="16" t="n">
        <f aca="false">IFERROR(P32/P26,0)</f>
        <v>638.659155417281</v>
      </c>
      <c r="Q63" s="16" t="n">
        <f aca="false">IFERROR(Q32/Q26,0)</f>
        <v>649.661903138311</v>
      </c>
      <c r="R63" s="16" t="n">
        <f aca="false">IFERROR(R32/R26,0)</f>
        <v>658.14416597905</v>
      </c>
      <c r="S63" s="16" t="n">
        <f aca="false">IFERROR(S32/S26,0)</f>
        <v>664.967157809054</v>
      </c>
      <c r="T63" s="16" t="n">
        <f aca="false">IFERROR(T32/T26,0)</f>
        <v>670.637748593965</v>
      </c>
      <c r="U63" s="16" t="n">
        <f aca="false">IFERROR(U32/U26,0)</f>
        <v>675.473749971251</v>
      </c>
      <c r="V63" s="16" t="n">
        <f aca="false">IFERROR(V32/V26,0)</f>
        <v>679.684576909162</v>
      </c>
      <c r="W63" s="16" t="n">
        <f aca="false">IFERROR(W32/W26,0)</f>
        <v>683.413858620249</v>
      </c>
      <c r="X63" s="16" t="n">
        <f aca="false">IFERROR(X32/X26,0)</f>
        <v>686.763413692173</v>
      </c>
      <c r="Y63" s="16" t="n">
        <f aca="false">IFERROR(Y32/Y26,0)</f>
        <v>689.807452121786</v>
      </c>
      <c r="Z63" s="16" t="n">
        <f aca="false">IFERROR(Z32/Z26,0)</f>
        <v>692.60135639888</v>
      </c>
      <c r="AA63" s="16" t="n">
        <f aca="false">IFERROR(AA32/AA26,0)</f>
        <v>713.658088002348</v>
      </c>
      <c r="AB63" s="16" t="n">
        <f aca="false">IFERROR(AB32/AB26,0)</f>
        <v>730.11903549091</v>
      </c>
      <c r="AC63" s="16" t="n">
        <f aca="false">IFERROR(AC32/AC26,0)</f>
        <v>743.426303464339</v>
      </c>
      <c r="AD63" s="16" t="n">
        <f aca="false">IFERROR(AD32/AD26,0)</f>
        <v>754.473888605673</v>
      </c>
      <c r="AE63" s="16" t="n">
        <f aca="false">IFERROR(AE32/AE26,0)</f>
        <v>763.845522192778</v>
      </c>
      <c r="AF63" s="16" t="n">
        <f aca="false">IFERROR(AF32/AF26,0)</f>
        <v>771.938552760746</v>
      </c>
      <c r="AG63" s="16" t="n">
        <f aca="false">IFERROR(AG32/AG26,0)</f>
        <v>779.032861161294</v>
      </c>
      <c r="AH63" s="16" t="n">
        <f aca="false">IFERROR(AH32/AH26,0)</f>
        <v>785.331303105469</v>
      </c>
      <c r="AI63" s="16" t="n">
        <f aca="false">IFERROR(AI32/AI26,0)</f>
        <v>790.984519159523</v>
      </c>
      <c r="AJ63" s="16" t="n">
        <f aca="false">IFERROR(AJ32/AJ26,0)</f>
        <v>796.10673517794</v>
      </c>
      <c r="AK63" s="16" t="n">
        <f aca="false">IFERROR(AK32/AK26,0)</f>
        <v>800.786152384664</v>
      </c>
      <c r="AL63" s="16" t="n">
        <f aca="false">IFERROR(AL32/AL26,0)</f>
        <v>805.091971783324</v>
      </c>
      <c r="AM63" s="16" t="n">
        <f aca="false">IFERROR(AM32/AM26,0)</f>
        <v>813.972249678829</v>
      </c>
      <c r="AN63" s="16" t="n">
        <f aca="false">IFERROR(AN32/AN26,0)</f>
        <v>821.635382354853</v>
      </c>
      <c r="AO63" s="16" t="n">
        <f aca="false">IFERROR(AO32/AO26,0)</f>
        <v>828.351035930783</v>
      </c>
      <c r="AP63" s="16" t="n">
        <f aca="false">IFERROR(AP32/AP26,0)</f>
        <v>834.313839866733</v>
      </c>
      <c r="AQ63" s="16" t="n">
        <f aca="false">IFERROR(AQ32/AQ26,0)</f>
        <v>839.667805718974</v>
      </c>
      <c r="AR63" s="16" t="n">
        <f aca="false">IFERROR(AR32/AR26,0)</f>
        <v>844.521792572961</v>
      </c>
      <c r="AS63" s="16" t="n">
        <f aca="false">IFERROR(AS32/AS26,0)</f>
        <v>848.95962852652</v>
      </c>
      <c r="AT63" s="16" t="n">
        <f aca="false">IFERROR(AT32/AT26,0)</f>
        <v>853.046925229748</v>
      </c>
      <c r="AU63" s="16" t="n">
        <f aca="false">IFERROR(AU32/AU26,0)</f>
        <v>856.8357809252</v>
      </c>
      <c r="AV63" s="16" t="n">
        <f aca="false">IFERROR(AV32/AV26,0)</f>
        <v>860.368097802521</v>
      </c>
      <c r="AW63" s="16" t="n">
        <f aca="false">IFERROR(AW32/AW26,0)</f>
        <v>863.677967692444</v>
      </c>
      <c r="AX63" s="16" t="n">
        <f aca="false">IFERROR(AX32/AX26,0)</f>
        <v>866.793417712561</v>
      </c>
      <c r="AY63" s="16" t="n">
        <f aca="false">IFERROR(AY32/AY26,0)</f>
        <v>873.840212141279</v>
      </c>
      <c r="AZ63" s="16" t="n">
        <f aca="false">IFERROR(AZ32/AZ26,0)</f>
        <v>880.196919017335</v>
      </c>
      <c r="BA63" s="16" t="n">
        <f aca="false">IFERROR(BA32/BA26,0)</f>
        <v>885.975728236236</v>
      </c>
      <c r="BB63" s="16" t="n">
        <f aca="false">IFERROR(BB32/BB26,0)</f>
        <v>891.265388429498</v>
      </c>
      <c r="BC63" s="16" t="n">
        <f aca="false">IFERROR(BC32/BC26,0)</f>
        <v>896.137032944527</v>
      </c>
      <c r="BD63" s="16" t="n">
        <f aca="false">IFERROR(BD32/BD26,0)</f>
        <v>900.64835041002</v>
      </c>
      <c r="BE63" s="16" t="n">
        <f aca="false">IFERROR(BE32/BE26,0)</f>
        <v>904.84662384676</v>
      </c>
      <c r="BF63" s="16" t="n">
        <f aca="false">IFERROR(BF32/BF26,0)</f>
        <v>908.77098095136</v>
      </c>
      <c r="BG63" s="16" t="n">
        <f aca="false">IFERROR(BG32/BG26,0)</f>
        <v>912.454084520756</v>
      </c>
      <c r="BH63" s="16" t="n">
        <f aca="false">IFERROR(BH32/BH26,0)</f>
        <v>915.923419053984</v>
      </c>
      <c r="BI63" s="16" t="n">
        <f aca="false">IFERROR(BI32/BI26,0)</f>
        <v>919.202281769803</v>
      </c>
      <c r="BJ63" s="16" t="n">
        <f aca="false">IFERROR(BJ32/BJ26,0)</f>
        <v>922.310554345235</v>
      </c>
    </row>
    <row r="64" customFormat="false" ht="15" hidden="false" customHeight="false" outlineLevel="0" collapsed="false">
      <c r="A64" s="5" t="s">
        <v>263</v>
      </c>
      <c r="C64" s="15" t="n">
        <f aca="false">0</f>
        <v>0</v>
      </c>
      <c r="D64" s="15" t="n">
        <f aca="false">IFERROR(SUM(D18:D21)/C26,0)</f>
        <v>0.03</v>
      </c>
      <c r="E64" s="15" t="n">
        <f aca="false">IFERROR(SUM(E18:E21)/D26,0)</f>
        <v>0.0299657085224407</v>
      </c>
      <c r="F64" s="15" t="n">
        <f aca="false">IFERROR(SUM(F18:F21)/E26,0)</f>
        <v>0.0299319811063903</v>
      </c>
      <c r="G64" s="15" t="n">
        <f aca="false">IFERROR(SUM(G18:G21)/F26,0)</f>
        <v>0.0298988095379737</v>
      </c>
      <c r="H64" s="15" t="n">
        <f aca="false">IFERROR(SUM(H18:H21)/G26,0)</f>
        <v>0.0298661856624408</v>
      </c>
      <c r="I64" s="15" t="n">
        <f aca="false">IFERROR(SUM(I18:I21)/H26,0)</f>
        <v>0.0298341013866481</v>
      </c>
      <c r="J64" s="15" t="n">
        <f aca="false">IFERROR(SUM(J18:J21)/I26,0)</f>
        <v>0.0298025486813835</v>
      </c>
      <c r="K64" s="15" t="n">
        <f aca="false">IFERROR(SUM(K18:K21)/J26,0)</f>
        <v>0.0297715195835404</v>
      </c>
      <c r="L64" s="15" t="n">
        <f aca="false">IFERROR(SUM(L18:L21)/K26,0)</f>
        <v>0.0297410061981436</v>
      </c>
      <c r="M64" s="15" t="n">
        <f aca="false">IFERROR(SUM(M18:M21)/L26,0)</f>
        <v>0.0297110007002343</v>
      </c>
      <c r="N64" s="15" t="n">
        <f aca="false">IFERROR(SUM(N18:N21)/M26,0)</f>
        <v>0.0296814953366167</v>
      </c>
      <c r="O64" s="15" t="n">
        <f aca="false">IFERROR(SUM(O18:O21)/N26,0)</f>
        <v>0.0272802838332751</v>
      </c>
      <c r="P64" s="15" t="n">
        <f aca="false">IFERROR(SUM(P18:P21)/O26,0)</f>
        <v>0.027081536119974</v>
      </c>
      <c r="Q64" s="15" t="n">
        <f aca="false">IFERROR(SUM(Q18:Q21)/P26,0)</f>
        <v>0.0269431182339067</v>
      </c>
      <c r="R64" s="15" t="n">
        <f aca="false">IFERROR(SUM(R18:R21)/Q26,0)</f>
        <v>0.0268382831376445</v>
      </c>
      <c r="S64" s="15" t="n">
        <f aca="false">IFERROR(SUM(S18:S21)/R26,0)</f>
        <v>0.0267541405894423</v>
      </c>
      <c r="T64" s="15" t="n">
        <f aca="false">IFERROR(SUM(T18:T21)/S26,0)</f>
        <v>0.0266837109295941</v>
      </c>
      <c r="U64" s="15" t="n">
        <f aca="false">IFERROR(SUM(U18:U21)/T26,0)</f>
        <v>0.0266228844064622</v>
      </c>
      <c r="V64" s="15" t="n">
        <f aca="false">IFERROR(SUM(V18:V21)/U26,0)</f>
        <v>0.026569082520096</v>
      </c>
      <c r="W64" s="15" t="n">
        <f aca="false">IFERROR(SUM(W18:W21)/V26,0)</f>
        <v>0.0265206047393405</v>
      </c>
      <c r="X64" s="15" t="n">
        <f aca="false">IFERROR(SUM(X18:X21)/W26,0)</f>
        <v>0.0264762833938799</v>
      </c>
      <c r="Y64" s="15" t="n">
        <f aca="false">IFERROR(SUM(Y18:Y21)/X26,0)</f>
        <v>0.0264352894984178</v>
      </c>
      <c r="Z64" s="15" t="n">
        <f aca="false">IFERROR(SUM(Z18:Z21)/Y26,0)</f>
        <v>0.0263970177296373</v>
      </c>
      <c r="AA64" s="15" t="n">
        <f aca="false">IFERROR(SUM(AA18:AA21)/Z26,0)</f>
        <v>0.0242521340830678</v>
      </c>
      <c r="AB64" s="15" t="n">
        <f aca="false">IFERROR(SUM(AB18:AB21)/AA26,0)</f>
        <v>0.0241024037215464</v>
      </c>
      <c r="AC64" s="15" t="n">
        <f aca="false">IFERROR(SUM(AC18:AC21)/AB26,0)</f>
        <v>0.0239831339364626</v>
      </c>
      <c r="AD64" s="15" t="n">
        <f aca="false">IFERROR(SUM(AD18:AD21)/AC26,0)</f>
        <v>0.0238848268833346</v>
      </c>
      <c r="AE64" s="15" t="n">
        <f aca="false">IFERROR(SUM(AE18:AE21)/AD26,0)</f>
        <v>0.0238015933060538</v>
      </c>
      <c r="AF64" s="15" t="n">
        <f aca="false">IFERROR(SUM(AF18:AF21)/AE26,0)</f>
        <v>0.0237295866714068</v>
      </c>
      <c r="AG64" s="15" t="n">
        <f aca="false">IFERROR(SUM(AG18:AG21)/AF26,0)</f>
        <v>0.0236661875721165</v>
      </c>
      <c r="AH64" s="15" t="n">
        <f aca="false">IFERROR(SUM(AH18:AH21)/AG26,0)</f>
        <v>0.0236095500157704</v>
      </c>
      <c r="AI64" s="15" t="n">
        <f aca="false">IFERROR(SUM(AI18:AI21)/AH26,0)</f>
        <v>0.0235583351660114</v>
      </c>
      <c r="AJ64" s="15" t="n">
        <f aca="false">IFERROR(SUM(AJ18:AJ21)/AI26,0)</f>
        <v>0.0235115480024889</v>
      </c>
      <c r="AK64" s="15" t="n">
        <f aca="false">IFERROR(SUM(AK18:AK21)/AJ26,0)</f>
        <v>0.023468433296348</v>
      </c>
      <c r="AL64" s="15" t="n">
        <f aca="false">IFERROR(SUM(AL18:AL21)/AK26,0)</f>
        <v>0.0234284072054158</v>
      </c>
      <c r="AM64" s="15" t="n">
        <f aca="false">IFERROR(SUM(AM18:AM21)/AL26,0)</f>
        <v>0.0215197301454651</v>
      </c>
      <c r="AN64" s="15" t="n">
        <f aca="false">IFERROR(SUM(AN18:AN21)/AM26,0)</f>
        <v>0.0214610238495399</v>
      </c>
      <c r="AO64" s="15" t="n">
        <f aca="false">IFERROR(SUM(AO18:AO21)/AN26,0)</f>
        <v>0.0214093169511298</v>
      </c>
      <c r="AP64" s="15" t="n">
        <f aca="false">IFERROR(SUM(AP18:AP21)/AO26,0)</f>
        <v>0.0213630899835083</v>
      </c>
      <c r="AQ64" s="15" t="n">
        <f aca="false">IFERROR(SUM(AQ18:AQ21)/AP26,0)</f>
        <v>0.0213212455932361</v>
      </c>
      <c r="AR64" s="15" t="n">
        <f aca="false">IFERROR(SUM(AR18:AR21)/AQ26,0)</f>
        <v>0.0212829711869262</v>
      </c>
      <c r="AS64" s="15" t="n">
        <f aca="false">IFERROR(SUM(AS18:AS21)/AR26,0)</f>
        <v>0.0212476519394668</v>
      </c>
      <c r="AT64" s="15" t="n">
        <f aca="false">IFERROR(SUM(AT18:AT21)/AS26,0)</f>
        <v>0.0212148138613746</v>
      </c>
      <c r="AU64" s="15" t="n">
        <f aca="false">IFERROR(SUM(AU18:AU21)/AT26,0)</f>
        <v>0.0211840854673379</v>
      </c>
      <c r="AV64" s="15" t="n">
        <f aca="false">IFERROR(SUM(AV18:AV21)/AU26,0)</f>
        <v>0.0211551713217119</v>
      </c>
      <c r="AW64" s="15" t="n">
        <f aca="false">IFERROR(SUM(AW18:AW21)/AV26,0)</f>
        <v>0.0211278333783395</v>
      </c>
      <c r="AX64" s="15" t="n">
        <f aca="false">IFERROR(SUM(AX18:AX21)/AW26,0)</f>
        <v>0.0211018775608587</v>
      </c>
      <c r="AY64" s="15" t="n">
        <f aca="false">IFERROR(SUM(AY18:AY21)/AX26,0)</f>
        <v>0.0193909724277518</v>
      </c>
      <c r="AZ64" s="15" t="n">
        <f aca="false">IFERROR(SUM(AZ18:AZ21)/AY26,0)</f>
        <v>0.0193408304002866</v>
      </c>
      <c r="BA64" s="15" t="n">
        <f aca="false">IFERROR(SUM(BA18:BA21)/AZ26,0)</f>
        <v>0.0192953075962137</v>
      </c>
      <c r="BB64" s="15" t="n">
        <f aca="false">IFERROR(SUM(BB18:BB21)/BA26,0)</f>
        <v>0.0192536642922906</v>
      </c>
      <c r="BC64" s="15" t="n">
        <f aca="false">IFERROR(SUM(BC18:BC21)/BB26,0)</f>
        <v>0.0192153150492444</v>
      </c>
      <c r="BD64" s="15" t="n">
        <f aca="false">IFERROR(SUM(BD18:BD21)/BC26,0)</f>
        <v>0.0191797903724577</v>
      </c>
      <c r="BE64" s="15" t="n">
        <f aca="false">IFERROR(SUM(BE18:BE21)/BD26,0)</f>
        <v>0.0191467092664278</v>
      </c>
      <c r="BF64" s="15" t="n">
        <f aca="false">IFERROR(SUM(BF18:BF21)/BE26,0)</f>
        <v>0.0191157592349831</v>
      </c>
      <c r="BG64" s="15" t="n">
        <f aca="false">IFERROR(SUM(BG18:BG21)/BF26,0)</f>
        <v>0.0190866814725289</v>
      </c>
      <c r="BH64" s="15" t="n">
        <f aca="false">IFERROR(SUM(BH18:BH21)/BG26,0)</f>
        <v>0.0190592597395565</v>
      </c>
      <c r="BI64" s="15" t="n">
        <f aca="false">IFERROR(SUM(BI18:BI21)/BH26,0)</f>
        <v>0.0190333118955875</v>
      </c>
      <c r="BJ64" s="15" t="n">
        <f aca="false">IFERROR(SUM(BJ18:BJ21)/BI26,0)</f>
        <v>0.0190086833772688</v>
      </c>
    </row>
    <row r="65" customFormat="false" ht="15" hidden="false" customHeight="false" outlineLevel="0" collapsed="false">
      <c r="A65" s="5" t="s">
        <v>264</v>
      </c>
      <c r="C65" s="19" t="n">
        <f aca="false">IF(MIN(C56:$BJ56)&gt;0,C$3,999)</f>
        <v>999</v>
      </c>
      <c r="D65" s="19" t="n">
        <f aca="false">IF(MIN(D56:$BJ56)&gt;0,D$3,999)</f>
        <v>999</v>
      </c>
      <c r="E65" s="19" t="n">
        <f aca="false">IF(MIN(E56:$BJ56)&gt;0,E$3,999)</f>
        <v>999</v>
      </c>
      <c r="F65" s="19" t="n">
        <f aca="false">IF(MIN(F56:$BJ56)&gt;0,F$3,999)</f>
        <v>999</v>
      </c>
      <c r="G65" s="19" t="n">
        <f aca="false">IF(MIN(G56:$BJ56)&gt;0,G$3,999)</f>
        <v>999</v>
      </c>
      <c r="H65" s="19" t="n">
        <f aca="false">IF(MIN(H56:$BJ56)&gt;0,H$3,999)</f>
        <v>999</v>
      </c>
      <c r="I65" s="19" t="n">
        <f aca="false">IF(MIN(I56:$BJ56)&gt;0,I$3,999)</f>
        <v>999</v>
      </c>
      <c r="J65" s="19" t="n">
        <f aca="false">IF(MIN(J56:$BJ56)&gt;0,J$3,999)</f>
        <v>999</v>
      </c>
      <c r="K65" s="19" t="n">
        <f aca="false">IF(MIN(K56:$BJ56)&gt;0,K$3,999)</f>
        <v>999</v>
      </c>
      <c r="L65" s="19" t="n">
        <f aca="false">IF(MIN(L56:$BJ56)&gt;0,L$3,999)</f>
        <v>999</v>
      </c>
      <c r="M65" s="19" t="n">
        <f aca="false">IF(MIN(M56:$BJ56)&gt;0,M$3,999)</f>
        <v>999</v>
      </c>
      <c r="N65" s="19" t="n">
        <f aca="false">IF(MIN(N56:$BJ56)&gt;0,N$3,999)</f>
        <v>999</v>
      </c>
      <c r="O65" s="19" t="n">
        <f aca="false">IF(MIN(O56:$BJ56)&gt;0,O$3,999)</f>
        <v>999</v>
      </c>
      <c r="P65" s="19" t="n">
        <f aca="false">IF(MIN(P56:$BJ56)&gt;0,P$3,999)</f>
        <v>999</v>
      </c>
      <c r="Q65" s="19" t="n">
        <f aca="false">IF(MIN(Q56:$BJ56)&gt;0,Q$3,999)</f>
        <v>999</v>
      </c>
      <c r="R65" s="19" t="n">
        <f aca="false">IF(MIN(R56:$BJ56)&gt;0,R$3,999)</f>
        <v>999</v>
      </c>
      <c r="S65" s="19" t="n">
        <f aca="false">IF(MIN(S56:$BJ56)&gt;0,S$3,999)</f>
        <v>999</v>
      </c>
      <c r="T65" s="19" t="n">
        <f aca="false">IF(MIN(T56:$BJ56)&gt;0,T$3,999)</f>
        <v>999</v>
      </c>
      <c r="U65" s="19" t="n">
        <f aca="false">IF(MIN(U56:$BJ56)&gt;0,U$3,999)</f>
        <v>999</v>
      </c>
      <c r="V65" s="19" t="n">
        <f aca="false">IF(MIN(V56:$BJ56)&gt;0,V$3,999)</f>
        <v>999</v>
      </c>
      <c r="W65" s="19" t="n">
        <f aca="false">IF(MIN(W56:$BJ56)&gt;0,W$3,999)</f>
        <v>999</v>
      </c>
      <c r="X65" s="19" t="n">
        <f aca="false">IF(MIN(X56:$BJ56)&gt;0,X$3,999)</f>
        <v>999</v>
      </c>
      <c r="Y65" s="19" t="n">
        <f aca="false">IF(MIN(Y56:$BJ56)&gt;0,Y$3,999)</f>
        <v>999</v>
      </c>
      <c r="Z65" s="19" t="n">
        <f aca="false">IF(MIN(Z56:$BJ56)&gt;0,Z$3,999)</f>
        <v>999</v>
      </c>
      <c r="AA65" s="19" t="n">
        <f aca="false">IF(MIN(AA56:$BJ56)&gt;0,AA$3,999)</f>
        <v>999</v>
      </c>
      <c r="AB65" s="19" t="n">
        <f aca="false">IF(MIN(AB56:$BJ56)&gt;0,AB$3,999)</f>
        <v>999</v>
      </c>
      <c r="AC65" s="19" t="n">
        <f aca="false">IF(MIN(AC56:$BJ56)&gt;0,AC$3,999)</f>
        <v>27</v>
      </c>
      <c r="AD65" s="19" t="n">
        <f aca="false">IF(MIN(AD56:$BJ56)&gt;0,AD$3,999)</f>
        <v>28</v>
      </c>
      <c r="AE65" s="19" t="n">
        <f aca="false">IF(MIN(AE56:$BJ56)&gt;0,AE$3,999)</f>
        <v>29</v>
      </c>
      <c r="AF65" s="19" t="n">
        <f aca="false">IF(MIN(AF56:$BJ56)&gt;0,AF$3,999)</f>
        <v>30</v>
      </c>
      <c r="AG65" s="19" t="n">
        <f aca="false">IF(MIN(AG56:$BJ56)&gt;0,AG$3,999)</f>
        <v>31</v>
      </c>
      <c r="AH65" s="19" t="n">
        <f aca="false">IF(MIN(AH56:$BJ56)&gt;0,AH$3,999)</f>
        <v>32</v>
      </c>
      <c r="AI65" s="19" t="n">
        <f aca="false">IF(MIN(AI56:$BJ56)&gt;0,AI$3,999)</f>
        <v>33</v>
      </c>
      <c r="AJ65" s="19" t="n">
        <f aca="false">IF(MIN(AJ56:$BJ56)&gt;0,AJ$3,999)</f>
        <v>34</v>
      </c>
      <c r="AK65" s="19" t="n">
        <f aca="false">IF(MIN(AK56:$BJ56)&gt;0,AK$3,999)</f>
        <v>35</v>
      </c>
      <c r="AL65" s="19" t="n">
        <f aca="false">IF(MIN(AL56:$BJ56)&gt;0,AL$3,999)</f>
        <v>36</v>
      </c>
      <c r="AM65" s="19" t="n">
        <f aca="false">IF(MIN(AM56:$BJ56)&gt;0,AM$3,999)</f>
        <v>37</v>
      </c>
      <c r="AN65" s="19" t="n">
        <f aca="false">IF(MIN(AN56:$BJ56)&gt;0,AN$3,999)</f>
        <v>38</v>
      </c>
      <c r="AO65" s="19" t="n">
        <f aca="false">IF(MIN(AO56:$BJ56)&gt;0,AO$3,999)</f>
        <v>39</v>
      </c>
      <c r="AP65" s="19" t="n">
        <f aca="false">IF(MIN(AP56:$BJ56)&gt;0,AP$3,999)</f>
        <v>40</v>
      </c>
      <c r="AQ65" s="19" t="n">
        <f aca="false">IF(MIN(AQ56:$BJ56)&gt;0,AQ$3,999)</f>
        <v>41</v>
      </c>
      <c r="AR65" s="19" t="n">
        <f aca="false">IF(MIN(AR56:$BJ56)&gt;0,AR$3,999)</f>
        <v>42</v>
      </c>
      <c r="AS65" s="19" t="n">
        <f aca="false">IF(MIN(AS56:$BJ56)&gt;0,AS$3,999)</f>
        <v>43</v>
      </c>
      <c r="AT65" s="19" t="n">
        <f aca="false">IF(MIN(AT56:$BJ56)&gt;0,AT$3,999)</f>
        <v>44</v>
      </c>
      <c r="AU65" s="19" t="n">
        <f aca="false">IF(MIN(AU56:$BJ56)&gt;0,AU$3,999)</f>
        <v>45</v>
      </c>
      <c r="AV65" s="19" t="n">
        <f aca="false">IF(MIN(AV56:$BJ56)&gt;0,AV$3,999)</f>
        <v>46</v>
      </c>
      <c r="AW65" s="19" t="n">
        <f aca="false">IF(MIN(AW56:$BJ56)&gt;0,AW$3,999)</f>
        <v>47</v>
      </c>
      <c r="AX65" s="19" t="n">
        <f aca="false">IF(MIN(AX56:$BJ56)&gt;0,AX$3,999)</f>
        <v>48</v>
      </c>
      <c r="AY65" s="19" t="n">
        <f aca="false">IF(MIN(AY56:$BJ56)&gt;0,AY$3,999)</f>
        <v>49</v>
      </c>
      <c r="AZ65" s="19" t="n">
        <f aca="false">IF(MIN(AZ56:$BJ56)&gt;0,AZ$3,999)</f>
        <v>50</v>
      </c>
      <c r="BA65" s="19" t="n">
        <f aca="false">IF(MIN(BA56:$BJ56)&gt;0,BA$3,999)</f>
        <v>51</v>
      </c>
      <c r="BB65" s="19" t="n">
        <f aca="false">IF(MIN(BB56:$BJ56)&gt;0,BB$3,999)</f>
        <v>52</v>
      </c>
      <c r="BC65" s="19" t="n">
        <f aca="false">IF(MIN(BC56:$BJ56)&gt;0,BC$3,999)</f>
        <v>53</v>
      </c>
      <c r="BD65" s="19" t="n">
        <f aca="false">IF(MIN(BD56:$BJ56)&gt;0,BD$3,999)</f>
        <v>54</v>
      </c>
      <c r="BE65" s="19" t="n">
        <f aca="false">IF(MIN(BE56:$BJ56)&gt;0,BE$3,999)</f>
        <v>55</v>
      </c>
      <c r="BF65" s="19" t="n">
        <f aca="false">IF(MIN(BF56:$BJ56)&gt;0,BF$3,999)</f>
        <v>56</v>
      </c>
      <c r="BG65" s="19" t="n">
        <f aca="false">IF(MIN(BG56:$BJ56)&gt;0,BG$3,999)</f>
        <v>57</v>
      </c>
      <c r="BH65" s="19" t="n">
        <f aca="false">IF(MIN(BH56:$BJ56)&gt;0,BH$3,999)</f>
        <v>58</v>
      </c>
      <c r="BI65" s="19" t="n">
        <f aca="false">IF(MIN(BI56:$BJ56)&gt;0,BI$3,999)</f>
        <v>59</v>
      </c>
      <c r="BJ65" s="19" t="n">
        <f aca="false">IF(MIN(BJ56:$BJ56)&gt;0,BJ$3,999)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31" t="s">
        <v>267</v>
      </c>
    </row>
    <row r="2" customFormat="false" ht="26.85" hidden="false" customHeight="false" outlineLevel="0" collapsed="false">
      <c r="A2" s="32" t="s">
        <v>268</v>
      </c>
    </row>
    <row r="3" customFormat="false" ht="26.85" hidden="false" customHeight="false" outlineLevel="0" collapsed="false">
      <c r="A3" s="32" t="s">
        <v>269</v>
      </c>
    </row>
    <row r="4" customFormat="false" ht="26.85" hidden="false" customHeight="false" outlineLevel="0" collapsed="false">
      <c r="A4" s="32" t="s">
        <v>270</v>
      </c>
    </row>
    <row r="5" customFormat="false" ht="26.85" hidden="false" customHeight="false" outlineLevel="0" collapsed="false">
      <c r="A5" s="32" t="s">
        <v>271</v>
      </c>
    </row>
    <row r="6" customFormat="false" ht="26.85" hidden="false" customHeight="false" outlineLevel="0" collapsed="false">
      <c r="A6" s="32" t="s">
        <v>272</v>
      </c>
    </row>
    <row r="7" customFormat="false" ht="15" hidden="false" customHeight="false" outlineLevel="0" collapsed="false">
      <c r="A7" s="32"/>
    </row>
    <row r="8" customFormat="false" ht="15" hidden="false" customHeight="false" outlineLevel="0" collapsed="false">
      <c r="A8" s="31" t="s">
        <v>273</v>
      </c>
    </row>
    <row r="9" customFormat="false" ht="15" hidden="false" customHeight="false" outlineLevel="0" collapsed="false">
      <c r="A9" s="32" t="s">
        <v>274</v>
      </c>
    </row>
    <row r="10" customFormat="false" ht="26.85" hidden="false" customHeight="false" outlineLevel="0" collapsed="false">
      <c r="A10" s="32" t="s">
        <v>275</v>
      </c>
    </row>
    <row r="11" customFormat="false" ht="15" hidden="false" customHeight="false" outlineLevel="0" collapsed="false">
      <c r="A11" s="32" t="s">
        <v>276</v>
      </c>
    </row>
    <row r="12" customFormat="false" ht="26.85" hidden="false" customHeight="false" outlineLevel="0" collapsed="false">
      <c r="A12" s="32" t="s">
        <v>277</v>
      </c>
    </row>
    <row r="13" customFormat="false" ht="26.85" hidden="false" customHeight="false" outlineLevel="0" collapsed="false">
      <c r="A13" s="32" t="s">
        <v>278</v>
      </c>
    </row>
    <row r="14" customFormat="false" ht="15" hidden="false" customHeight="false" outlineLevel="0" collapsed="false">
      <c r="A14" s="32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2026-10-15T00:58:54Z</dcterms:created>
  <dc:creator>openpyxl</dc:creator>
  <dc:description/>
  <dc:language>en-US</dc:language>
  <cp:lastModifiedBy/>
  <dcterms:modified xsi:type="dcterms:W3CDTF">2026-10-15T00:58:58Z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