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Leia-me" sheetId="2" state="visible" r:id="rId2"/>
    <sheet xmlns:r="http://schemas.openxmlformats.org/officeDocument/2006/relationships" name="Premissas" sheetId="3" state="visible" r:id="rId3"/>
    <sheet xmlns:r="http://schemas.openxmlformats.org/officeDocument/2006/relationships" name="Unidade" sheetId="4" state="visible" r:id="rId4"/>
    <sheet xmlns:r="http://schemas.openxmlformats.org/officeDocument/2006/relationships" name="Modelo A" sheetId="5" state="visible" r:id="rId5"/>
    <sheet xmlns:r="http://schemas.openxmlformats.org/officeDocument/2006/relationships" name="Modelo B" sheetId="6" state="visible" r:id="rId6"/>
    <sheet xmlns:r="http://schemas.openxmlformats.org/officeDocument/2006/relationships" name="Cenarios" sheetId="7" state="visible" r:id="rId7"/>
    <sheet xmlns:r="http://schemas.openxmlformats.org/officeDocument/2006/relationships" name="Sensibilidad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;(#,##0);-"/>
    <numFmt numFmtId="165" formatCode="R$ #,##0;(R$ #,##0);-"/>
    <numFmt numFmtId="166" formatCode="0.0%;(0.0%);-"/>
    <numFmt numFmtId="167" formatCode="0.0&quot;x&quot;"/>
    <numFmt numFmtId="168" formatCode="#,##0.0;(#,##0.0);-"/>
    <numFmt numFmtId="169" formatCode="R$ #,##0"/>
    <numFmt numFmtId="170" formatCode="0.0%"/>
    <numFmt numFmtId="171" formatCode="0.0"/>
  </numFmts>
  <fonts count="7">
    <font>
      <name val="Calibri"/>
      <family val="2"/>
      <color theme="1"/>
      <sz val="11"/>
      <scheme val="minor"/>
    </font>
    <font>
      <name val="Arial"/>
      <b val="1"/>
      <color rgb="001F2440"/>
      <sz val="14"/>
    </font>
    <font>
      <name val="Arial"/>
      <color rgb="00000000"/>
    </font>
    <font>
      <name val="Arial"/>
      <b val="1"/>
    </font>
    <font>
      <name val="Arial"/>
      <color rgb="000000FF"/>
    </font>
    <font>
      <name val="Arial"/>
      <b val="1"/>
      <color rgb="00FFFFFF"/>
    </font>
    <font>
      <name val="Arial"/>
      <b val="1"/>
      <color rgb="00000000"/>
    </font>
  </fonts>
  <fills count="5">
    <fill>
      <patternFill/>
    </fill>
    <fill>
      <patternFill patternType="gray125"/>
    </fill>
    <fill>
      <patternFill patternType="solid">
        <fgColor rgb="00FBE9E0"/>
      </patternFill>
    </fill>
    <fill>
      <patternFill patternType="solid">
        <fgColor rgb="00E9EBF2"/>
      </patternFill>
    </fill>
    <fill>
      <patternFill patternType="solid">
        <fgColor rgb="001F24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5" fillId="4" borderId="0" applyAlignment="1" pivotButton="0" quotePrefix="0" xfId="0">
      <alignment horizontal="left" wrapText="1"/>
    </xf>
    <xf numFmtId="0" fontId="5" fillId="4" borderId="0" applyAlignment="1" pivotButton="0" quotePrefix="0" xfId="0">
      <alignment horizontal="center" wrapText="1"/>
    </xf>
    <xf numFmtId="164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  <xf numFmtId="168" fontId="2" fillId="0" borderId="0" pivotButton="0" quotePrefix="0" xfId="0"/>
    <xf numFmtId="0" fontId="1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4" fillId="2" borderId="0" pivotButton="0" quotePrefix="0" xfId="0"/>
    <xf numFmtId="164" fontId="4" fillId="0" borderId="0" pivotButton="0" quotePrefix="0" xfId="0"/>
    <xf numFmtId="166" fontId="4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164" fontId="6" fillId="0" borderId="0" pivotButton="0" quotePrefix="0" xfId="0"/>
    <xf numFmtId="168" fontId="6" fillId="0" borderId="0" pivotButton="0" quotePrefix="0" xfId="0"/>
    <xf numFmtId="165" fontId="6" fillId="0" borderId="0" pivotButton="0" quotePrefix="0" xfId="0"/>
    <xf numFmtId="0" fontId="3" fillId="2" borderId="0" pivotButton="0" quotePrefix="0" xfId="0"/>
    <xf numFmtId="165" fontId="6" fillId="2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6" fontId="4" fillId="0" borderId="0" pivotButton="0" quotePrefix="0" xfId="0"/>
    <xf numFmtId="165" fontId="4" fillId="0" borderId="0" pivotButton="0" quotePrefix="0" xfId="0"/>
    <xf numFmtId="165" fontId="6" fillId="0" borderId="0" pivotButton="0" quotePrefix="0" xfId="0"/>
    <xf numFmtId="165" fontId="6" fillId="2" borderId="0" pivotButton="0" quotePrefix="0" xfId="0"/>
    <xf numFmtId="169" fontId="0" fillId="0" borderId="0" pivotButton="0" quotePrefix="0" xfId="0"/>
    <xf numFmtId="1" fontId="0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71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Jalecon v2 · Resumo comparativo</t>
        </is>
      </c>
    </row>
    <row r="2">
      <c r="A2" s="2" t="inlineStr">
        <is>
          <t>Cenário:</t>
        </is>
      </c>
      <c r="B2" s="2">
        <f>Premissas!$D$3</f>
        <v/>
      </c>
    </row>
    <row r="3">
      <c r="A3" s="3" t="inlineStr">
        <is>
          <t>Troque o cenário na aba Premissas, célula C3. Valores em reais nominais.</t>
        </is>
      </c>
    </row>
    <row r="5">
      <c r="A5" s="4" t="inlineStr">
        <is>
          <t>Modelo A: software por assinatura</t>
        </is>
      </c>
      <c r="B5" s="5" t="n"/>
      <c r="C5" s="5" t="n"/>
      <c r="D5" s="5" t="n"/>
      <c r="E5" s="5" t="n"/>
      <c r="F5" s="5" t="n"/>
      <c r="G5" s="5" t="n"/>
      <c r="H5" s="5" t="n"/>
    </row>
    <row r="6">
      <c r="A6" s="6" t="inlineStr">
        <is>
          <t>Indicador</t>
        </is>
      </c>
      <c r="B6" s="7" t="inlineStr">
        <is>
          <t>Ano 1</t>
        </is>
      </c>
      <c r="C6" s="7" t="inlineStr">
        <is>
          <t>Ano 2</t>
        </is>
      </c>
      <c r="D6" s="7" t="inlineStr">
        <is>
          <t>Ano 3</t>
        </is>
      </c>
      <c r="E6" s="7" t="inlineStr">
        <is>
          <t>Ano 4</t>
        </is>
      </c>
      <c r="F6" s="7" t="inlineStr">
        <is>
          <t>Ano 5</t>
        </is>
      </c>
      <c r="G6" s="7" t="inlineStr">
        <is>
          <t>Ano 6</t>
        </is>
      </c>
      <c r="H6" s="7" t="inlineStr">
        <is>
          <t>Ano 7</t>
        </is>
      </c>
    </row>
    <row r="7">
      <c r="A7" s="3" t="inlineStr">
        <is>
          <t>Clientes ativos (fim do ano)</t>
        </is>
      </c>
      <c r="B7" s="8">
        <f>'Modelo A'!N39</f>
        <v/>
      </c>
      <c r="C7" s="8">
        <f>'Modelo A'!Z39</f>
        <v/>
      </c>
      <c r="D7" s="8">
        <f>'Modelo A'!AL39</f>
        <v/>
      </c>
      <c r="E7" s="8">
        <f>'Modelo A'!AX39</f>
        <v/>
      </c>
      <c r="F7" s="8">
        <f>'Modelo A'!BJ39</f>
        <v/>
      </c>
      <c r="G7" s="8">
        <f>'Modelo A'!BV39</f>
        <v/>
      </c>
      <c r="H7" s="8">
        <f>'Modelo A'!CH39</f>
        <v/>
      </c>
    </row>
    <row r="8">
      <c r="A8" s="3" t="inlineStr">
        <is>
          <t>Receita bruta</t>
        </is>
      </c>
      <c r="B8" s="26">
        <f>SUMIF('Modelo A'!$C$3:$CH$3,1,'Modelo A'!$C$45:$CH$45)</f>
        <v/>
      </c>
      <c r="C8" s="26">
        <f>SUMIF('Modelo A'!$C$3:$CH$3,2,'Modelo A'!$C$45:$CH$45)</f>
        <v/>
      </c>
      <c r="D8" s="26">
        <f>SUMIF('Modelo A'!$C$3:$CH$3,3,'Modelo A'!$C$45:$CH$45)</f>
        <v/>
      </c>
      <c r="E8" s="26">
        <f>SUMIF('Modelo A'!$C$3:$CH$3,4,'Modelo A'!$C$45:$CH$45)</f>
        <v/>
      </c>
      <c r="F8" s="26">
        <f>SUMIF('Modelo A'!$C$3:$CH$3,5,'Modelo A'!$C$45:$CH$45)</f>
        <v/>
      </c>
      <c r="G8" s="26">
        <f>SUMIF('Modelo A'!$C$3:$CH$3,6,'Modelo A'!$C$45:$CH$45)</f>
        <v/>
      </c>
      <c r="H8" s="26">
        <f>SUMIF('Modelo A'!$C$3:$CH$3,7,'Modelo A'!$C$45:$CH$45)</f>
        <v/>
      </c>
    </row>
    <row r="9">
      <c r="A9" s="3" t="inlineStr">
        <is>
          <t>Receita recorrente anualizada (fim do ano)</t>
        </is>
      </c>
      <c r="B9" s="26">
        <f>'Modelo A'!N47</f>
        <v/>
      </c>
      <c r="C9" s="26">
        <f>'Modelo A'!Z47</f>
        <v/>
      </c>
      <c r="D9" s="26">
        <f>'Modelo A'!AL47</f>
        <v/>
      </c>
      <c r="E9" s="26">
        <f>'Modelo A'!AX47</f>
        <v/>
      </c>
      <c r="F9" s="26">
        <f>'Modelo A'!BJ47</f>
        <v/>
      </c>
      <c r="G9" s="26">
        <f>'Modelo A'!BV47</f>
        <v/>
      </c>
      <c r="H9" s="26">
        <f>'Modelo A'!CH47</f>
        <v/>
      </c>
    </row>
    <row r="10">
      <c r="A10" s="3" t="inlineStr">
        <is>
          <t>Lucro bruto</t>
        </is>
      </c>
      <c r="B10" s="26">
        <f>SUMIF('Modelo A'!$C$3:$CH$3,1,'Modelo A'!$C$57:$CH$57)</f>
        <v/>
      </c>
      <c r="C10" s="26">
        <f>SUMIF('Modelo A'!$C$3:$CH$3,2,'Modelo A'!$C$57:$CH$57)</f>
        <v/>
      </c>
      <c r="D10" s="26">
        <f>SUMIF('Modelo A'!$C$3:$CH$3,3,'Modelo A'!$C$57:$CH$57)</f>
        <v/>
      </c>
      <c r="E10" s="26">
        <f>SUMIF('Modelo A'!$C$3:$CH$3,4,'Modelo A'!$C$57:$CH$57)</f>
        <v/>
      </c>
      <c r="F10" s="26">
        <f>SUMIF('Modelo A'!$C$3:$CH$3,5,'Modelo A'!$C$57:$CH$57)</f>
        <v/>
      </c>
      <c r="G10" s="26">
        <f>SUMIF('Modelo A'!$C$3:$CH$3,6,'Modelo A'!$C$57:$CH$57)</f>
        <v/>
      </c>
      <c r="H10" s="26">
        <f>SUMIF('Modelo A'!$C$3:$CH$3,7,'Modelo A'!$C$57:$CH$57)</f>
        <v/>
      </c>
    </row>
    <row r="11">
      <c r="A11" s="3" t="inlineStr">
        <is>
          <t>Margem bruta (sobre a receita líquida)</t>
        </is>
      </c>
      <c r="B11" s="27">
        <f>IFERROR(SUMIF('Modelo A'!$C$3:$CH$3,1,'Modelo A'!$C$57:$CH$57)/SUMIF('Modelo A'!$C$3:$CH$3,1,'Modelo A'!$C$50:$CH$50),0)</f>
        <v/>
      </c>
      <c r="C11" s="27">
        <f>IFERROR(SUMIF('Modelo A'!$C$3:$CH$3,2,'Modelo A'!$C$57:$CH$57)/SUMIF('Modelo A'!$C$3:$CH$3,2,'Modelo A'!$C$50:$CH$50),0)</f>
        <v/>
      </c>
      <c r="D11" s="27">
        <f>IFERROR(SUMIF('Modelo A'!$C$3:$CH$3,3,'Modelo A'!$C$57:$CH$57)/SUMIF('Modelo A'!$C$3:$CH$3,3,'Modelo A'!$C$50:$CH$50),0)</f>
        <v/>
      </c>
      <c r="E11" s="27">
        <f>IFERROR(SUMIF('Modelo A'!$C$3:$CH$3,4,'Modelo A'!$C$57:$CH$57)/SUMIF('Modelo A'!$C$3:$CH$3,4,'Modelo A'!$C$50:$CH$50),0)</f>
        <v/>
      </c>
      <c r="F11" s="27">
        <f>IFERROR(SUMIF('Modelo A'!$C$3:$CH$3,5,'Modelo A'!$C$57:$CH$57)/SUMIF('Modelo A'!$C$3:$CH$3,5,'Modelo A'!$C$50:$CH$50),0)</f>
        <v/>
      </c>
      <c r="G11" s="27">
        <f>IFERROR(SUMIF('Modelo A'!$C$3:$CH$3,6,'Modelo A'!$C$57:$CH$57)/SUMIF('Modelo A'!$C$3:$CH$3,6,'Modelo A'!$C$50:$CH$50),0)</f>
        <v/>
      </c>
      <c r="H11" s="27">
        <f>IFERROR(SUMIF('Modelo A'!$C$3:$CH$3,7,'Modelo A'!$C$57:$CH$57)/SUMIF('Modelo A'!$C$3:$CH$3,7,'Modelo A'!$C$50:$CH$50),0)</f>
        <v/>
      </c>
    </row>
    <row r="12">
      <c r="A12" s="3" t="inlineStr">
        <is>
          <t>EBITDA</t>
        </is>
      </c>
      <c r="B12" s="26">
        <f>SUMIF('Modelo A'!$C$3:$CH$3,1,'Modelo A'!$C$73:$CH$73)</f>
        <v/>
      </c>
      <c r="C12" s="26">
        <f>SUMIF('Modelo A'!$C$3:$CH$3,2,'Modelo A'!$C$73:$CH$73)</f>
        <v/>
      </c>
      <c r="D12" s="26">
        <f>SUMIF('Modelo A'!$C$3:$CH$3,3,'Modelo A'!$C$73:$CH$73)</f>
        <v/>
      </c>
      <c r="E12" s="26">
        <f>SUMIF('Modelo A'!$C$3:$CH$3,4,'Modelo A'!$C$73:$CH$73)</f>
        <v/>
      </c>
      <c r="F12" s="26">
        <f>SUMIF('Modelo A'!$C$3:$CH$3,5,'Modelo A'!$C$73:$CH$73)</f>
        <v/>
      </c>
      <c r="G12" s="26">
        <f>SUMIF('Modelo A'!$C$3:$CH$3,6,'Modelo A'!$C$73:$CH$73)</f>
        <v/>
      </c>
      <c r="H12" s="26">
        <f>SUMIF('Modelo A'!$C$3:$CH$3,7,'Modelo A'!$C$73:$CH$73)</f>
        <v/>
      </c>
    </row>
    <row r="13">
      <c r="A13" s="3" t="inlineStr">
        <is>
          <t>Caixa acumulado sem captação (fim do ano)</t>
        </is>
      </c>
      <c r="B13" s="26">
        <f>'Modelo A'!N74</f>
        <v/>
      </c>
      <c r="C13" s="26">
        <f>'Modelo A'!Z74</f>
        <v/>
      </c>
      <c r="D13" s="26">
        <f>'Modelo A'!AL74</f>
        <v/>
      </c>
      <c r="E13" s="26">
        <f>'Modelo A'!AX74</f>
        <v/>
      </c>
      <c r="F13" s="26">
        <f>'Modelo A'!BJ74</f>
        <v/>
      </c>
      <c r="G13" s="26">
        <f>'Modelo A'!BV74</f>
        <v/>
      </c>
      <c r="H13" s="26">
        <f>'Modelo A'!CH74</f>
        <v/>
      </c>
    </row>
    <row r="14">
      <c r="A14" s="3" t="inlineStr">
        <is>
          <t>Pessoas (fim do ano)</t>
        </is>
      </c>
      <c r="B14" s="8">
        <f>'Modelo A'!N77</f>
        <v/>
      </c>
      <c r="C14" s="8">
        <f>'Modelo A'!Z77</f>
        <v/>
      </c>
      <c r="D14" s="8">
        <f>'Modelo A'!AL77</f>
        <v/>
      </c>
      <c r="E14" s="8">
        <f>'Modelo A'!AX77</f>
        <v/>
      </c>
      <c r="F14" s="8">
        <f>'Modelo A'!BJ77</f>
        <v/>
      </c>
      <c r="G14" s="8">
        <f>'Modelo A'!BV77</f>
        <v/>
      </c>
      <c r="H14" s="8">
        <f>'Modelo A'!CH77</f>
        <v/>
      </c>
    </row>
    <row r="15">
      <c r="A15" s="3" t="inlineStr">
        <is>
          <t>Participação no mercado endereçável (fim do ano)</t>
        </is>
      </c>
      <c r="B15" s="27">
        <f>'Modelo A'!N41</f>
        <v/>
      </c>
      <c r="C15" s="27">
        <f>'Modelo A'!Z41</f>
        <v/>
      </c>
      <c r="D15" s="27">
        <f>'Modelo A'!AL41</f>
        <v/>
      </c>
      <c r="E15" s="27">
        <f>'Modelo A'!AX41</f>
        <v/>
      </c>
      <c r="F15" s="27">
        <f>'Modelo A'!BJ41</f>
        <v/>
      </c>
      <c r="G15" s="27">
        <f>'Modelo A'!BV41</f>
        <v/>
      </c>
      <c r="H15" s="27">
        <f>'Modelo A'!CH41</f>
        <v/>
      </c>
    </row>
    <row r="17">
      <c r="A17" s="4" t="inlineStr">
        <is>
          <t>Modelo B: agência operada por agentes</t>
        </is>
      </c>
      <c r="B17" s="5" t="n"/>
      <c r="C17" s="5" t="n"/>
      <c r="D17" s="5" t="n"/>
      <c r="E17" s="5" t="n"/>
      <c r="F17" s="5" t="n"/>
      <c r="G17" s="5" t="n"/>
      <c r="H17" s="5" t="n"/>
    </row>
    <row r="18">
      <c r="A18" s="6" t="inlineStr">
        <is>
          <t>Indicador</t>
        </is>
      </c>
      <c r="B18" s="7" t="inlineStr">
        <is>
          <t>Ano 1</t>
        </is>
      </c>
      <c r="C18" s="7" t="inlineStr">
        <is>
          <t>Ano 2</t>
        </is>
      </c>
      <c r="D18" s="7" t="inlineStr">
        <is>
          <t>Ano 3</t>
        </is>
      </c>
      <c r="E18" s="7" t="inlineStr">
        <is>
          <t>Ano 4</t>
        </is>
      </c>
      <c r="F18" s="7" t="inlineStr">
        <is>
          <t>Ano 5</t>
        </is>
      </c>
      <c r="G18" s="7" t="inlineStr">
        <is>
          <t>Ano 6</t>
        </is>
      </c>
      <c r="H18" s="7" t="inlineStr">
        <is>
          <t>Ano 7</t>
        </is>
      </c>
    </row>
    <row r="19">
      <c r="A19" s="3" t="inlineStr">
        <is>
          <t>Clientes ativos (fim do ano)</t>
        </is>
      </c>
      <c r="B19" s="8">
        <f>'Modelo B'!N33</f>
        <v/>
      </c>
      <c r="C19" s="8">
        <f>'Modelo B'!Z33</f>
        <v/>
      </c>
      <c r="D19" s="8">
        <f>'Modelo B'!AL33</f>
        <v/>
      </c>
      <c r="E19" s="8">
        <f>'Modelo B'!AX33</f>
        <v/>
      </c>
      <c r="F19" s="8">
        <f>'Modelo B'!BJ33</f>
        <v/>
      </c>
      <c r="G19" s="8">
        <f>'Modelo B'!BV33</f>
        <v/>
      </c>
      <c r="H19" s="8">
        <f>'Modelo B'!CH33</f>
        <v/>
      </c>
    </row>
    <row r="20">
      <c r="A20" s="3" t="inlineStr">
        <is>
          <t>Receita bruta</t>
        </is>
      </c>
      <c r="B20" s="26">
        <f>SUMIF('Modelo B'!$C$3:$CH$3,1,'Modelo B'!$C$39:$CH$39)</f>
        <v/>
      </c>
      <c r="C20" s="26">
        <f>SUMIF('Modelo B'!$C$3:$CH$3,2,'Modelo B'!$C$39:$CH$39)</f>
        <v/>
      </c>
      <c r="D20" s="26">
        <f>SUMIF('Modelo B'!$C$3:$CH$3,3,'Modelo B'!$C$39:$CH$39)</f>
        <v/>
      </c>
      <c r="E20" s="26">
        <f>SUMIF('Modelo B'!$C$3:$CH$3,4,'Modelo B'!$C$39:$CH$39)</f>
        <v/>
      </c>
      <c r="F20" s="26">
        <f>SUMIF('Modelo B'!$C$3:$CH$3,5,'Modelo B'!$C$39:$CH$39)</f>
        <v/>
      </c>
      <c r="G20" s="26">
        <f>SUMIF('Modelo B'!$C$3:$CH$3,6,'Modelo B'!$C$39:$CH$39)</f>
        <v/>
      </c>
      <c r="H20" s="26">
        <f>SUMIF('Modelo B'!$C$3:$CH$3,7,'Modelo B'!$C$39:$CH$39)</f>
        <v/>
      </c>
    </row>
    <row r="21">
      <c r="A21" s="3" t="inlineStr">
        <is>
          <t>Receita recorrente anualizada (fim do ano)</t>
        </is>
      </c>
      <c r="B21" s="26">
        <f>'Modelo B'!N41</f>
        <v/>
      </c>
      <c r="C21" s="26">
        <f>'Modelo B'!Z41</f>
        <v/>
      </c>
      <c r="D21" s="26">
        <f>'Modelo B'!AL41</f>
        <v/>
      </c>
      <c r="E21" s="26">
        <f>'Modelo B'!AX41</f>
        <v/>
      </c>
      <c r="F21" s="26">
        <f>'Modelo B'!BJ41</f>
        <v/>
      </c>
      <c r="G21" s="26">
        <f>'Modelo B'!BV41</f>
        <v/>
      </c>
      <c r="H21" s="26">
        <f>'Modelo B'!CH41</f>
        <v/>
      </c>
    </row>
    <row r="22">
      <c r="A22" s="3" t="inlineStr">
        <is>
          <t>Lucro bruto</t>
        </is>
      </c>
      <c r="B22" s="26">
        <f>SUMIF('Modelo B'!$C$3:$CH$3,1,'Modelo B'!$C$51:$CH$51)</f>
        <v/>
      </c>
      <c r="C22" s="26">
        <f>SUMIF('Modelo B'!$C$3:$CH$3,2,'Modelo B'!$C$51:$CH$51)</f>
        <v/>
      </c>
      <c r="D22" s="26">
        <f>SUMIF('Modelo B'!$C$3:$CH$3,3,'Modelo B'!$C$51:$CH$51)</f>
        <v/>
      </c>
      <c r="E22" s="26">
        <f>SUMIF('Modelo B'!$C$3:$CH$3,4,'Modelo B'!$C$51:$CH$51)</f>
        <v/>
      </c>
      <c r="F22" s="26">
        <f>SUMIF('Modelo B'!$C$3:$CH$3,5,'Modelo B'!$C$51:$CH$51)</f>
        <v/>
      </c>
      <c r="G22" s="26">
        <f>SUMIF('Modelo B'!$C$3:$CH$3,6,'Modelo B'!$C$51:$CH$51)</f>
        <v/>
      </c>
      <c r="H22" s="26">
        <f>SUMIF('Modelo B'!$C$3:$CH$3,7,'Modelo B'!$C$51:$CH$51)</f>
        <v/>
      </c>
    </row>
    <row r="23">
      <c r="A23" s="3" t="inlineStr">
        <is>
          <t>Margem bruta (sobre a receita líquida)</t>
        </is>
      </c>
      <c r="B23" s="27">
        <f>IFERROR(SUMIF('Modelo B'!$C$3:$CH$3,1,'Modelo B'!$C$51:$CH$51)/SUMIF('Modelo B'!$C$3:$CH$3,1,'Modelo B'!$C$44:$CH$44),0)</f>
        <v/>
      </c>
      <c r="C23" s="27">
        <f>IFERROR(SUMIF('Modelo B'!$C$3:$CH$3,2,'Modelo B'!$C$51:$CH$51)/SUMIF('Modelo B'!$C$3:$CH$3,2,'Modelo B'!$C$44:$CH$44),0)</f>
        <v/>
      </c>
      <c r="D23" s="27">
        <f>IFERROR(SUMIF('Modelo B'!$C$3:$CH$3,3,'Modelo B'!$C$51:$CH$51)/SUMIF('Modelo B'!$C$3:$CH$3,3,'Modelo B'!$C$44:$CH$44),0)</f>
        <v/>
      </c>
      <c r="E23" s="27">
        <f>IFERROR(SUMIF('Modelo B'!$C$3:$CH$3,4,'Modelo B'!$C$51:$CH$51)/SUMIF('Modelo B'!$C$3:$CH$3,4,'Modelo B'!$C$44:$CH$44),0)</f>
        <v/>
      </c>
      <c r="F23" s="27">
        <f>IFERROR(SUMIF('Modelo B'!$C$3:$CH$3,5,'Modelo B'!$C$51:$CH$51)/SUMIF('Modelo B'!$C$3:$CH$3,5,'Modelo B'!$C$44:$CH$44),0)</f>
        <v/>
      </c>
      <c r="G23" s="27">
        <f>IFERROR(SUMIF('Modelo B'!$C$3:$CH$3,6,'Modelo B'!$C$51:$CH$51)/SUMIF('Modelo B'!$C$3:$CH$3,6,'Modelo B'!$C$44:$CH$44),0)</f>
        <v/>
      </c>
      <c r="H23" s="27">
        <f>IFERROR(SUMIF('Modelo B'!$C$3:$CH$3,7,'Modelo B'!$C$51:$CH$51)/SUMIF('Modelo B'!$C$3:$CH$3,7,'Modelo B'!$C$44:$CH$44),0)</f>
        <v/>
      </c>
    </row>
    <row r="24">
      <c r="A24" s="3" t="inlineStr">
        <is>
          <t>EBITDA</t>
        </is>
      </c>
      <c r="B24" s="26">
        <f>SUMIF('Modelo B'!$C$3:$CH$3,1,'Modelo B'!$C$67:$CH$67)</f>
        <v/>
      </c>
      <c r="C24" s="26">
        <f>SUMIF('Modelo B'!$C$3:$CH$3,2,'Modelo B'!$C$67:$CH$67)</f>
        <v/>
      </c>
      <c r="D24" s="26">
        <f>SUMIF('Modelo B'!$C$3:$CH$3,3,'Modelo B'!$C$67:$CH$67)</f>
        <v/>
      </c>
      <c r="E24" s="26">
        <f>SUMIF('Modelo B'!$C$3:$CH$3,4,'Modelo B'!$C$67:$CH$67)</f>
        <v/>
      </c>
      <c r="F24" s="26">
        <f>SUMIF('Modelo B'!$C$3:$CH$3,5,'Modelo B'!$C$67:$CH$67)</f>
        <v/>
      </c>
      <c r="G24" s="26">
        <f>SUMIF('Modelo B'!$C$3:$CH$3,6,'Modelo B'!$C$67:$CH$67)</f>
        <v/>
      </c>
      <c r="H24" s="26">
        <f>SUMIF('Modelo B'!$C$3:$CH$3,7,'Modelo B'!$C$67:$CH$67)</f>
        <v/>
      </c>
    </row>
    <row r="25">
      <c r="A25" s="3" t="inlineStr">
        <is>
          <t>Caixa acumulado sem captação (fim do ano)</t>
        </is>
      </c>
      <c r="B25" s="26">
        <f>'Modelo B'!N68</f>
        <v/>
      </c>
      <c r="C25" s="26">
        <f>'Modelo B'!Z68</f>
        <v/>
      </c>
      <c r="D25" s="26">
        <f>'Modelo B'!AL68</f>
        <v/>
      </c>
      <c r="E25" s="26">
        <f>'Modelo B'!AX68</f>
        <v/>
      </c>
      <c r="F25" s="26">
        <f>'Modelo B'!BJ68</f>
        <v/>
      </c>
      <c r="G25" s="26">
        <f>'Modelo B'!BV68</f>
        <v/>
      </c>
      <c r="H25" s="26">
        <f>'Modelo B'!CH68</f>
        <v/>
      </c>
    </row>
    <row r="26">
      <c r="A26" s="3" t="inlineStr">
        <is>
          <t>Pessoas (fim do ano)</t>
        </is>
      </c>
      <c r="B26" s="8">
        <f>'Modelo B'!N71</f>
        <v/>
      </c>
      <c r="C26" s="8">
        <f>'Modelo B'!Z71</f>
        <v/>
      </c>
      <c r="D26" s="8">
        <f>'Modelo B'!AL71</f>
        <v/>
      </c>
      <c r="E26" s="8">
        <f>'Modelo B'!AX71</f>
        <v/>
      </c>
      <c r="F26" s="8">
        <f>'Modelo B'!BJ71</f>
        <v/>
      </c>
      <c r="G26" s="8">
        <f>'Modelo B'!BV71</f>
        <v/>
      </c>
      <c r="H26" s="8">
        <f>'Modelo B'!CH71</f>
        <v/>
      </c>
    </row>
    <row r="27">
      <c r="A27" s="3" t="inlineStr">
        <is>
          <t>Participação no mercado endereçável (fim do ano)</t>
        </is>
      </c>
      <c r="B27" s="27">
        <f>'Modelo B'!N35</f>
        <v/>
      </c>
      <c r="C27" s="27">
        <f>'Modelo B'!Z35</f>
        <v/>
      </c>
      <c r="D27" s="27">
        <f>'Modelo B'!AL35</f>
        <v/>
      </c>
      <c r="E27" s="27">
        <f>'Modelo B'!AX35</f>
        <v/>
      </c>
      <c r="F27" s="27">
        <f>'Modelo B'!BJ35</f>
        <v/>
      </c>
      <c r="G27" s="27">
        <f>'Modelo B'!BV35</f>
        <v/>
      </c>
      <c r="H27" s="27">
        <f>'Modelo B'!CH35</f>
        <v/>
      </c>
    </row>
    <row r="29">
      <c r="A29" s="4" t="inlineStr">
        <is>
          <t>Indicadores-chave e critérios de corte</t>
        </is>
      </c>
      <c r="B29" s="5" t="n"/>
      <c r="C29" s="5" t="n"/>
      <c r="D29" s="5" t="n"/>
      <c r="E29" s="5" t="n"/>
      <c r="F29" s="5" t="n"/>
      <c r="G29" s="5" t="n"/>
      <c r="H29" s="5" t="n"/>
    </row>
    <row r="30">
      <c r="A30" s="6" t="inlineStr">
        <is>
          <t>Indicador</t>
        </is>
      </c>
      <c r="B30" s="7" t="inlineStr">
        <is>
          <t>Modelo A</t>
        </is>
      </c>
      <c r="C30" s="7" t="inlineStr">
        <is>
          <t>Modelo B</t>
        </is>
      </c>
      <c r="D30" s="7" t="inlineStr">
        <is>
          <t>Critério</t>
        </is>
      </c>
      <c r="E30" s="7" t="inlineStr">
        <is>
          <t>A passa?</t>
        </is>
      </c>
      <c r="F30" s="7" t="inlineStr">
        <is>
          <t>B passa?</t>
        </is>
      </c>
    </row>
    <row r="31">
      <c r="A31" s="3" t="inlineStr">
        <is>
          <t>Receita recorrente anualizada no ano 5</t>
        </is>
      </c>
      <c r="B31" s="26">
        <f>INDEX('Modelo A'!$C$47:$CH$47,1,60)</f>
        <v/>
      </c>
      <c r="C31" s="26">
        <f>INDEX('Modelo B'!$C$41:$CH$41,1,60)</f>
        <v/>
      </c>
    </row>
    <row r="32">
      <c r="A32" s="3" t="inlineStr">
        <is>
          <t>Receita recorrente anualizada no ano 7</t>
        </is>
      </c>
      <c r="B32" s="26">
        <f>INDEX('Modelo A'!$C$47:$CH$47,1,84)</f>
        <v/>
      </c>
      <c r="C32" s="26">
        <f>INDEX('Modelo B'!$C$41:$CH$41,1,84)</f>
        <v/>
      </c>
    </row>
    <row r="33">
      <c r="A33" s="3" t="inlineStr">
        <is>
          <t>Mês de equilíbrio (EBITDA positivo daí em diante)</t>
        </is>
      </c>
      <c r="B33" s="8">
        <f>IFERROR(1/(1/MIN('Modelo A'!$C$75:$CH$75)),"não chega")</f>
        <v/>
      </c>
      <c r="C33" s="8">
        <f>IFERROR(1/(1/MIN('Modelo B'!$C$69:$CH$69)),"não chega")</f>
        <v/>
      </c>
    </row>
    <row r="34">
      <c r="A34" s="3" t="inlineStr">
        <is>
          <t>Capital necessário (pior caixa acumulado)</t>
        </is>
      </c>
      <c r="B34" s="26">
        <f>-MIN(0,MIN('Modelo A'!$C$74:$CH$74))</f>
        <v/>
      </c>
      <c r="C34" s="26">
        <f>-MIN(0,MIN('Modelo B'!$C$68:$CH$68))</f>
        <v/>
      </c>
    </row>
    <row r="35">
      <c r="A35" s="3" t="inlineStr">
        <is>
          <t>Margem bruta no ano 5</t>
        </is>
      </c>
      <c r="B35" s="27">
        <f>SUMIF('Modelo A'!$C$3:$CH$3,5,'Modelo A'!$C$57:$CH$57)/SUMIF('Modelo A'!$C$3:$CH$3,5,'Modelo A'!$C$50:$CH$50)</f>
        <v/>
      </c>
      <c r="C35" s="27">
        <f>SUMIF('Modelo B'!$C$3:$CH$3,5,'Modelo B'!$C$51:$CH$51)/SUMIF('Modelo B'!$C$3:$CH$3,5,'Modelo B'!$C$44:$CH$44)</f>
        <v/>
      </c>
      <c r="D35" s="27">
        <f>Premissas!$F$97</f>
        <v/>
      </c>
      <c r="E35" s="3">
        <f>IF(B35&gt;=Premissas!$F$97,"Sim","Não")</f>
        <v/>
      </c>
      <c r="F35" s="3">
        <f>IF(C35&gt;=Premissas!$F$97,"Sim","Não")</f>
        <v/>
      </c>
    </row>
    <row r="36">
      <c r="A36" s="3" t="inlineStr">
        <is>
          <t>LTV/CAC do plano principal (Consultório / Agenda Cheia), mídia paga</t>
        </is>
      </c>
      <c r="B36" s="11">
        <f>Unidade!H7</f>
        <v/>
      </c>
      <c r="C36" s="11">
        <f>Unidade!H14</f>
        <v/>
      </c>
      <c r="D36" s="11">
        <f>Premissas!$F$98</f>
        <v/>
      </c>
      <c r="E36" s="3">
        <f>IF(B36&gt;=Premissas!$F$98,"Sim","Não")</f>
        <v/>
      </c>
      <c r="F36" s="3">
        <f>IF(C36&gt;=Premissas!$F$98,"Sim","Não")</f>
        <v/>
      </c>
    </row>
    <row r="37">
      <c r="A37" s="3" t="inlineStr">
        <is>
          <t>Recuperação do CAC do plano principal (meses)</t>
        </is>
      </c>
      <c r="B37" s="12">
        <f>Unidade!I7</f>
        <v/>
      </c>
      <c r="C37" s="12">
        <f>Unidade!I14</f>
        <v/>
      </c>
      <c r="D37" s="8">
        <f>Premissas!$F$99</f>
        <v/>
      </c>
      <c r="E37" s="3">
        <f>IF(B37&lt;=Premissas!$F$99,"Sim","Não")</f>
        <v/>
      </c>
      <c r="F37" s="3">
        <f>IF(C37&lt;=Premissas!$F$99,"Sim","Não")</f>
        <v/>
      </c>
    </row>
    <row r="38">
      <c r="A38" s="3" t="inlineStr">
        <is>
          <t>Mês em que a receita anualizada chega a R$ 50 mi</t>
        </is>
      </c>
      <c r="B38" s="8">
        <f>IFERROR(1/(1/MIN('Modelo A'!$C$76:$CH$76)),"não chega")</f>
        <v/>
      </c>
      <c r="C38" s="8">
        <f>IFERROR(1/(1/MIN('Modelo B'!$C$70:$CH$70)),"não chega")</f>
        <v/>
      </c>
    </row>
    <row r="39">
      <c r="A39" s="3" t="inlineStr">
        <is>
          <t>Participação no mercado nesse mês</t>
        </is>
      </c>
      <c r="B39" s="27">
        <f>IF(ISNUMBER(B38),INDEX('Modelo A'!$C$41:$CH$41,1,B38),"")</f>
        <v/>
      </c>
      <c r="C39" s="27">
        <f>IF(ISNUMBER(C38),INDEX('Modelo B'!$C$35:$CH$35,1,C38),"")</f>
        <v/>
      </c>
      <c r="D39" s="27">
        <f>Premissas!$F$101</f>
        <v/>
      </c>
      <c r="E39" s="3">
        <f>IF(ISNUMBER(B39),IF(B39&lt;=Premissas!$F$101,"Sim","Não"),"Não chega a R$ 50 mi")</f>
        <v/>
      </c>
      <c r="F39" s="3">
        <f>IF(ISNUMBER(C39),IF(C39&lt;=Premissas!$F$101,"Sim","Não"),"Não chega a R$ 50 mi")</f>
        <v/>
      </c>
    </row>
    <row r="40">
      <c r="A40" s="3" t="inlineStr">
        <is>
          <t>Receita por pessoa no ano 5</t>
        </is>
      </c>
      <c r="B40" s="26">
        <f>SUMIF('Modelo A'!$C$3:$CH$3,5,'Modelo A'!$C$45:$CH$45)/INDEX('Modelo A'!$C$77:$CH$77,1,60)</f>
        <v/>
      </c>
      <c r="C40" s="26">
        <f>SUMIF('Modelo B'!$C$3:$CH$3,5,'Modelo B'!$C$39:$CH$39)/INDEX('Modelo B'!$C$71:$CH$71,1,60)</f>
        <v/>
      </c>
    </row>
    <row r="41">
      <c r="A41" s="3" t="inlineStr">
        <is>
          <t>Clientes ativos no ano 5</t>
        </is>
      </c>
      <c r="B41" s="8">
        <f>INDEX('Modelo A'!$C$39:$CH$39,1,60)</f>
        <v/>
      </c>
      <c r="C41" s="8">
        <f>INDEX('Modelo B'!$C$33:$CH$33,1,60)</f>
        <v/>
      </c>
    </row>
    <row r="42">
      <c r="A42" s="3" t="inlineStr">
        <is>
          <t>LTV/CAC ponderado pelo mix de novos clientes (mídia paga)</t>
        </is>
      </c>
      <c r="B42" s="11">
        <f>(Premissas!$F$47*Unidade!F6+Premissas!$F$52*Unidade!F7+Premissas!$F$57*Unidade!F8+Premissas!$F$63*Unidade!F9)/Premissas!$F$42</f>
        <v/>
      </c>
      <c r="C42" s="11">
        <f>(Premissas!$F$76*Unidade!F13+Premissas!$F$82*Unidade!F14+Premissas!$F$89*Unidade!F15)/Premissas!$F$70</f>
        <v/>
      </c>
      <c r="D42" s="11">
        <f>Premissas!$F$98</f>
        <v/>
      </c>
      <c r="E42" s="3">
        <f>IF(B42&gt;=Premissas!$F$98,"Sim","Não")</f>
        <v/>
      </c>
      <c r="F42" s="3">
        <f>IF(C42&gt;=Premissas!$F$98,"Sim","Não")</f>
        <v/>
      </c>
    </row>
    <row r="44">
      <c r="A44" s="3" t="inlineStr">
        <is>
          <t>Como ler: H6 exige as três linhas com 'Sim' (margem, LTV/CAC e recuperação do CAC). H7 exige chegar a R$ 50 mi de receita anualizada em até 7 anos com no máximo 3% do mercado endereçável.</t>
        </is>
      </c>
    </row>
    <row r="45">
      <c r="A45" s="3" t="inlineStr">
        <is>
          <t>As abas Cenarios e Sensibilidade são geradas pelo script sensibilidade_v2.py: são valores, não fórmulas. Ao mudar premissas, rode o script de novo.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3" t="inlineStr">
        <is>
          <t>Jalecon v2 · Como usar este modelo</t>
        </is>
      </c>
    </row>
    <row r="2">
      <c r="A2" s="14" t="inlineStr">
        <is>
          <t>Compara dois desenhos de negócio com as mesmas condições de mercado:</t>
        </is>
      </c>
    </row>
    <row r="3">
      <c r="A3" s="15" t="inlineStr">
        <is>
          <t>Modelo A, software por assinatura: o médico usa a plataforma e faz o trabalho com ajuda da IA (planos de R$ 297 a R$ 3.900, como no v0).</t>
        </is>
      </c>
    </row>
    <row r="4">
      <c r="A4" s="15" t="inlineStr">
        <is>
          <t>Modelo B, agência operada por agentes: uma equipe de agentes de IA executa marca, site, Google, conteúdo, anúncios e atendimento no WhatsApp; um especialista humano supervisiona dezenas de contas; parte do preço é cobrada por consulta agendada.</t>
        </is>
      </c>
    </row>
    <row r="5">
      <c r="A5" s="15" t="inlineStr"/>
    </row>
    <row r="6">
      <c r="A6" s="15" t="inlineStr">
        <is>
          <t>Abas: Resumo (comparação e critérios de corte), Leia-me, Unidade (economia por cliente), Premissas (tudo o que pode ser mudado), Modelo A e Modelo B (mês a mês, 84 meses), Cenarios e Sensibilidade (geradas por script).</t>
        </is>
      </c>
    </row>
    <row r="7">
      <c r="A7" s="15" t="inlineStr">
        <is>
          <t>Premissas em azul. Troque o cenário em Premissas!C3. Cada premissa tem a fonte na coluna G; as referências vêm do relatório 03 (mercado e concorrência).</t>
        </is>
      </c>
    </row>
    <row r="8">
      <c r="A8" s="15" t="inlineStr">
        <is>
          <t>O caixa é calculado sem captação: o pior caixa acumulado é o capital necessário até o equilíbrio (sem reserva). A captação recomendada soma 6 meses de reserva a esse valor.</t>
        </is>
      </c>
    </row>
    <row r="9">
      <c r="A9" s="15" t="inlineStr">
        <is>
          <t>Versão 2.1 (20/10/2026): incorpora a contraprova. Impostos de lucro presumido desde o início; churn, CAC e capacidade dos especialistas do Modelo B pela regra pré-registrada; cobrança por consulta desligada (art. 59 do Código de Ética Médica); custos de implantação e de indicação; mídia proporcional à expansão; Agenda Cheia a partir do mês 9.</t>
        </is>
      </c>
    </row>
    <row r="10">
      <c r="A10" s="15" t="inlineStr">
        <is>
          <t>Limitações: churn e CAC ainda são referências de mercado, não medição própria; não há sazonalidade; as consultas atribuídas no Modelo B são suposição a validar em piloto.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cols>
    <col width="58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90" customWidth="1" min="7" max="7"/>
  </cols>
  <sheetData>
    <row r="1">
      <c r="A1" s="1" t="inlineStr">
        <is>
          <t>Jalecon v2 · Premissas</t>
        </is>
      </c>
    </row>
    <row r="2">
      <c r="A2" s="3" t="inlineStr">
        <is>
          <t>Texto azul = premissa editável. A coluna F (Usado) segue o cenário escolhido em C3. A coluna G diz de onde veio cada número.</t>
        </is>
      </c>
    </row>
    <row r="3">
      <c r="A3" s="2" t="inlineStr">
        <is>
          <t>Cenário (1 = Conservador, 2 = Base, 3 = Otimista)</t>
        </is>
      </c>
      <c r="C3" s="16" t="n">
        <v>2</v>
      </c>
      <c r="D3" s="2">
        <f>CHOOSE(C3,"Conservador","Base","Otimista")</f>
        <v/>
      </c>
    </row>
    <row r="6">
      <c r="A6" s="4" t="inlineStr">
        <is>
          <t>1. Gerais</t>
        </is>
      </c>
      <c r="B6" s="5" t="n"/>
      <c r="C6" s="5" t="n"/>
      <c r="D6" s="5" t="n"/>
      <c r="E6" s="5" t="n"/>
      <c r="F6" s="5" t="n"/>
      <c r="G6" s="5" t="n"/>
    </row>
    <row r="7">
      <c r="A7" s="6" t="inlineStr">
        <is>
          <t>Premissa</t>
        </is>
      </c>
      <c r="B7" s="7" t="inlineStr">
        <is>
          <t>Unidade</t>
        </is>
      </c>
      <c r="C7" s="7" t="inlineStr">
        <is>
          <t>Conservador</t>
        </is>
      </c>
      <c r="D7" s="7" t="inlineStr">
        <is>
          <t>Base</t>
        </is>
      </c>
      <c r="E7" s="7" t="inlineStr">
        <is>
          <t>Otimista</t>
        </is>
      </c>
      <c r="F7" s="7" t="inlineStr">
        <is>
          <t>Usado</t>
        </is>
      </c>
      <c r="G7" s="7" t="inlineStr">
        <is>
          <t>Fonte ou justificativa</t>
        </is>
      </c>
    </row>
    <row r="8">
      <c r="A8" s="3" t="inlineStr">
        <is>
          <t>Mês de lançamento comercial (antes: produto e piloto)</t>
        </is>
      </c>
      <c r="B8" s="3" t="inlineStr">
        <is>
          <t>mês</t>
        </is>
      </c>
      <c r="C8" s="17" t="n">
        <v>5</v>
      </c>
      <c r="D8" s="17" t="n">
        <v>4</v>
      </c>
      <c r="E8" s="17" t="n">
        <v>4</v>
      </c>
      <c r="F8" s="8">
        <f>CHOOSE($C$3,C8,D8,E8)</f>
        <v/>
      </c>
      <c r="G8" s="3" t="inlineStr">
        <is>
          <t>Plano v0: 3 meses de piloto antes da venda</t>
        </is>
      </c>
    </row>
    <row r="9">
      <c r="A9" s="3" t="inlineStr">
        <is>
          <t>Impostos sobre a receita até R$ 4,8 mi nos últimos 12 meses</t>
        </is>
      </c>
      <c r="B9" s="3" t="inlineStr">
        <is>
          <t>%</t>
        </is>
      </c>
      <c r="C9" s="28" t="n">
        <v>0.163</v>
      </c>
      <c r="D9" s="28" t="n">
        <v>0.163</v>
      </c>
      <c r="E9" s="28" t="n">
        <v>0.163</v>
      </c>
      <c r="F9" s="27">
        <f>CHOOSE($C$3,C9,D9,E9)</f>
        <v/>
      </c>
      <c r="G9" s="3" t="inlineStr">
        <is>
          <t>v2.1: lucro presumido desde o início. O Simples não admite sócio pessoa jurídica, o que impede investidor institucional (contraprova)</t>
        </is>
      </c>
    </row>
    <row r="10">
      <c r="A10" s="3" t="inlineStr">
        <is>
          <t>Impostos sobre a receita acima de R$ 4,8 mi nos últimos 12 meses</t>
        </is>
      </c>
      <c r="B10" s="3" t="inlineStr">
        <is>
          <t>%</t>
        </is>
      </c>
      <c r="C10" s="28" t="n">
        <v>0.163</v>
      </c>
      <c r="D10" s="28" t="n">
        <v>0.163</v>
      </c>
      <c r="E10" s="28" t="n">
        <v>0.163</v>
      </c>
      <c r="F10" s="27">
        <f>CHOOSE($C$3,C10,D10,E10)</f>
        <v/>
      </c>
      <c r="G10" s="3" t="inlineStr">
        <is>
          <t>Lucro presumido para serviços: PIS, COFINS, ISS, IRPJ e CSLL (aprox.)</t>
        </is>
      </c>
    </row>
    <row r="11">
      <c r="A11" s="3" t="inlineStr">
        <is>
          <t>Meios de pagamento</t>
        </is>
      </c>
      <c r="B11" s="3" t="inlineStr">
        <is>
          <t>% da receita</t>
        </is>
      </c>
      <c r="C11" s="28" t="n">
        <v>0.03</v>
      </c>
      <c r="D11" s="28" t="n">
        <v>0.03</v>
      </c>
      <c r="E11" s="28" t="n">
        <v>0.03</v>
      </c>
      <c r="F11" s="27">
        <f>CHOOSE($C$3,C11,D11,E11)</f>
        <v/>
      </c>
      <c r="G11" s="3" t="inlineStr">
        <is>
          <t>Cartão e boleto recorrentes</t>
        </is>
      </c>
    </row>
    <row r="12">
      <c r="A12" s="3" t="inlineStr">
        <is>
          <t>Mercado endereçável: médicos que dependem de atrair pacientes particulares</t>
        </is>
      </c>
      <c r="B12" s="3" t="inlineStr">
        <is>
          <t>médicos</t>
        </is>
      </c>
      <c r="C12" s="17" t="n">
        <v>115000</v>
      </c>
      <c r="D12" s="17" t="n">
        <v>150000</v>
      </c>
      <c r="E12" s="17" t="n">
        <v>230000</v>
      </c>
      <c r="F12" s="8">
        <f>CHOOSE($C$3,C12,D12,E12)</f>
        <v/>
      </c>
      <c r="G12" s="3" t="inlineStr">
        <is>
          <t>Relatório 03, seção 1: 635,7 mil médicos × 48% em consultório × 50% dependem de pacientes particulares</t>
        </is>
      </c>
    </row>
    <row r="13">
      <c r="A13" s="3" t="inlineStr">
        <is>
          <t>Expansão para dentistas: mês de início</t>
        </is>
      </c>
      <c r="B13" s="3" t="inlineStr">
        <is>
          <t>mês</t>
        </is>
      </c>
      <c r="C13" s="17" t="n">
        <v>37</v>
      </c>
      <c r="D13" s="17" t="n">
        <v>25</v>
      </c>
      <c r="E13" s="17" t="n">
        <v>25</v>
      </c>
      <c r="F13" s="8">
        <f>CHOOSE($C$3,C13,D13,E13)</f>
        <v/>
      </c>
      <c r="G13" s="3" t="inlineStr">
        <is>
          <t>Decisão; exige base de regras do CFO 196/2019 e produto adaptado</t>
        </is>
      </c>
    </row>
    <row r="14">
      <c r="A14" s="3" t="inlineStr">
        <is>
          <t>Expansão: aquisição adicional sobre a de médicos</t>
        </is>
      </c>
      <c r="B14" s="3" t="inlineStr">
        <is>
          <t>%</t>
        </is>
      </c>
      <c r="C14" s="28" t="n">
        <v>0.4</v>
      </c>
      <c r="D14" s="28" t="n">
        <v>0.7</v>
      </c>
      <c r="E14" s="28" t="n">
        <v>1</v>
      </c>
      <c r="F14" s="27">
        <f>CHOOSE($C$3,C14,D14,E14)</f>
        <v/>
      </c>
      <c r="G14" s="3" t="inlineStr">
        <is>
          <t>Dentistas: mais de 450 mil e quase só atendimento particular (CFO, fonte secundária). Concorrência já presente (Sorriai)</t>
        </is>
      </c>
    </row>
    <row r="15">
      <c r="A15" s="3" t="inlineStr">
        <is>
          <t>Mercado endereçável: dentistas</t>
        </is>
      </c>
      <c r="B15" s="3" t="inlineStr">
        <is>
          <t>dentistas</t>
        </is>
      </c>
      <c r="C15" s="17" t="n">
        <v>120000</v>
      </c>
      <c r="D15" s="17" t="n">
        <v>180000</v>
      </c>
      <c r="E15" s="17" t="n">
        <v>225000</v>
      </c>
      <c r="F15" s="8">
        <f>CHOOSE($C$3,C15,D15,E15)</f>
        <v/>
      </c>
      <c r="G15" s="3" t="inlineStr">
        <is>
          <t>450 mil × 40% a 50% com consultório próprio e dependentes de pacientes particulares (suposição)</t>
        </is>
      </c>
    </row>
    <row r="16">
      <c r="A16" s="3" t="inlineStr">
        <is>
          <t>Custo único da expansão (regras, produto, jurídico)</t>
        </is>
      </c>
      <c r="B16" s="3" t="inlineStr">
        <is>
          <t>R$</t>
        </is>
      </c>
      <c r="C16" s="29" t="n">
        <v>400000</v>
      </c>
      <c r="D16" s="29" t="n">
        <v>300000</v>
      </c>
      <c r="E16" s="29" t="n">
        <v>200000</v>
      </c>
      <c r="F16" s="26">
        <f>CHOOSE($C$3,C16,D16,E16)</f>
        <v/>
      </c>
      <c r="G16" s="3" t="inlineStr">
        <is>
          <t>Estimativa</t>
        </is>
      </c>
    </row>
    <row r="17">
      <c r="A17" s="3" t="inlineStr">
        <is>
          <t>Indicação: novos clientes por mês, como % da base ativa</t>
        </is>
      </c>
      <c r="B17" s="3" t="inlineStr">
        <is>
          <t>%</t>
        </is>
      </c>
      <c r="C17" s="28" t="n">
        <v>0.005</v>
      </c>
      <c r="D17" s="28" t="n">
        <v>0.01</v>
      </c>
      <c r="E17" s="28" t="n">
        <v>0.015</v>
      </c>
      <c r="F17" s="27">
        <f>CHOOSE($C$3,C17,D17,E17)</f>
        <v/>
      </c>
      <c r="G17" s="3" t="inlineStr">
        <is>
          <t>Programa de indicação; v0 usava 1%</t>
        </is>
      </c>
    </row>
    <row r="18">
      <c r="A18" s="3" t="inlineStr">
        <is>
          <t>Parcerias: multiplicador sobre o plano de parcerias</t>
        </is>
      </c>
      <c r="B18" s="3" t="inlineStr">
        <is>
          <t>x</t>
        </is>
      </c>
      <c r="C18" s="20" t="n">
        <v>0.6</v>
      </c>
      <c r="D18" s="20" t="n">
        <v>1</v>
      </c>
      <c r="E18" s="20" t="n">
        <v>1.3</v>
      </c>
      <c r="F18" s="11">
        <f>CHOOSE($C$3,C18,D18,E18)</f>
        <v/>
      </c>
      <c r="G18" s="3" t="inlineStr">
        <is>
          <t>Residências, sociedades, contadores, coworkings, clube de benefícios da iClinic</t>
        </is>
      </c>
    </row>
    <row r="20">
      <c r="A20" s="4" t="inlineStr">
        <is>
          <t>2. Decisões por ano (iguais nos dois modelos e nos três cenários)</t>
        </is>
      </c>
      <c r="B20" s="5" t="n"/>
      <c r="C20" s="5" t="n"/>
      <c r="D20" s="5" t="n"/>
      <c r="E20" s="5" t="n"/>
      <c r="F20" s="5" t="n"/>
      <c r="G20" s="5" t="n"/>
    </row>
    <row r="21">
      <c r="A21" s="6" t="inlineStr"/>
      <c r="B21" s="7" t="inlineStr"/>
      <c r="C21" s="7" t="inlineStr">
        <is>
          <t>Ano 1</t>
        </is>
      </c>
      <c r="D21" s="7" t="inlineStr">
        <is>
          <t>Ano 2</t>
        </is>
      </c>
      <c r="E21" s="7" t="inlineStr">
        <is>
          <t>Ano 3</t>
        </is>
      </c>
      <c r="F21" s="7" t="inlineStr">
        <is>
          <t>Ano 4</t>
        </is>
      </c>
      <c r="G21" s="7" t="inlineStr">
        <is>
          <t>Ano 5</t>
        </is>
      </c>
      <c r="H21" s="7" t="inlineStr">
        <is>
          <t>Ano 6</t>
        </is>
      </c>
      <c r="I21" s="7" t="inlineStr">
        <is>
          <t>Ano 7</t>
        </is>
      </c>
      <c r="J21" s="7" t="inlineStr">
        <is>
          <t>Fonte</t>
        </is>
      </c>
    </row>
    <row r="22">
      <c r="A22" s="3" t="inlineStr">
        <is>
          <t>Orçamento de mídia paga por mês</t>
        </is>
      </c>
      <c r="B22" s="3" t="inlineStr">
        <is>
          <t>R$</t>
        </is>
      </c>
      <c r="C22" s="29" t="n">
        <v>20000</v>
      </c>
      <c r="D22" s="29" t="n">
        <v>50000</v>
      </c>
      <c r="E22" s="29" t="n">
        <v>100000</v>
      </c>
      <c r="F22" s="29" t="n">
        <v>160000</v>
      </c>
      <c r="G22" s="29" t="n">
        <v>220000</v>
      </c>
      <c r="H22" s="29" t="n">
        <v>280000</v>
      </c>
      <c r="I22" s="29" t="n">
        <v>340000</v>
      </c>
      <c r="J22" s="3" t="inlineStr">
        <is>
          <t>Decisão de investimento</t>
        </is>
      </c>
    </row>
    <row r="23">
      <c r="A23" s="3" t="inlineStr">
        <is>
          <t>Novos clientes por parcerias por mês (antes do multiplicador)</t>
        </is>
      </c>
      <c r="B23" s="3" t="inlineStr">
        <is>
          <t>clientes</t>
        </is>
      </c>
      <c r="C23" s="17" t="n">
        <v>4</v>
      </c>
      <c r="D23" s="17" t="n">
        <v>10</v>
      </c>
      <c r="E23" s="17" t="n">
        <v>18</v>
      </c>
      <c r="F23" s="17" t="n">
        <v>26</v>
      </c>
      <c r="G23" s="17" t="n">
        <v>34</v>
      </c>
      <c r="H23" s="17" t="n">
        <v>42</v>
      </c>
      <c r="I23" s="17" t="n">
        <v>50</v>
      </c>
      <c r="J23" s="3" t="inlineStr">
        <is>
          <t>Plano v0, ampliado</t>
        </is>
      </c>
    </row>
    <row r="24">
      <c r="A24" s="3" t="inlineStr">
        <is>
          <t>Produto, engenharia e IA (pessoas)</t>
        </is>
      </c>
      <c r="B24" s="3" t="inlineStr">
        <is>
          <t>pessoas</t>
        </is>
      </c>
      <c r="C24" s="17" t="n">
        <v>4</v>
      </c>
      <c r="D24" s="17" t="n">
        <v>7</v>
      </c>
      <c r="E24" s="17" t="n">
        <v>10</v>
      </c>
      <c r="F24" s="17" t="n">
        <v>13</v>
      </c>
      <c r="G24" s="17" t="n">
        <v>16</v>
      </c>
      <c r="H24" s="17" t="n">
        <v>18</v>
      </c>
      <c r="I24" s="17" t="n">
        <v>20</v>
      </c>
      <c r="J24" s="3" t="inlineStr">
        <is>
          <t>Plano de contratação</t>
        </is>
      </c>
    </row>
    <row r="25">
      <c r="A25" s="3" t="inlineStr">
        <is>
          <t>Administrativo, jurídico e conformidade (pessoas)</t>
        </is>
      </c>
      <c r="B25" s="3" t="inlineStr">
        <is>
          <t>pessoas</t>
        </is>
      </c>
      <c r="C25" s="17" t="n">
        <v>1</v>
      </c>
      <c r="D25" s="17" t="n">
        <v>2</v>
      </c>
      <c r="E25" s="17" t="n">
        <v>4</v>
      </c>
      <c r="F25" s="17" t="n">
        <v>6</v>
      </c>
      <c r="G25" s="17" t="n">
        <v>8</v>
      </c>
      <c r="H25" s="17" t="n">
        <v>9</v>
      </c>
      <c r="I25" s="17" t="n">
        <v>10</v>
      </c>
      <c r="J25" s="3" t="inlineStr">
        <is>
          <t>Plano de contratação</t>
        </is>
      </c>
    </row>
    <row r="26">
      <c r="A26" s="3" t="inlineStr">
        <is>
          <t>Pró-labore por fundador por mês</t>
        </is>
      </c>
      <c r="B26" s="3" t="inlineStr">
        <is>
          <t>R$</t>
        </is>
      </c>
      <c r="C26" s="29" t="n">
        <v>5000</v>
      </c>
      <c r="D26" s="29" t="n">
        <v>10000</v>
      </c>
      <c r="E26" s="29" t="n">
        <v>15000</v>
      </c>
      <c r="F26" s="29" t="n">
        <v>15000</v>
      </c>
      <c r="G26" s="29" t="n">
        <v>18000</v>
      </c>
      <c r="H26" s="29" t="n">
        <v>18000</v>
      </c>
      <c r="I26" s="29" t="n">
        <v>20000</v>
      </c>
      <c r="J26" s="3" t="inlineStr">
        <is>
          <t>Plano v0 (6 fundadores)</t>
        </is>
      </c>
    </row>
    <row r="27">
      <c r="A27" s="3" t="inlineStr">
        <is>
          <t>Modelo A: vendas e marketing (pessoas)</t>
        </is>
      </c>
      <c r="B27" s="3" t="inlineStr">
        <is>
          <t>pessoas</t>
        </is>
      </c>
      <c r="C27" s="17" t="n">
        <v>2</v>
      </c>
      <c r="D27" s="17" t="n">
        <v>4</v>
      </c>
      <c r="E27" s="17" t="n">
        <v>7</v>
      </c>
      <c r="F27" s="17" t="n">
        <v>10</v>
      </c>
      <c r="G27" s="17" t="n">
        <v>13</v>
      </c>
      <c r="H27" s="17" t="n">
        <v>15</v>
      </c>
      <c r="I27" s="17" t="n">
        <v>17</v>
      </c>
      <c r="J27" s="3" t="inlineStr">
        <is>
          <t>Venda por autosserviço e inside sales</t>
        </is>
      </c>
    </row>
    <row r="28">
      <c r="A28" s="3" t="inlineStr">
        <is>
          <t>Modelo B: vendas e marketing (pessoas)</t>
        </is>
      </c>
      <c r="B28" s="3" t="inlineStr">
        <is>
          <t>pessoas</t>
        </is>
      </c>
      <c r="C28" s="17" t="n">
        <v>3</v>
      </c>
      <c r="D28" s="17" t="n">
        <v>6</v>
      </c>
      <c r="E28" s="17" t="n">
        <v>10</v>
      </c>
      <c r="F28" s="17" t="n">
        <v>15</v>
      </c>
      <c r="G28" s="17" t="n">
        <v>20</v>
      </c>
      <c r="H28" s="17" t="n">
        <v>24</v>
      </c>
      <c r="I28" s="17" t="n">
        <v>28</v>
      </c>
      <c r="J28" s="3" t="inlineStr">
        <is>
          <t>Venda consultiva: ticket maior pede mais gente</t>
        </is>
      </c>
    </row>
    <row r="30">
      <c r="A30" s="4" t="inlineStr">
        <is>
          <t>3. Custos de pessoas e despesas gerais</t>
        </is>
      </c>
      <c r="B30" s="5" t="n"/>
      <c r="C30" s="5" t="n"/>
      <c r="D30" s="5" t="n"/>
      <c r="E30" s="5" t="n"/>
      <c r="F30" s="5" t="n"/>
      <c r="G30" s="5" t="n"/>
    </row>
    <row r="31">
      <c r="A31" s="6" t="inlineStr">
        <is>
          <t>Premissa</t>
        </is>
      </c>
      <c r="B31" s="7" t="inlineStr">
        <is>
          <t>Unidade</t>
        </is>
      </c>
      <c r="C31" s="7" t="inlineStr">
        <is>
          <t>Conservador</t>
        </is>
      </c>
      <c r="D31" s="7" t="inlineStr">
        <is>
          <t>Base</t>
        </is>
      </c>
      <c r="E31" s="7" t="inlineStr">
        <is>
          <t>Otimista</t>
        </is>
      </c>
      <c r="F31" s="7" t="inlineStr">
        <is>
          <t>Usado</t>
        </is>
      </c>
      <c r="G31" s="7" t="inlineStr">
        <is>
          <t>Fonte ou justificativa</t>
        </is>
      </c>
    </row>
    <row r="32">
      <c r="A32" s="3" t="inlineStr">
        <is>
          <t>Custo mensal por pessoa de produto e engenharia (com encargos)</t>
        </is>
      </c>
      <c r="B32" s="3" t="inlineStr">
        <is>
          <t>R$</t>
        </is>
      </c>
      <c r="C32" s="29" t="n">
        <v>20000</v>
      </c>
      <c r="D32" s="29" t="n">
        <v>18000</v>
      </c>
      <c r="E32" s="29" t="n">
        <v>16000</v>
      </c>
      <c r="F32" s="26">
        <f>CHOOSE($C$3,C32,D32,E32)</f>
        <v/>
      </c>
      <c r="G32" s="3" t="inlineStr">
        <is>
          <t>Mercado de São Paulo, pleno e sênior</t>
        </is>
      </c>
    </row>
    <row r="33">
      <c r="A33" s="3" t="inlineStr">
        <is>
          <t>Custo mensal por pessoa de vendas e marketing</t>
        </is>
      </c>
      <c r="B33" s="3" t="inlineStr">
        <is>
          <t>R$</t>
        </is>
      </c>
      <c r="C33" s="29" t="n">
        <v>11000</v>
      </c>
      <c r="D33" s="29" t="n">
        <v>10000</v>
      </c>
      <c r="E33" s="29" t="n">
        <v>9000</v>
      </c>
      <c r="F33" s="26">
        <f>CHOOSE($C$3,C33,D33,E33)</f>
        <v/>
      </c>
      <c r="G33" s="3" t="inlineStr">
        <is>
          <t>Mercado de São Paulo, com comissão média</t>
        </is>
      </c>
    </row>
    <row r="34">
      <c r="A34" s="3" t="inlineStr">
        <is>
          <t>Custo mensal por pessoa administrativa e jurídica</t>
        </is>
      </c>
      <c r="B34" s="3" t="inlineStr">
        <is>
          <t>R$</t>
        </is>
      </c>
      <c r="C34" s="29" t="n">
        <v>13000</v>
      </c>
      <c r="D34" s="29" t="n">
        <v>12000</v>
      </c>
      <c r="E34" s="29" t="n">
        <v>11000</v>
      </c>
      <c r="F34" s="26">
        <f>CHOOSE($C$3,C34,D34,E34)</f>
        <v/>
      </c>
      <c r="G34" s="3" t="inlineStr">
        <is>
          <t>Mercado de São Paulo</t>
        </is>
      </c>
    </row>
    <row r="35">
      <c r="A35" s="3" t="inlineStr">
        <is>
          <t>Número de fundadores</t>
        </is>
      </c>
      <c r="B35" s="3" t="inlineStr">
        <is>
          <t>pessoas</t>
        </is>
      </c>
      <c r="C35" s="17" t="n">
        <v>6</v>
      </c>
      <c r="D35" s="17" t="n">
        <v>6</v>
      </c>
      <c r="E35" s="17" t="n">
        <v>6</v>
      </c>
      <c r="F35" s="8">
        <f>CHOOSE($C$3,C35,D35,E35)</f>
        <v/>
      </c>
      <c r="G35" s="3" t="inlineStr">
        <is>
          <t>Grupo 1</t>
        </is>
      </c>
    </row>
    <row r="36">
      <c r="A36" s="3" t="inlineStr">
        <is>
          <t>Outras despesas fixas por mês (ferramentas, jurídico, contabilidade)</t>
        </is>
      </c>
      <c r="B36" s="3" t="inlineStr">
        <is>
          <t>R$</t>
        </is>
      </c>
      <c r="C36" s="29" t="n">
        <v>20000</v>
      </c>
      <c r="D36" s="29" t="n">
        <v>15000</v>
      </c>
      <c r="E36" s="29" t="n">
        <v>12000</v>
      </c>
      <c r="F36" s="26">
        <f>CHOOSE($C$3,C36,D36,E36)</f>
        <v/>
      </c>
      <c r="G36" s="3" t="inlineStr">
        <is>
          <t>Estimativa</t>
        </is>
      </c>
    </row>
    <row r="37">
      <c r="A37" s="3" t="inlineStr">
        <is>
          <t>Outras despesas variáveis</t>
        </is>
      </c>
      <c r="B37" s="3" t="inlineStr">
        <is>
          <t>% da receita</t>
        </is>
      </c>
      <c r="C37" s="28" t="n">
        <v>0.04</v>
      </c>
      <c r="D37" s="28" t="n">
        <v>0.03</v>
      </c>
      <c r="E37" s="28" t="n">
        <v>0.025</v>
      </c>
      <c r="F37" s="27">
        <f>CHOOSE($C$3,C37,D37,E37)</f>
        <v/>
      </c>
      <c r="G37" s="3" t="inlineStr">
        <is>
          <t>Estimativa</t>
        </is>
      </c>
    </row>
    <row r="38">
      <c r="A38" s="3" t="inlineStr">
        <is>
          <t>Marca, eventos e conteúdo próprio</t>
        </is>
      </c>
      <c r="B38" s="3" t="inlineStr">
        <is>
          <t>% da mídia</t>
        </is>
      </c>
      <c r="C38" s="28" t="n">
        <v>0.08</v>
      </c>
      <c r="D38" s="28" t="n">
        <v>0.05</v>
      </c>
      <c r="E38" s="28" t="n">
        <v>0.05</v>
      </c>
      <c r="F38" s="27">
        <f>CHOOSE($C$3,C38,D38,E38)</f>
        <v/>
      </c>
      <c r="G38" s="3" t="inlineStr">
        <is>
          <t>Congressos e conteúdo sobre regras do CFM</t>
        </is>
      </c>
    </row>
    <row r="40">
      <c r="A40" s="4" t="inlineStr">
        <is>
          <t>4. Modelo A: software por assinatura</t>
        </is>
      </c>
      <c r="B40" s="5" t="n"/>
      <c r="C40" s="5" t="n"/>
      <c r="D40" s="5" t="n"/>
      <c r="E40" s="5" t="n"/>
      <c r="F40" s="5" t="n"/>
      <c r="G40" s="5" t="n"/>
    </row>
    <row r="41">
      <c r="A41" s="6" t="inlineStr">
        <is>
          <t>Premissa</t>
        </is>
      </c>
      <c r="B41" s="7" t="inlineStr">
        <is>
          <t>Unidade</t>
        </is>
      </c>
      <c r="C41" s="7" t="inlineStr">
        <is>
          <t>Conservador</t>
        </is>
      </c>
      <c r="D41" s="7" t="inlineStr">
        <is>
          <t>Base</t>
        </is>
      </c>
      <c r="E41" s="7" t="inlineStr">
        <is>
          <t>Otimista</t>
        </is>
      </c>
      <c r="F41" s="7" t="inlineStr">
        <is>
          <t>Usado</t>
        </is>
      </c>
      <c r="G41" s="7" t="inlineStr">
        <is>
          <t>Fonte ou justificativa</t>
        </is>
      </c>
    </row>
    <row r="42">
      <c r="A42" s="3" t="inlineStr">
        <is>
          <t>CAC na mídia paga</t>
        </is>
      </c>
      <c r="B42" s="3" t="inlineStr">
        <is>
          <t>R$</t>
        </is>
      </c>
      <c r="C42" s="29" t="n">
        <v>6000</v>
      </c>
      <c r="D42" s="29" t="n">
        <v>4500</v>
      </c>
      <c r="E42" s="29" t="n">
        <v>3000</v>
      </c>
      <c r="F42" s="26">
        <f>CHOOSE($C$3,C42,D42,E42)</f>
        <v/>
      </c>
      <c r="G42" s="3" t="inlineStr">
        <is>
          <t>Relatório 03, seção 4: recuperação do CAC em 8 a 11 meses equivale a R$ 4.500 a R$ 6.100; v0 usava R$ 1.800</t>
        </is>
      </c>
    </row>
    <row r="43">
      <c r="A43" s="3" t="inlineStr">
        <is>
          <t>Custo por cliente vindo de parceria (comissão)</t>
        </is>
      </c>
      <c r="B43" s="3" t="inlineStr">
        <is>
          <t>R$</t>
        </is>
      </c>
      <c r="C43" s="29" t="n">
        <v>1800</v>
      </c>
      <c r="D43" s="29" t="n">
        <v>1500</v>
      </c>
      <c r="E43" s="29" t="n">
        <v>1200</v>
      </c>
      <c r="F43" s="26">
        <f>CHOOSE($C$3,C43,D43,E43)</f>
        <v/>
      </c>
      <c r="G43" s="3" t="inlineStr">
        <is>
          <t>Comissão de cerca de 2 mensalidades</t>
        </is>
      </c>
    </row>
    <row r="44">
      <c r="A44" s="3" t="inlineStr">
        <is>
          <t>Custo mensal do gestor de conta (com encargos)</t>
        </is>
      </c>
      <c r="B44" s="3" t="inlineStr">
        <is>
          <t>R$</t>
        </is>
      </c>
      <c r="C44" s="29" t="n">
        <v>9500</v>
      </c>
      <c r="D44" s="29" t="n">
        <v>9000</v>
      </c>
      <c r="E44" s="29" t="n">
        <v>8500</v>
      </c>
      <c r="F44" s="26">
        <f>CHOOSE($C$3,C44,D44,E44)</f>
        <v/>
      </c>
      <c r="G44" s="3" t="inlineStr">
        <is>
          <t>Mercado</t>
        </is>
      </c>
    </row>
    <row r="45">
      <c r="A45" s="3" t="inlineStr">
        <is>
          <t>Essencial: preço mensal</t>
        </is>
      </c>
      <c r="B45" s="3" t="inlineStr">
        <is>
          <t>R$</t>
        </is>
      </c>
      <c r="C45" s="29" t="n">
        <v>297</v>
      </c>
      <c r="D45" s="29" t="n">
        <v>297</v>
      </c>
      <c r="E45" s="29" t="n">
        <v>297</v>
      </c>
      <c r="F45" s="26">
        <f>CHOOSE($C$3,C45,D45,E45)</f>
        <v/>
      </c>
      <c r="G45" s="3" t="inlineStr">
        <is>
          <t>Plano v0</t>
        </is>
      </c>
    </row>
    <row r="46">
      <c r="A46" s="3" t="inlineStr">
        <is>
          <t>Essencial: taxa de implantação</t>
        </is>
      </c>
      <c r="B46" s="3" t="inlineStr">
        <is>
          <t>R$</t>
        </is>
      </c>
      <c r="C46" s="29" t="n">
        <v>0</v>
      </c>
      <c r="D46" s="29" t="n">
        <v>0</v>
      </c>
      <c r="E46" s="29" t="n">
        <v>0</v>
      </c>
      <c r="F46" s="26">
        <f>CHOOSE($C$3,C46,D46,E46)</f>
        <v/>
      </c>
      <c r="G46" s="3" t="inlineStr">
        <is>
          <t>Plano v0</t>
        </is>
      </c>
    </row>
    <row r="47">
      <c r="A47" s="3" t="inlineStr">
        <is>
          <t>Essencial: participação nos novos clientes</t>
        </is>
      </c>
      <c r="B47" s="3" t="inlineStr">
        <is>
          <t>%</t>
        </is>
      </c>
      <c r="C47" s="28" t="n">
        <v>0.4</v>
      </c>
      <c r="D47" s="28" t="n">
        <v>0.4</v>
      </c>
      <c r="E47" s="28" t="n">
        <v>0.35</v>
      </c>
      <c r="F47" s="27">
        <f>CHOOSE($C$3,C47,D47,E47)</f>
        <v/>
      </c>
      <c r="G47" s="3" t="inlineStr">
        <is>
          <t>Plano v0, ajustado</t>
        </is>
      </c>
    </row>
    <row r="48">
      <c r="A48" s="3" t="inlineStr">
        <is>
          <t>Essencial: churn mensal</t>
        </is>
      </c>
      <c r="B48" s="3" t="inlineStr">
        <is>
          <t>%</t>
        </is>
      </c>
      <c r="C48" s="28" t="n">
        <v>0.09</v>
      </c>
      <c r="D48" s="28" t="n">
        <v>0.07000000000000001</v>
      </c>
      <c r="E48" s="28" t="n">
        <v>0.055</v>
      </c>
      <c r="F48" s="27">
        <f>CHOOSE($C$3,C48,D48,E48)</f>
        <v/>
      </c>
      <c r="G48" s="3" t="inlineStr">
        <is>
          <t>Relatório 03, seção 4: referências de 4% a 7% (até 9% abaixo de US$ 100) para software de pequena empresa</t>
        </is>
      </c>
    </row>
    <row r="49">
      <c r="A49" s="3" t="inlineStr">
        <is>
          <t>Essencial: custo direto por conta por mês (IA, infraestrutura)</t>
        </is>
      </c>
      <c r="B49" s="3" t="inlineStr">
        <is>
          <t>R$</t>
        </is>
      </c>
      <c r="C49" s="29" t="n">
        <v>32</v>
      </c>
      <c r="D49" s="29" t="n">
        <v>25</v>
      </c>
      <c r="E49" s="29" t="n">
        <v>20</v>
      </c>
      <c r="F49" s="26">
        <f>CHOOSE($C$3,C49,D49,E49)</f>
        <v/>
      </c>
      <c r="G49" s="3" t="inlineStr">
        <is>
          <t>IA (Claude), imagens, hospedagem e publicação; v0 estimava de US$ 4 a US$ 45 por conta</t>
        </is>
      </c>
    </row>
    <row r="50">
      <c r="A50" s="3" t="inlineStr">
        <is>
          <t>Consultório: preço mensal</t>
        </is>
      </c>
      <c r="B50" s="3" t="inlineStr">
        <is>
          <t>R$</t>
        </is>
      </c>
      <c r="C50" s="29" t="n">
        <v>697</v>
      </c>
      <c r="D50" s="29" t="n">
        <v>697</v>
      </c>
      <c r="E50" s="29" t="n">
        <v>697</v>
      </c>
      <c r="F50" s="26">
        <f>CHOOSE($C$3,C50,D50,E50)</f>
        <v/>
      </c>
      <c r="G50" s="3" t="inlineStr">
        <is>
          <t>Plano v0</t>
        </is>
      </c>
    </row>
    <row r="51">
      <c r="A51" s="3" t="inlineStr">
        <is>
          <t>Consultório: taxa de implantação</t>
        </is>
      </c>
      <c r="B51" s="3" t="inlineStr">
        <is>
          <t>R$</t>
        </is>
      </c>
      <c r="C51" s="29" t="n">
        <v>490</v>
      </c>
      <c r="D51" s="29" t="n">
        <v>490</v>
      </c>
      <c r="E51" s="29" t="n">
        <v>490</v>
      </c>
      <c r="F51" s="26">
        <f>CHOOSE($C$3,C51,D51,E51)</f>
        <v/>
      </c>
      <c r="G51" s="3" t="inlineStr">
        <is>
          <t>Plano v0</t>
        </is>
      </c>
    </row>
    <row r="52">
      <c r="A52" s="3" t="inlineStr">
        <is>
          <t>Consultório: participação nos novos clientes</t>
        </is>
      </c>
      <c r="B52" s="3" t="inlineStr">
        <is>
          <t>%</t>
        </is>
      </c>
      <c r="C52" s="28" t="n">
        <v>0.45</v>
      </c>
      <c r="D52" s="28" t="n">
        <v>0.45</v>
      </c>
      <c r="E52" s="28" t="n">
        <v>0.45</v>
      </c>
      <c r="F52" s="27">
        <f>CHOOSE($C$3,C52,D52,E52)</f>
        <v/>
      </c>
      <c r="G52" s="3" t="inlineStr">
        <is>
          <t>Plano v0, ajustado</t>
        </is>
      </c>
    </row>
    <row r="53">
      <c r="A53" s="3" t="inlineStr">
        <is>
          <t>Consultório: churn mensal</t>
        </is>
      </c>
      <c r="B53" s="3" t="inlineStr">
        <is>
          <t>%</t>
        </is>
      </c>
      <c r="C53" s="28" t="n">
        <v>0.07000000000000001</v>
      </c>
      <c r="D53" s="28" t="n">
        <v>0.055</v>
      </c>
      <c r="E53" s="28" t="n">
        <v>0.04</v>
      </c>
      <c r="F53" s="27">
        <f>CHOOSE($C$3,C53,D53,E53)</f>
        <v/>
      </c>
      <c r="G53" s="3" t="inlineStr">
        <is>
          <t>Relatório 03, seção 4: referências de 4% a 7% (até 9% abaixo de US$ 100) para software de pequena empresa</t>
        </is>
      </c>
    </row>
    <row r="54">
      <c r="A54" s="3" t="inlineStr">
        <is>
          <t>Consultório: custo direto por conta por mês (IA, infraestrutura)</t>
        </is>
      </c>
      <c r="B54" s="3" t="inlineStr">
        <is>
          <t>R$</t>
        </is>
      </c>
      <c r="C54" s="29" t="n">
        <v>65</v>
      </c>
      <c r="D54" s="29" t="n">
        <v>50</v>
      </c>
      <c r="E54" s="29" t="n">
        <v>40</v>
      </c>
      <c r="F54" s="26">
        <f>CHOOSE($C$3,C54,D54,E54)</f>
        <v/>
      </c>
      <c r="G54" s="3" t="inlineStr">
        <is>
          <t>IA (Claude), imagens, hospedagem e publicação; v0 estimava de US$ 4 a US$ 45 por conta</t>
        </is>
      </c>
    </row>
    <row r="55">
      <c r="A55" s="3" t="inlineStr">
        <is>
          <t>Autoridade: preço mensal</t>
        </is>
      </c>
      <c r="B55" s="3" t="inlineStr">
        <is>
          <t>R$</t>
        </is>
      </c>
      <c r="C55" s="29" t="n">
        <v>1497</v>
      </c>
      <c r="D55" s="29" t="n">
        <v>1497</v>
      </c>
      <c r="E55" s="29" t="n">
        <v>1497</v>
      </c>
      <c r="F55" s="26">
        <f>CHOOSE($C$3,C55,D55,E55)</f>
        <v/>
      </c>
      <c r="G55" s="3" t="inlineStr">
        <is>
          <t>Plano v0</t>
        </is>
      </c>
    </row>
    <row r="56">
      <c r="A56" s="3" t="inlineStr">
        <is>
          <t>Autoridade: taxa de implantação</t>
        </is>
      </c>
      <c r="B56" s="3" t="inlineStr">
        <is>
          <t>R$</t>
        </is>
      </c>
      <c r="C56" s="29" t="n">
        <v>990</v>
      </c>
      <c r="D56" s="29" t="n">
        <v>990</v>
      </c>
      <c r="E56" s="29" t="n">
        <v>990</v>
      </c>
      <c r="F56" s="26">
        <f>CHOOSE($C$3,C56,D56,E56)</f>
        <v/>
      </c>
      <c r="G56" s="3" t="inlineStr">
        <is>
          <t>Plano v0</t>
        </is>
      </c>
    </row>
    <row r="57">
      <c r="A57" s="3" t="inlineStr">
        <is>
          <t>Autoridade: participação nos novos clientes</t>
        </is>
      </c>
      <c r="B57" s="3" t="inlineStr">
        <is>
          <t>%</t>
        </is>
      </c>
      <c r="C57" s="28" t="n">
        <v>0.12</v>
      </c>
      <c r="D57" s="28" t="n">
        <v>0.12</v>
      </c>
      <c r="E57" s="28" t="n">
        <v>0.15</v>
      </c>
      <c r="F57" s="27">
        <f>CHOOSE($C$3,C57,D57,E57)</f>
        <v/>
      </c>
      <c r="G57" s="3" t="inlineStr">
        <is>
          <t>Plano v0, ajustado</t>
        </is>
      </c>
    </row>
    <row r="58">
      <c r="A58" s="3" t="inlineStr">
        <is>
          <t>Autoridade: churn mensal</t>
        </is>
      </c>
      <c r="B58" s="3" t="inlineStr">
        <is>
          <t>%</t>
        </is>
      </c>
      <c r="C58" s="28" t="n">
        <v>0.045</v>
      </c>
      <c r="D58" s="28" t="n">
        <v>0.035</v>
      </c>
      <c r="E58" s="28" t="n">
        <v>0.025</v>
      </c>
      <c r="F58" s="27">
        <f>CHOOSE($C$3,C58,D58,E58)</f>
        <v/>
      </c>
      <c r="G58" s="3" t="inlineStr">
        <is>
          <t>Relatório 03, seção 4: referências de 4% a 7% (até 9% abaixo de US$ 100) para software de pequena empresa</t>
        </is>
      </c>
    </row>
    <row r="59">
      <c r="A59" s="3" t="inlineStr">
        <is>
          <t>Autoridade: custo direto por conta por mês (IA, infraestrutura)</t>
        </is>
      </c>
      <c r="B59" s="3" t="inlineStr">
        <is>
          <t>R$</t>
        </is>
      </c>
      <c r="C59" s="29" t="n">
        <v>130</v>
      </c>
      <c r="D59" s="29" t="n">
        <v>100</v>
      </c>
      <c r="E59" s="29" t="n">
        <v>80</v>
      </c>
      <c r="F59" s="26">
        <f>CHOOSE($C$3,C59,D59,E59)</f>
        <v/>
      </c>
      <c r="G59" s="3" t="inlineStr">
        <is>
          <t>IA (Claude), imagens, hospedagem e publicação; v0 estimava de US$ 4 a US$ 45 por conta</t>
        </is>
      </c>
    </row>
    <row r="60">
      <c r="A60" s="3" t="inlineStr">
        <is>
          <t>Autoridade: contas por gestor humano</t>
        </is>
      </c>
      <c r="B60" s="3" t="inlineStr">
        <is>
          <t>contas</t>
        </is>
      </c>
      <c r="C60" s="17" t="n">
        <v>30</v>
      </c>
      <c r="D60" s="17" t="n">
        <v>40</v>
      </c>
      <c r="E60" s="17" t="n">
        <v>50</v>
      </c>
      <c r="F60" s="8">
        <f>CHOOSE($C$3,C60,D60,E60)</f>
        <v/>
      </c>
      <c r="G60" s="3" t="inlineStr">
        <is>
          <t>Gestor de conta humano nos planos Autoridade e Clínica (v0: 1 para 40 e 1 para 20)</t>
        </is>
      </c>
    </row>
    <row r="61">
      <c r="A61" s="3" t="inlineStr">
        <is>
          <t>Clínica: preço mensal</t>
        </is>
      </c>
      <c r="B61" s="3" t="inlineStr">
        <is>
          <t>R$</t>
        </is>
      </c>
      <c r="C61" s="29" t="n">
        <v>3900</v>
      </c>
      <c r="D61" s="29" t="n">
        <v>3900</v>
      </c>
      <c r="E61" s="29" t="n">
        <v>3900</v>
      </c>
      <c r="F61" s="26">
        <f>CHOOSE($C$3,C61,D61,E61)</f>
        <v/>
      </c>
      <c r="G61" s="3" t="inlineStr">
        <is>
          <t>Plano v0</t>
        </is>
      </c>
    </row>
    <row r="62">
      <c r="A62" s="3" t="inlineStr">
        <is>
          <t>Clínica: taxa de implantação</t>
        </is>
      </c>
      <c r="B62" s="3" t="inlineStr">
        <is>
          <t>R$</t>
        </is>
      </c>
      <c r="C62" s="29" t="n">
        <v>2900</v>
      </c>
      <c r="D62" s="29" t="n">
        <v>2900</v>
      </c>
      <c r="E62" s="29" t="n">
        <v>2900</v>
      </c>
      <c r="F62" s="26">
        <f>CHOOSE($C$3,C62,D62,E62)</f>
        <v/>
      </c>
      <c r="G62" s="3" t="inlineStr">
        <is>
          <t>Plano v0</t>
        </is>
      </c>
    </row>
    <row r="63">
      <c r="A63" s="3" t="inlineStr">
        <is>
          <t>Clínica: participação nos novos clientes</t>
        </is>
      </c>
      <c r="B63" s="3" t="inlineStr">
        <is>
          <t>%</t>
        </is>
      </c>
      <c r="C63" s="28" t="n">
        <v>0.03</v>
      </c>
      <c r="D63" s="28" t="n">
        <v>0.03</v>
      </c>
      <c r="E63" s="28" t="n">
        <v>0.05</v>
      </c>
      <c r="F63" s="27">
        <f>CHOOSE($C$3,C63,D63,E63)</f>
        <v/>
      </c>
      <c r="G63" s="3" t="inlineStr">
        <is>
          <t>Plano v0, ajustado (a partir do mês 13; antes vai para o Consultório)</t>
        </is>
      </c>
    </row>
    <row r="64">
      <c r="A64" s="3" t="inlineStr">
        <is>
          <t>Clínica: churn mensal</t>
        </is>
      </c>
      <c r="B64" s="3" t="inlineStr">
        <is>
          <t>%</t>
        </is>
      </c>
      <c r="C64" s="28" t="n">
        <v>0.035</v>
      </c>
      <c r="D64" s="28" t="n">
        <v>0.025</v>
      </c>
      <c r="E64" s="28" t="n">
        <v>0.02</v>
      </c>
      <c r="F64" s="27">
        <f>CHOOSE($C$3,C64,D64,E64)</f>
        <v/>
      </c>
      <c r="G64" s="3" t="inlineStr">
        <is>
          <t>Relatório 03, seção 4: referências de 4% a 7% (até 9% abaixo de US$ 100) para software de pequena empresa</t>
        </is>
      </c>
    </row>
    <row r="65">
      <c r="A65" s="3" t="inlineStr">
        <is>
          <t>Clínica: custo direto por conta por mês (IA, infraestrutura)</t>
        </is>
      </c>
      <c r="B65" s="3" t="inlineStr">
        <is>
          <t>R$</t>
        </is>
      </c>
      <c r="C65" s="29" t="n">
        <v>325</v>
      </c>
      <c r="D65" s="29" t="n">
        <v>250</v>
      </c>
      <c r="E65" s="29" t="n">
        <v>200</v>
      </c>
      <c r="F65" s="26">
        <f>CHOOSE($C$3,C65,D65,E65)</f>
        <v/>
      </c>
      <c r="G65" s="3" t="inlineStr">
        <is>
          <t>IA (Claude), imagens, hospedagem e publicação; v0 estimava de US$ 4 a US$ 45 por conta</t>
        </is>
      </c>
    </row>
    <row r="66">
      <c r="A66" s="3" t="inlineStr">
        <is>
          <t>Clínica: contas por gestor humano</t>
        </is>
      </c>
      <c r="B66" s="3" t="inlineStr">
        <is>
          <t>contas</t>
        </is>
      </c>
      <c r="C66" s="17" t="n">
        <v>15</v>
      </c>
      <c r="D66" s="17" t="n">
        <v>20</v>
      </c>
      <c r="E66" s="17" t="n">
        <v>25</v>
      </c>
      <c r="F66" s="8">
        <f>CHOOSE($C$3,C66,D66,E66)</f>
        <v/>
      </c>
      <c r="G66" s="3" t="inlineStr">
        <is>
          <t>Gestor de conta humano nos planos Autoridade e Clínica (v0: 1 para 40 e 1 para 20)</t>
        </is>
      </c>
    </row>
    <row r="68">
      <c r="A68" s="4" t="inlineStr">
        <is>
          <t>5. Modelo B: agência operada por agentes</t>
        </is>
      </c>
      <c r="B68" s="5" t="n"/>
      <c r="C68" s="5" t="n"/>
      <c r="D68" s="5" t="n"/>
      <c r="E68" s="5" t="n"/>
      <c r="F68" s="5" t="n"/>
      <c r="G68" s="5" t="n"/>
    </row>
    <row r="69">
      <c r="A69" s="6" t="inlineStr">
        <is>
          <t>Premissa</t>
        </is>
      </c>
      <c r="B69" s="7" t="inlineStr">
        <is>
          <t>Unidade</t>
        </is>
      </c>
      <c r="C69" s="7" t="inlineStr">
        <is>
          <t>Conservador</t>
        </is>
      </c>
      <c r="D69" s="7" t="inlineStr">
        <is>
          <t>Base</t>
        </is>
      </c>
      <c r="E69" s="7" t="inlineStr">
        <is>
          <t>Otimista</t>
        </is>
      </c>
      <c r="F69" s="7" t="inlineStr">
        <is>
          <t>Usado</t>
        </is>
      </c>
      <c r="G69" s="7" t="inlineStr">
        <is>
          <t>Fonte ou justificativa</t>
        </is>
      </c>
    </row>
    <row r="70">
      <c r="A70" s="3" t="inlineStr">
        <is>
          <t>CAC na mídia paga (venda consultiva)</t>
        </is>
      </c>
      <c r="B70" s="3" t="inlineStr">
        <is>
          <t>R$</t>
        </is>
      </c>
      <c r="C70" s="29" t="n">
        <v>9000</v>
      </c>
      <c r="D70" s="29" t="n">
        <v>6500</v>
      </c>
      <c r="E70" s="29" t="n">
        <v>5000</v>
      </c>
      <c r="F70" s="26">
        <f>CHOOSE($C$3,C70,D70,E70)</f>
        <v/>
      </c>
      <c r="G70" s="3" t="inlineStr">
        <is>
          <t>v2.1: mesmo método do Modelo A (recuperação do CAC em cerca de 8 meses sobre a contribuição ponderada pelos planos)</t>
        </is>
      </c>
    </row>
    <row r="71">
      <c r="A71" s="3" t="inlineStr">
        <is>
          <t>Custo por cliente vindo de parceria (comissão)</t>
        </is>
      </c>
      <c r="B71" s="3" t="inlineStr">
        <is>
          <t>R$</t>
        </is>
      </c>
      <c r="C71" s="29" t="n">
        <v>2500</v>
      </c>
      <c r="D71" s="29" t="n">
        <v>2000</v>
      </c>
      <c r="E71" s="29" t="n">
        <v>1600</v>
      </c>
      <c r="F71" s="26">
        <f>CHOOSE($C$3,C71,D71,E71)</f>
        <v/>
      </c>
      <c r="G71" s="3" t="inlineStr">
        <is>
          <t>Comissão de cerca de 1,5 mensalidade</t>
        </is>
      </c>
    </row>
    <row r="72">
      <c r="A72" s="3" t="inlineStr">
        <is>
          <t>Custo mensal do especialista que supervisiona as contas</t>
        </is>
      </c>
      <c r="B72" s="3" t="inlineStr">
        <is>
          <t>R$</t>
        </is>
      </c>
      <c r="C72" s="29" t="n">
        <v>11000</v>
      </c>
      <c r="D72" s="29" t="n">
        <v>10000</v>
      </c>
      <c r="E72" s="29" t="n">
        <v>9000</v>
      </c>
      <c r="F72" s="26">
        <f>CHOOSE($C$3,C72,D72,E72)</f>
        <v/>
      </c>
      <c r="G72" s="3" t="inlineStr">
        <is>
          <t>Profissional de marketing pleno ou sênior</t>
        </is>
      </c>
    </row>
    <row r="73">
      <c r="A73" s="3" t="inlineStr">
        <is>
          <t>Preço por consulta nova agendada e atribuída à Jalecon</t>
        </is>
      </c>
      <c r="B73" s="3" t="inlineStr">
        <is>
          <t>R$</t>
        </is>
      </c>
      <c r="C73" s="29" t="n">
        <v>0</v>
      </c>
      <c r="D73" s="29" t="n">
        <v>0</v>
      </c>
      <c r="E73" s="29" t="n">
        <v>0</v>
      </c>
      <c r="F73" s="26">
        <f>CHOOSE($C$3,C73,D73,E73)</f>
        <v/>
      </c>
      <c r="G73" s="3" t="inlineStr">
        <is>
          <t>v2.1: desligado. Cobrar por paciente recebido pode ferir o art. 59 do Código de Ética Médica (contraprova); só volta com parecer jurídico favorável</t>
        </is>
      </c>
    </row>
    <row r="74">
      <c r="A74" s="3" t="inlineStr">
        <is>
          <t>Presença: preço mensal fixo</t>
        </is>
      </c>
      <c r="B74" s="3" t="inlineStr">
        <is>
          <t>R$</t>
        </is>
      </c>
      <c r="C74" s="29" t="n">
        <v>990</v>
      </c>
      <c r="D74" s="29" t="n">
        <v>990</v>
      </c>
      <c r="E74" s="29" t="n">
        <v>990</v>
      </c>
      <c r="F74" s="26">
        <f>CHOOSE($C$3,C74,D74,E74)</f>
        <v/>
      </c>
      <c r="G74" s="3" t="inlineStr">
        <is>
          <t>Faixa entre a Doctoralia (R$ 429 a R$ 877) e a mediana de agências (R$ 3.250)</t>
        </is>
      </c>
    </row>
    <row r="75">
      <c r="A75" s="3" t="inlineStr">
        <is>
          <t>Presença: taxa de implantação</t>
        </is>
      </c>
      <c r="B75" s="3" t="inlineStr">
        <is>
          <t>R$</t>
        </is>
      </c>
      <c r="C75" s="29" t="n">
        <v>990</v>
      </c>
      <c r="D75" s="29" t="n">
        <v>990</v>
      </c>
      <c r="E75" s="29" t="n">
        <v>990</v>
      </c>
      <c r="F75" s="26">
        <f>CHOOSE($C$3,C75,D75,E75)</f>
        <v/>
      </c>
      <c r="G75" s="3" t="inlineStr">
        <is>
          <t>Faixa entre a Doctoralia (R$ 429 a R$ 877) e a mediana de agências (R$ 3.250)</t>
        </is>
      </c>
    </row>
    <row r="76">
      <c r="A76" s="3" t="inlineStr">
        <is>
          <t>Presença: participação nos novos clientes</t>
        </is>
      </c>
      <c r="B76" s="3" t="inlineStr">
        <is>
          <t>%</t>
        </is>
      </c>
      <c r="C76" s="28" t="n">
        <v>0.55</v>
      </c>
      <c r="D76" s="28" t="n">
        <v>0.55</v>
      </c>
      <c r="E76" s="28" t="n">
        <v>0.5</v>
      </c>
      <c r="F76" s="27">
        <f>CHOOSE($C$3,C76,D76,E76)</f>
        <v/>
      </c>
      <c r="G76" s="3" t="inlineStr">
        <is>
          <t>Suposição</t>
        </is>
      </c>
    </row>
    <row r="77">
      <c r="A77" s="3" t="inlineStr">
        <is>
          <t>Presença: churn mensal</t>
        </is>
      </c>
      <c r="B77" s="3" t="inlineStr">
        <is>
          <t>%</t>
        </is>
      </c>
      <c r="C77" s="28" t="n">
        <v>0.07000000000000001</v>
      </c>
      <c r="D77" s="28" t="n">
        <v>0.055</v>
      </c>
      <c r="E77" s="28" t="n">
        <v>0.035</v>
      </c>
      <c r="F77" s="27">
        <f>CHOOSE($C$3,C77,D77,E77)</f>
        <v/>
      </c>
      <c r="G77" s="3" t="inlineStr">
        <is>
          <t>v2.1: regra pré-registrada (referência de software para pequenas empresas, 4% a 7%), porque o contrato é mensal. O valor de agência com contrato (2% a 3,5%) virou o cenário otimista</t>
        </is>
      </c>
    </row>
    <row r="78">
      <c r="A78" s="3" t="inlineStr">
        <is>
          <t>Presença: custo direto por conta por mês (agentes, ferramentas)</t>
        </is>
      </c>
      <c r="B78" s="3" t="inlineStr">
        <is>
          <t>R$</t>
        </is>
      </c>
      <c r="C78" s="29" t="n">
        <v>155</v>
      </c>
      <c r="D78" s="29" t="n">
        <v>120</v>
      </c>
      <c r="E78" s="29" t="n">
        <v>95</v>
      </c>
      <c r="F78" s="26">
        <f>CHOOSE($C$3,C78,D78,E78)</f>
        <v/>
      </c>
      <c r="G78" s="3" t="inlineStr">
        <is>
          <t>Agentes de IA (mais peças, anúncios, atendimento no WhatsApp), imagens, hospedagem, API do WhatsApp</t>
        </is>
      </c>
    </row>
    <row r="79">
      <c r="A79" s="3" t="inlineStr">
        <is>
          <t>Presença: contas por especialista humano</t>
        </is>
      </c>
      <c r="B79" s="3" t="inlineStr">
        <is>
          <t>contas</t>
        </is>
      </c>
      <c r="C79" s="17" t="n">
        <v>35</v>
      </c>
      <c r="D79" s="17" t="n">
        <v>50</v>
      </c>
      <c r="E79" s="17" t="n">
        <v>70</v>
      </c>
      <c r="F79" s="8">
        <f>CHOOSE($C$3,C79,D79,E79)</f>
        <v/>
      </c>
      <c r="G79" s="3" t="inlineStr">
        <is>
          <t>v2.1: agências trabalham com 5 a 30 contas por gerente (contraprova). O otimista (40 a 70) é a aposta a provar no piloto</t>
        </is>
      </c>
    </row>
    <row r="80">
      <c r="A80" s="3" t="inlineStr">
        <is>
          <t>Agenda Cheia: preço mensal fixo</t>
        </is>
      </c>
      <c r="B80" s="3" t="inlineStr">
        <is>
          <t>R$</t>
        </is>
      </c>
      <c r="C80" s="29" t="n">
        <v>1790</v>
      </c>
      <c r="D80" s="29" t="n">
        <v>1790</v>
      </c>
      <c r="E80" s="29" t="n">
        <v>1790</v>
      </c>
      <c r="F80" s="26">
        <f>CHOOSE($C$3,C80,D80,E80)</f>
        <v/>
      </c>
      <c r="G80" s="3" t="inlineStr">
        <is>
          <t>Faixa entre a Doctoralia (R$ 429 a R$ 877) e a mediana de agências (R$ 3.250)</t>
        </is>
      </c>
    </row>
    <row r="81">
      <c r="A81" s="3" t="inlineStr">
        <is>
          <t>Agenda Cheia: taxa de implantação</t>
        </is>
      </c>
      <c r="B81" s="3" t="inlineStr">
        <is>
          <t>R$</t>
        </is>
      </c>
      <c r="C81" s="29" t="n">
        <v>1490</v>
      </c>
      <c r="D81" s="29" t="n">
        <v>1490</v>
      </c>
      <c r="E81" s="29" t="n">
        <v>1490</v>
      </c>
      <c r="F81" s="26">
        <f>CHOOSE($C$3,C81,D81,E81)</f>
        <v/>
      </c>
      <c r="G81" s="3" t="inlineStr">
        <is>
          <t>Faixa entre a Doctoralia (R$ 429 a R$ 877) e a mediana de agências (R$ 3.250)</t>
        </is>
      </c>
    </row>
    <row r="82">
      <c r="A82" s="3" t="inlineStr">
        <is>
          <t>Agenda Cheia: participação nos novos clientes</t>
        </is>
      </c>
      <c r="B82" s="3" t="inlineStr">
        <is>
          <t>%</t>
        </is>
      </c>
      <c r="C82" s="28" t="n">
        <v>0.4</v>
      </c>
      <c r="D82" s="28" t="n">
        <v>0.4</v>
      </c>
      <c r="E82" s="28" t="n">
        <v>0.42</v>
      </c>
      <c r="F82" s="27">
        <f>CHOOSE($C$3,C82,D82,E82)</f>
        <v/>
      </c>
      <c r="G82" s="3" t="inlineStr">
        <is>
          <t>Suposição (a partir do mês 9, como no PRD; antes vai para Presença)</t>
        </is>
      </c>
    </row>
    <row r="83">
      <c r="A83" s="3" t="inlineStr">
        <is>
          <t>Agenda Cheia: churn mensal</t>
        </is>
      </c>
      <c r="B83" s="3" t="inlineStr">
        <is>
          <t>%</t>
        </is>
      </c>
      <c r="C83" s="28" t="n">
        <v>0.065</v>
      </c>
      <c r="D83" s="28" t="n">
        <v>0.05</v>
      </c>
      <c r="E83" s="28" t="n">
        <v>0.03</v>
      </c>
      <c r="F83" s="27">
        <f>CHOOSE($C$3,C83,D83,E83)</f>
        <v/>
      </c>
      <c r="G83" s="3" t="inlineStr">
        <is>
          <t>v2.1: regra pré-registrada (referência de software para pequenas empresas, 4% a 7%), porque o contrato é mensal. O valor de agência com contrato (2% a 3,5%) virou o cenário otimista</t>
        </is>
      </c>
    </row>
    <row r="84">
      <c r="A84" s="3" t="inlineStr">
        <is>
          <t>Agenda Cheia: custo direto por conta por mês (agentes, ferramentas)</t>
        </is>
      </c>
      <c r="B84" s="3" t="inlineStr">
        <is>
          <t>R$</t>
        </is>
      </c>
      <c r="C84" s="29" t="n">
        <v>285</v>
      </c>
      <c r="D84" s="29" t="n">
        <v>220</v>
      </c>
      <c r="E84" s="29" t="n">
        <v>175</v>
      </c>
      <c r="F84" s="26">
        <f>CHOOSE($C$3,C84,D84,E84)</f>
        <v/>
      </c>
      <c r="G84" s="3" t="inlineStr">
        <is>
          <t>Agentes de IA (mais peças, anúncios, atendimento no WhatsApp), imagens, hospedagem, API do WhatsApp</t>
        </is>
      </c>
    </row>
    <row r="85">
      <c r="A85" s="3" t="inlineStr">
        <is>
          <t>Agenda Cheia: contas por especialista humano</t>
        </is>
      </c>
      <c r="B85" s="3" t="inlineStr">
        <is>
          <t>contas</t>
        </is>
      </c>
      <c r="C85" s="17" t="n">
        <v>20</v>
      </c>
      <c r="D85" s="17" t="n">
        <v>30</v>
      </c>
      <c r="E85" s="17" t="n">
        <v>40</v>
      </c>
      <c r="F85" s="8">
        <f>CHOOSE($C$3,C85,D85,E85)</f>
        <v/>
      </c>
      <c r="G85" s="3" t="inlineStr">
        <is>
          <t>v2.1: agências trabalham com 5 a 30 contas por gerente (contraprova). O otimista (40 a 70) é a aposta a provar no piloto</t>
        </is>
      </c>
    </row>
    <row r="86">
      <c r="A86" s="3" t="inlineStr">
        <is>
          <t>Agenda Cheia: consultas novas atribuídas por cliente por mês</t>
        </is>
      </c>
      <c r="B86" s="3" t="inlineStr">
        <is>
          <t>consultas</t>
        </is>
      </c>
      <c r="C86" s="17" t="n">
        <v>6</v>
      </c>
      <c r="D86" s="17" t="n">
        <v>10</v>
      </c>
      <c r="E86" s="17" t="n">
        <v>15</v>
      </c>
      <c r="F86" s="8">
        <f>CHOOSE($C$3,C86,D86,E86)</f>
        <v/>
      </c>
      <c r="G86" s="3" t="inlineStr">
        <is>
          <t>Suposição a validar no piloto; medido pelo link de WhatsApp e agenda</t>
        </is>
      </c>
    </row>
    <row r="87">
      <c r="A87" s="3" t="inlineStr">
        <is>
          <t>Clínica: preço mensal fixo</t>
        </is>
      </c>
      <c r="B87" s="3" t="inlineStr">
        <is>
          <t>R$</t>
        </is>
      </c>
      <c r="C87" s="29" t="n">
        <v>4500</v>
      </c>
      <c r="D87" s="29" t="n">
        <v>4500</v>
      </c>
      <c r="E87" s="29" t="n">
        <v>4500</v>
      </c>
      <c r="F87" s="26">
        <f>CHOOSE($C$3,C87,D87,E87)</f>
        <v/>
      </c>
      <c r="G87" s="3" t="inlineStr">
        <is>
          <t>Faixa entre a Doctoralia (R$ 429 a R$ 877) e a mediana de agências (R$ 3.250)</t>
        </is>
      </c>
    </row>
    <row r="88">
      <c r="A88" s="3" t="inlineStr">
        <is>
          <t>Clínica: taxa de implantação</t>
        </is>
      </c>
      <c r="B88" s="3" t="inlineStr">
        <is>
          <t>R$</t>
        </is>
      </c>
      <c r="C88" s="29" t="n">
        <v>3900</v>
      </c>
      <c r="D88" s="29" t="n">
        <v>3900</v>
      </c>
      <c r="E88" s="29" t="n">
        <v>3900</v>
      </c>
      <c r="F88" s="26">
        <f>CHOOSE($C$3,C88,D88,E88)</f>
        <v/>
      </c>
      <c r="G88" s="3" t="inlineStr">
        <is>
          <t>Faixa entre a Doctoralia (R$ 429 a R$ 877) e a mediana de agências (R$ 3.250)</t>
        </is>
      </c>
    </row>
    <row r="89">
      <c r="A89" s="3" t="inlineStr">
        <is>
          <t>Clínica: participação nos novos clientes</t>
        </is>
      </c>
      <c r="B89" s="3" t="inlineStr">
        <is>
          <t>%</t>
        </is>
      </c>
      <c r="C89" s="28" t="n">
        <v>0.05</v>
      </c>
      <c r="D89" s="28" t="n">
        <v>0.05</v>
      </c>
      <c r="E89" s="28" t="n">
        <v>0.08</v>
      </c>
      <c r="F89" s="27">
        <f>CHOOSE($C$3,C89,D89,E89)</f>
        <v/>
      </c>
      <c r="G89" s="3" t="inlineStr">
        <is>
          <t>Suposição (a partir do mês 13; antes vai para Agenda Cheia ou Presença)</t>
        </is>
      </c>
    </row>
    <row r="90">
      <c r="A90" s="3" t="inlineStr">
        <is>
          <t>Clínica: churn mensal</t>
        </is>
      </c>
      <c r="B90" s="3" t="inlineStr">
        <is>
          <t>%</t>
        </is>
      </c>
      <c r="C90" s="28" t="n">
        <v>0.035</v>
      </c>
      <c r="D90" s="28" t="n">
        <v>0.025</v>
      </c>
      <c r="E90" s="28" t="n">
        <v>0.022</v>
      </c>
      <c r="F90" s="27">
        <f>CHOOSE($C$3,C90,D90,E90)</f>
        <v/>
      </c>
      <c r="G90" s="3" t="inlineStr">
        <is>
          <t>v2.1: regra pré-registrada (referência de software para pequenas empresas, 4% a 7%), porque o contrato é mensal. O valor de agência com contrato (2% a 3,5%) virou o cenário otimista</t>
        </is>
      </c>
    </row>
    <row r="91">
      <c r="A91" s="3" t="inlineStr">
        <is>
          <t>Clínica: custo direto por conta por mês (agentes, ferramentas)</t>
        </is>
      </c>
      <c r="B91" s="3" t="inlineStr">
        <is>
          <t>R$</t>
        </is>
      </c>
      <c r="C91" s="29" t="n">
        <v>650</v>
      </c>
      <c r="D91" s="29" t="n">
        <v>500</v>
      </c>
      <c r="E91" s="29" t="n">
        <v>400</v>
      </c>
      <c r="F91" s="26">
        <f>CHOOSE($C$3,C91,D91,E91)</f>
        <v/>
      </c>
      <c r="G91" s="3" t="inlineStr">
        <is>
          <t>Agentes de IA (mais peças, anúncios, atendimento no WhatsApp), imagens, hospedagem, API do WhatsApp</t>
        </is>
      </c>
    </row>
    <row r="92">
      <c r="A92" s="3" t="inlineStr">
        <is>
          <t>Clínica: contas por especialista humano</t>
        </is>
      </c>
      <c r="B92" s="3" t="inlineStr">
        <is>
          <t>contas</t>
        </is>
      </c>
      <c r="C92" s="17" t="n">
        <v>8</v>
      </c>
      <c r="D92" s="17" t="n">
        <v>12</v>
      </c>
      <c r="E92" s="17" t="n">
        <v>15</v>
      </c>
      <c r="F92" s="8">
        <f>CHOOSE($C$3,C92,D92,E92)</f>
        <v/>
      </c>
      <c r="G92" s="3" t="inlineStr">
        <is>
          <t>v2.1: agências trabalham com 5 a 30 contas por gerente (contraprova). O otimista (40 a 70) é a aposta a provar no piloto</t>
        </is>
      </c>
    </row>
    <row r="93">
      <c r="A93" s="3" t="inlineStr">
        <is>
          <t>Clínica: consultas novas atribuídas por cliente por mês</t>
        </is>
      </c>
      <c r="B93" s="3" t="inlineStr">
        <is>
          <t>consultas</t>
        </is>
      </c>
      <c r="C93" s="17" t="n">
        <v>20</v>
      </c>
      <c r="D93" s="17" t="n">
        <v>35</v>
      </c>
      <c r="E93" s="17" t="n">
        <v>50</v>
      </c>
      <c r="F93" s="8">
        <f>CHOOSE($C$3,C93,D93,E93)</f>
        <v/>
      </c>
      <c r="G93" s="3" t="inlineStr">
        <is>
          <t>Suposição a validar no piloto; medido pelo link de WhatsApp e agenda</t>
        </is>
      </c>
    </row>
    <row r="95">
      <c r="A95" s="4" t="inlineStr">
        <is>
          <t>6. Critérios de corte do plano v1 (fixados em 19/10/2026)</t>
        </is>
      </c>
      <c r="B95" s="5" t="n"/>
      <c r="C95" s="5" t="n"/>
      <c r="D95" s="5" t="n"/>
      <c r="E95" s="5" t="n"/>
      <c r="F95" s="5" t="n"/>
      <c r="G95" s="5" t="n"/>
    </row>
    <row r="96">
      <c r="A96" s="6" t="inlineStr">
        <is>
          <t>Premissa</t>
        </is>
      </c>
      <c r="B96" s="7" t="inlineStr">
        <is>
          <t>Unidade</t>
        </is>
      </c>
      <c r="C96" s="7" t="inlineStr">
        <is>
          <t>Conservador</t>
        </is>
      </c>
      <c r="D96" s="7" t="inlineStr">
        <is>
          <t>Base</t>
        </is>
      </c>
      <c r="E96" s="7" t="inlineStr">
        <is>
          <t>Otimista</t>
        </is>
      </c>
      <c r="F96" s="7" t="inlineStr">
        <is>
          <t>Usado</t>
        </is>
      </c>
      <c r="G96" s="7" t="inlineStr">
        <is>
          <t>Fonte ou justificativa</t>
        </is>
      </c>
    </row>
    <row r="97">
      <c r="A97" s="3" t="inlineStr">
        <is>
          <t>H6: margem bruta mínima</t>
        </is>
      </c>
      <c r="B97" s="3" t="inlineStr">
        <is>
          <t>%</t>
        </is>
      </c>
      <c r="C97" s="28" t="n">
        <v>0.7</v>
      </c>
      <c r="D97" s="28" t="n">
        <v>0.7</v>
      </c>
      <c r="E97" s="28" t="n">
        <v>0.7</v>
      </c>
      <c r="F97" s="27">
        <f>CHOOSE($C$3,C97,D97,E97)</f>
        <v/>
      </c>
      <c r="G97" s="3" t="inlineStr">
        <is>
          <t>Plano v1, seção 2</t>
        </is>
      </c>
    </row>
    <row r="98">
      <c r="A98" s="3" t="inlineStr">
        <is>
          <t>H6: LTV/CAC mínimo no plano principal</t>
        </is>
      </c>
      <c r="B98" s="3" t="inlineStr">
        <is>
          <t>x</t>
        </is>
      </c>
      <c r="C98" s="20" t="n">
        <v>3</v>
      </c>
      <c r="D98" s="20" t="n">
        <v>3</v>
      </c>
      <c r="E98" s="20" t="n">
        <v>3</v>
      </c>
      <c r="F98" s="11">
        <f>CHOOSE($C$3,C98,D98,E98)</f>
        <v/>
      </c>
      <c r="G98" s="3" t="inlineStr">
        <is>
          <t>Plano v1, seção 2</t>
        </is>
      </c>
    </row>
    <row r="99">
      <c r="A99" s="3" t="inlineStr">
        <is>
          <t>H6: recuperação máxima do CAC</t>
        </is>
      </c>
      <c r="B99" s="3" t="inlineStr">
        <is>
          <t>meses</t>
        </is>
      </c>
      <c r="C99" s="17" t="n">
        <v>12</v>
      </c>
      <c r="D99" s="17" t="n">
        <v>12</v>
      </c>
      <c r="E99" s="17" t="n">
        <v>12</v>
      </c>
      <c r="F99" s="8">
        <f>CHOOSE($C$3,C99,D99,E99)</f>
        <v/>
      </c>
      <c r="G99" s="3" t="inlineStr">
        <is>
          <t>Plano v1, seção 2</t>
        </is>
      </c>
    </row>
    <row r="100">
      <c r="A100" s="3" t="inlineStr">
        <is>
          <t>H7: receita recorrente anual mínima em até 7 anos</t>
        </is>
      </c>
      <c r="B100" s="3" t="inlineStr">
        <is>
          <t>R$</t>
        </is>
      </c>
      <c r="C100" s="29" t="n">
        <v>50000000</v>
      </c>
      <c r="D100" s="29" t="n">
        <v>50000000</v>
      </c>
      <c r="E100" s="29" t="n">
        <v>50000000</v>
      </c>
      <c r="F100" s="26">
        <f>CHOOSE($C$3,C100,D100,E100)</f>
        <v/>
      </c>
      <c r="G100" s="3" t="inlineStr">
        <is>
          <t>Plano v1, seção 2</t>
        </is>
      </c>
    </row>
    <row r="101">
      <c r="A101" s="3" t="inlineStr">
        <is>
          <t>H7: participação máxima do mercado endereçável quando atingir esse valor</t>
        </is>
      </c>
      <c r="B101" s="3" t="inlineStr">
        <is>
          <t>%</t>
        </is>
      </c>
      <c r="C101" s="28" t="n">
        <v>0.03</v>
      </c>
      <c r="D101" s="28" t="n">
        <v>0.03</v>
      </c>
      <c r="E101" s="28" t="n">
        <v>0.03</v>
      </c>
      <c r="F101" s="27">
        <f>CHOOSE($C$3,C101,D101,E101)</f>
        <v/>
      </c>
      <c r="G101" s="3" t="inlineStr">
        <is>
          <t>Plano v1, seção 2</t>
        </is>
      </c>
    </row>
    <row r="103">
      <c r="A103" s="4" t="inlineStr">
        <is>
          <t>7. Ajustes da contraprova (v2.1, 20/10/2026)</t>
        </is>
      </c>
      <c r="B103" s="5" t="n"/>
      <c r="C103" s="5" t="n"/>
      <c r="D103" s="5" t="n"/>
      <c r="E103" s="5" t="n"/>
      <c r="F103" s="5" t="n"/>
      <c r="G103" s="5" t="n"/>
    </row>
    <row r="104">
      <c r="A104" s="6" t="inlineStr">
        <is>
          <t>Premissa</t>
        </is>
      </c>
      <c r="B104" s="7" t="inlineStr">
        <is>
          <t>Unidade</t>
        </is>
      </c>
      <c r="C104" s="7" t="inlineStr">
        <is>
          <t>Conservador</t>
        </is>
      </c>
      <c r="D104" s="7" t="inlineStr">
        <is>
          <t>Base</t>
        </is>
      </c>
      <c r="E104" s="7" t="inlineStr">
        <is>
          <t>Otimista</t>
        </is>
      </c>
      <c r="F104" s="7" t="inlineStr">
        <is>
          <t>Usado</t>
        </is>
      </c>
      <c r="G104" s="7" t="inlineStr">
        <is>
          <t>Fonte ou justificativa</t>
        </is>
      </c>
    </row>
    <row r="105">
      <c r="A105" s="3" t="inlineStr">
        <is>
          <t>Modelo A: custo de implantação por cliente novo</t>
        </is>
      </c>
      <c r="B105" s="3" t="inlineStr">
        <is>
          <t>R$</t>
        </is>
      </c>
      <c r="C105" s="29" t="n">
        <v>200</v>
      </c>
      <c r="D105" s="29" t="n">
        <v>150</v>
      </c>
      <c r="E105" s="29" t="n">
        <v>100</v>
      </c>
      <c r="F105" s="26">
        <f>CHOOSE($C$3,C105,D105,E105)</f>
        <v/>
      </c>
      <c r="G105" s="3" t="inlineStr">
        <is>
          <t>Onboarding assistido; antes a taxa de implantação era receita sem custo (contraprova)</t>
        </is>
      </c>
    </row>
    <row r="106">
      <c r="A106" s="3" t="inlineStr">
        <is>
          <t>Modelo B: custo de implantação por cliente novo</t>
        </is>
      </c>
      <c r="B106" s="3" t="inlineStr">
        <is>
          <t>R$</t>
        </is>
      </c>
      <c r="C106" s="29" t="n">
        <v>900</v>
      </c>
      <c r="D106" s="29" t="n">
        <v>600</v>
      </c>
      <c r="E106" s="29" t="n">
        <v>400</v>
      </c>
      <c r="F106" s="26">
        <f>CHOOSE($C$3,C106,D106,E106)</f>
        <v/>
      </c>
      <c r="G106" s="3" t="inlineStr">
        <is>
          <t>Cerca de 6 horas de especialista mais ferramentas para marca, site e perfil no Google</t>
        </is>
      </c>
    </row>
    <row r="107">
      <c r="A107" s="3" t="inlineStr">
        <is>
          <t>Modelo A: custo por cliente indicado (mês grátis)</t>
        </is>
      </c>
      <c r="B107" s="3" t="inlineStr">
        <is>
          <t>R$</t>
        </is>
      </c>
      <c r="C107" s="29" t="n">
        <v>697</v>
      </c>
      <c r="D107" s="29" t="n">
        <v>697</v>
      </c>
      <c r="E107" s="29" t="n">
        <v>697</v>
      </c>
      <c r="F107" s="26">
        <f>CHOOSE($C$3,C107,D107,E107)</f>
        <v/>
      </c>
      <c r="G107" s="3" t="inlineStr">
        <is>
          <t>Programa de indicação: um mês grátis; antes sem custo (contraprova)</t>
        </is>
      </c>
    </row>
    <row r="108">
      <c r="A108" s="3" t="inlineStr">
        <is>
          <t>Modelo B: custo por cliente indicado (mês grátis)</t>
        </is>
      </c>
      <c r="B108" s="3" t="inlineStr">
        <is>
          <t>R$</t>
        </is>
      </c>
      <c r="C108" s="29" t="n">
        <v>1300</v>
      </c>
      <c r="D108" s="29" t="n">
        <v>1300</v>
      </c>
      <c r="E108" s="29" t="n">
        <v>1300</v>
      </c>
      <c r="F108" s="26">
        <f>CHOOSE($C$3,C108,D108,E108)</f>
        <v/>
      </c>
      <c r="G108" s="3" t="inlineStr">
        <is>
          <t>Um mês grátis na mensalidade média ponderada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Economia por cliente, por plano (cenário selecionado)</t>
        </is>
      </c>
    </row>
    <row r="2">
      <c r="A2" s="3" t="inlineStr">
        <is>
          <t>Contribuição = mensalidade e consultas, menos impostos (alíquota cheia), meios de pagamento, custo direto e parte do especialista humano. LTV = contribuição / churn + taxa de implantação - custo de implantação.</t>
        </is>
      </c>
    </row>
    <row r="4">
      <c r="A4" s="4" t="inlineStr">
        <is>
          <t>Modelo A: software por assinatura</t>
        </is>
      </c>
      <c r="B4" s="5" t="n"/>
      <c r="C4" s="5" t="n"/>
      <c r="D4" s="5" t="n"/>
      <c r="E4" s="5" t="n"/>
      <c r="F4" s="5" t="n"/>
      <c r="G4" s="5" t="n"/>
      <c r="H4" s="5" t="n"/>
      <c r="I4" s="5" t="n"/>
    </row>
    <row r="5">
      <c r="A5" s="6" t="inlineStr">
        <is>
          <t>Plano</t>
        </is>
      </c>
      <c r="B5" s="7" t="inlineStr">
        <is>
          <t>Receita mensal</t>
        </is>
      </c>
      <c r="C5" s="7" t="inlineStr">
        <is>
          <t>Contribuição mensal</t>
        </is>
      </c>
      <c r="D5" s="7" t="inlineStr">
        <is>
          <t>Margem de contribuição</t>
        </is>
      </c>
      <c r="E5" s="7" t="inlineStr">
        <is>
          <t>Churn mensal</t>
        </is>
      </c>
      <c r="F5" s="7" t="inlineStr">
        <is>
          <t>LTV</t>
        </is>
      </c>
      <c r="G5" s="7" t="inlineStr">
        <is>
          <t>CAC mídia paga</t>
        </is>
      </c>
      <c r="H5" s="7" t="inlineStr">
        <is>
          <t>LTV/CAC</t>
        </is>
      </c>
      <c r="I5" s="7" t="inlineStr">
        <is>
          <t>Recuperação do CAC (meses)</t>
        </is>
      </c>
    </row>
    <row r="6">
      <c r="A6" s="3" t="inlineStr">
        <is>
          <t>Essencial</t>
        </is>
      </c>
      <c r="B6" s="26">
        <f>Premissas!$F$45</f>
        <v/>
      </c>
      <c r="C6" s="26">
        <f>B6*(1-Premissas!$F$10-Premissas!$F$11)-Premissas!$F$49</f>
        <v/>
      </c>
      <c r="D6" s="27">
        <f>C6/B6</f>
        <v/>
      </c>
      <c r="E6" s="27">
        <f>Premissas!$F$48</f>
        <v/>
      </c>
      <c r="F6" s="26">
        <f>C6/E6+Premissas!$F$46-Premissas!$F$105</f>
        <v/>
      </c>
      <c r="G6" s="26">
        <f>Premissas!$F$42</f>
        <v/>
      </c>
      <c r="H6" s="11">
        <f>F6/G6</f>
        <v/>
      </c>
      <c r="I6" s="12">
        <f>G6/C6</f>
        <v/>
      </c>
    </row>
    <row r="7">
      <c r="A7" s="3" t="inlineStr">
        <is>
          <t>Consultório</t>
        </is>
      </c>
      <c r="B7" s="26">
        <f>Premissas!$F$50</f>
        <v/>
      </c>
      <c r="C7" s="26">
        <f>B7*(1-Premissas!$F$10-Premissas!$F$11)-Premissas!$F$54</f>
        <v/>
      </c>
      <c r="D7" s="27">
        <f>C7/B7</f>
        <v/>
      </c>
      <c r="E7" s="27">
        <f>Premissas!$F$53</f>
        <v/>
      </c>
      <c r="F7" s="26">
        <f>C7/E7+Premissas!$F$51-Premissas!$F$105</f>
        <v/>
      </c>
      <c r="G7" s="26">
        <f>Premissas!$F$42</f>
        <v/>
      </c>
      <c r="H7" s="11">
        <f>F7/G7</f>
        <v/>
      </c>
      <c r="I7" s="12">
        <f>G7/C7</f>
        <v/>
      </c>
    </row>
    <row r="8">
      <c r="A8" s="3" t="inlineStr">
        <is>
          <t>Autoridade</t>
        </is>
      </c>
      <c r="B8" s="26">
        <f>Premissas!$F$55</f>
        <v/>
      </c>
      <c r="C8" s="26">
        <f>B8*(1-Premissas!$F$10-Premissas!$F$11)-Premissas!$F$59-Premissas!$F$44/Premissas!$F$60</f>
        <v/>
      </c>
      <c r="D8" s="27">
        <f>C8/B8</f>
        <v/>
      </c>
      <c r="E8" s="27">
        <f>Premissas!$F$58</f>
        <v/>
      </c>
      <c r="F8" s="26">
        <f>C8/E8+Premissas!$F$56-Premissas!$F$105</f>
        <v/>
      </c>
      <c r="G8" s="26">
        <f>Premissas!$F$42</f>
        <v/>
      </c>
      <c r="H8" s="11">
        <f>F8/G8</f>
        <v/>
      </c>
      <c r="I8" s="12">
        <f>G8/C8</f>
        <v/>
      </c>
    </row>
    <row r="9">
      <c r="A9" s="3" t="inlineStr">
        <is>
          <t>Clínica</t>
        </is>
      </c>
      <c r="B9" s="26">
        <f>Premissas!$F$61</f>
        <v/>
      </c>
      <c r="C9" s="26">
        <f>B9*(1-Premissas!$F$10-Premissas!$F$11)-Premissas!$F$65-Premissas!$F$44/Premissas!$F$66</f>
        <v/>
      </c>
      <c r="D9" s="27">
        <f>C9/B9</f>
        <v/>
      </c>
      <c r="E9" s="27">
        <f>Premissas!$F$64</f>
        <v/>
      </c>
      <c r="F9" s="26">
        <f>C9/E9+Premissas!$F$62-Premissas!$F$105</f>
        <v/>
      </c>
      <c r="G9" s="26">
        <f>Premissas!$F$42</f>
        <v/>
      </c>
      <c r="H9" s="11">
        <f>F9/G9</f>
        <v/>
      </c>
      <c r="I9" s="12">
        <f>G9/C9</f>
        <v/>
      </c>
    </row>
    <row r="11">
      <c r="A11" s="4" t="inlineStr">
        <is>
          <t>Modelo B: agência operada por agentes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</row>
    <row r="12">
      <c r="A12" s="6" t="inlineStr">
        <is>
          <t>Plano</t>
        </is>
      </c>
      <c r="B12" s="7" t="inlineStr">
        <is>
          <t>Receita mensal</t>
        </is>
      </c>
      <c r="C12" s="7" t="inlineStr">
        <is>
          <t>Contribuição mensal</t>
        </is>
      </c>
      <c r="D12" s="7" t="inlineStr">
        <is>
          <t>Margem de contribuição</t>
        </is>
      </c>
      <c r="E12" s="7" t="inlineStr">
        <is>
          <t>Churn mensal</t>
        </is>
      </c>
      <c r="F12" s="7" t="inlineStr">
        <is>
          <t>LTV</t>
        </is>
      </c>
      <c r="G12" s="7" t="inlineStr">
        <is>
          <t>CAC mídia paga</t>
        </is>
      </c>
      <c r="H12" s="7" t="inlineStr">
        <is>
          <t>LTV/CAC</t>
        </is>
      </c>
      <c r="I12" s="7" t="inlineStr">
        <is>
          <t>Recuperação do CAC (meses)</t>
        </is>
      </c>
    </row>
    <row r="13">
      <c r="A13" s="3" t="inlineStr">
        <is>
          <t>Presença</t>
        </is>
      </c>
      <c r="B13" s="26">
        <f>Premissas!$F$74</f>
        <v/>
      </c>
      <c r="C13" s="26">
        <f>B13*(1-Premissas!$F$10-Premissas!$F$11)-Premissas!$F$78-Premissas!$F$72/Premissas!$F$79</f>
        <v/>
      </c>
      <c r="D13" s="27">
        <f>C13/B13</f>
        <v/>
      </c>
      <c r="E13" s="27">
        <f>Premissas!$F$77</f>
        <v/>
      </c>
      <c r="F13" s="26">
        <f>C13/E13+Premissas!$F$75-Premissas!$F$106</f>
        <v/>
      </c>
      <c r="G13" s="26">
        <f>Premissas!$F$70</f>
        <v/>
      </c>
      <c r="H13" s="11">
        <f>F13/G13</f>
        <v/>
      </c>
      <c r="I13" s="12">
        <f>G13/C13</f>
        <v/>
      </c>
    </row>
    <row r="14">
      <c r="A14" s="3" t="inlineStr">
        <is>
          <t>Agenda Cheia</t>
        </is>
      </c>
      <c r="B14" s="26">
        <f>Premissas!$F$80+Premissas!$F$86*Premissas!$F$73</f>
        <v/>
      </c>
      <c r="C14" s="26">
        <f>B14*(1-Premissas!$F$10-Premissas!$F$11)-Premissas!$F$84-Premissas!$F$72/Premissas!$F$85</f>
        <v/>
      </c>
      <c r="D14" s="27">
        <f>C14/B14</f>
        <v/>
      </c>
      <c r="E14" s="27">
        <f>Premissas!$F$83</f>
        <v/>
      </c>
      <c r="F14" s="26">
        <f>C14/E14+Premissas!$F$81-Premissas!$F$106</f>
        <v/>
      </c>
      <c r="G14" s="26">
        <f>Premissas!$F$70</f>
        <v/>
      </c>
      <c r="H14" s="11">
        <f>F14/G14</f>
        <v/>
      </c>
      <c r="I14" s="12">
        <f>G14/C14</f>
        <v/>
      </c>
    </row>
    <row r="15">
      <c r="A15" s="3" t="inlineStr">
        <is>
          <t>Clínica</t>
        </is>
      </c>
      <c r="B15" s="26">
        <f>Premissas!$F$87+Premissas!$F$93*Premissas!$F$73</f>
        <v/>
      </c>
      <c r="C15" s="26">
        <f>B15*(1-Premissas!$F$10-Premissas!$F$11)-Premissas!$F$91-Premissas!$F$72/Premissas!$F$92</f>
        <v/>
      </c>
      <c r="D15" s="27">
        <f>C15/B15</f>
        <v/>
      </c>
      <c r="E15" s="27">
        <f>Premissas!$F$90</f>
        <v/>
      </c>
      <c r="F15" s="26">
        <f>C15/E15+Premissas!$F$88-Premissas!$F$106</f>
        <v/>
      </c>
      <c r="G15" s="26">
        <f>Premissas!$F$70</f>
        <v/>
      </c>
      <c r="H15" s="11">
        <f>F15/G15</f>
        <v/>
      </c>
      <c r="I15" s="12">
        <f>G15/C15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H77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</cols>
  <sheetData>
    <row r="1">
      <c r="A1" s="1" t="inlineStr">
        <is>
          <t>Modelo A: software por assinatura · mês a mês</t>
        </is>
      </c>
    </row>
    <row r="2">
      <c r="A2" s="2" t="inlineStr">
        <is>
          <t>Mês</t>
        </is>
      </c>
      <c r="C2" s="21" t="n">
        <v>1</v>
      </c>
      <c r="D2" s="21" t="n">
        <v>2</v>
      </c>
      <c r="E2" s="21" t="n">
        <v>3</v>
      </c>
      <c r="F2" s="21" t="n">
        <v>4</v>
      </c>
      <c r="G2" s="21" t="n">
        <v>5</v>
      </c>
      <c r="H2" s="21" t="n">
        <v>6</v>
      </c>
      <c r="I2" s="21" t="n">
        <v>7</v>
      </c>
      <c r="J2" s="21" t="n">
        <v>8</v>
      </c>
      <c r="K2" s="21" t="n">
        <v>9</v>
      </c>
      <c r="L2" s="21" t="n">
        <v>10</v>
      </c>
      <c r="M2" s="21" t="n">
        <v>11</v>
      </c>
      <c r="N2" s="21" t="n">
        <v>12</v>
      </c>
      <c r="O2" s="21" t="n">
        <v>13</v>
      </c>
      <c r="P2" s="21" t="n">
        <v>14</v>
      </c>
      <c r="Q2" s="21" t="n">
        <v>15</v>
      </c>
      <c r="R2" s="21" t="n">
        <v>16</v>
      </c>
      <c r="S2" s="21" t="n">
        <v>17</v>
      </c>
      <c r="T2" s="21" t="n">
        <v>18</v>
      </c>
      <c r="U2" s="21" t="n">
        <v>19</v>
      </c>
      <c r="V2" s="21" t="n">
        <v>20</v>
      </c>
      <c r="W2" s="21" t="n">
        <v>21</v>
      </c>
      <c r="X2" s="21" t="n">
        <v>22</v>
      </c>
      <c r="Y2" s="21" t="n">
        <v>23</v>
      </c>
      <c r="Z2" s="21" t="n">
        <v>24</v>
      </c>
      <c r="AA2" s="21" t="n">
        <v>25</v>
      </c>
      <c r="AB2" s="21" t="n">
        <v>26</v>
      </c>
      <c r="AC2" s="21" t="n">
        <v>27</v>
      </c>
      <c r="AD2" s="21" t="n">
        <v>28</v>
      </c>
      <c r="AE2" s="21" t="n">
        <v>29</v>
      </c>
      <c r="AF2" s="21" t="n">
        <v>30</v>
      </c>
      <c r="AG2" s="21" t="n">
        <v>31</v>
      </c>
      <c r="AH2" s="21" t="n">
        <v>32</v>
      </c>
      <c r="AI2" s="21" t="n">
        <v>33</v>
      </c>
      <c r="AJ2" s="21" t="n">
        <v>34</v>
      </c>
      <c r="AK2" s="21" t="n">
        <v>35</v>
      </c>
      <c r="AL2" s="21" t="n">
        <v>36</v>
      </c>
      <c r="AM2" s="21" t="n">
        <v>37</v>
      </c>
      <c r="AN2" s="21" t="n">
        <v>38</v>
      </c>
      <c r="AO2" s="21" t="n">
        <v>39</v>
      </c>
      <c r="AP2" s="21" t="n">
        <v>40</v>
      </c>
      <c r="AQ2" s="21" t="n">
        <v>41</v>
      </c>
      <c r="AR2" s="21" t="n">
        <v>42</v>
      </c>
      <c r="AS2" s="21" t="n">
        <v>43</v>
      </c>
      <c r="AT2" s="21" t="n">
        <v>44</v>
      </c>
      <c r="AU2" s="21" t="n">
        <v>45</v>
      </c>
      <c r="AV2" s="21" t="n">
        <v>46</v>
      </c>
      <c r="AW2" s="21" t="n">
        <v>47</v>
      </c>
      <c r="AX2" s="21" t="n">
        <v>48</v>
      </c>
      <c r="AY2" s="21" t="n">
        <v>49</v>
      </c>
      <c r="AZ2" s="21" t="n">
        <v>50</v>
      </c>
      <c r="BA2" s="21" t="n">
        <v>51</v>
      </c>
      <c r="BB2" s="21" t="n">
        <v>52</v>
      </c>
      <c r="BC2" s="21" t="n">
        <v>53</v>
      </c>
      <c r="BD2" s="21" t="n">
        <v>54</v>
      </c>
      <c r="BE2" s="21" t="n">
        <v>55</v>
      </c>
      <c r="BF2" s="21" t="n">
        <v>56</v>
      </c>
      <c r="BG2" s="21" t="n">
        <v>57</v>
      </c>
      <c r="BH2" s="21" t="n">
        <v>58</v>
      </c>
      <c r="BI2" s="21" t="n">
        <v>59</v>
      </c>
      <c r="BJ2" s="21" t="n">
        <v>60</v>
      </c>
      <c r="BK2" s="21" t="n">
        <v>61</v>
      </c>
      <c r="BL2" s="21" t="n">
        <v>62</v>
      </c>
      <c r="BM2" s="21" t="n">
        <v>63</v>
      </c>
      <c r="BN2" s="21" t="n">
        <v>64</v>
      </c>
      <c r="BO2" s="21" t="n">
        <v>65</v>
      </c>
      <c r="BP2" s="21" t="n">
        <v>66</v>
      </c>
      <c r="BQ2" s="21" t="n">
        <v>67</v>
      </c>
      <c r="BR2" s="21" t="n">
        <v>68</v>
      </c>
      <c r="BS2" s="21" t="n">
        <v>69</v>
      </c>
      <c r="BT2" s="21" t="n">
        <v>70</v>
      </c>
      <c r="BU2" s="21" t="n">
        <v>71</v>
      </c>
      <c r="BV2" s="21" t="n">
        <v>72</v>
      </c>
      <c r="BW2" s="21" t="n">
        <v>73</v>
      </c>
      <c r="BX2" s="21" t="n">
        <v>74</v>
      </c>
      <c r="BY2" s="21" t="n">
        <v>75</v>
      </c>
      <c r="BZ2" s="21" t="n">
        <v>76</v>
      </c>
      <c r="CA2" s="21" t="n">
        <v>77</v>
      </c>
      <c r="CB2" s="21" t="n">
        <v>78</v>
      </c>
      <c r="CC2" s="21" t="n">
        <v>79</v>
      </c>
      <c r="CD2" s="21" t="n">
        <v>80</v>
      </c>
      <c r="CE2" s="21" t="n">
        <v>81</v>
      </c>
      <c r="CF2" s="21" t="n">
        <v>82</v>
      </c>
      <c r="CG2" s="21" t="n">
        <v>83</v>
      </c>
      <c r="CH2" s="21" t="n">
        <v>84</v>
      </c>
    </row>
    <row r="3">
      <c r="A3" s="3" t="inlineStr">
        <is>
          <t>Ano</t>
        </is>
      </c>
      <c r="C3" s="8">
        <f>ROUNDUP(C2/12,0)</f>
        <v/>
      </c>
      <c r="D3" s="8">
        <f>ROUNDUP(D2/12,0)</f>
        <v/>
      </c>
      <c r="E3" s="8">
        <f>ROUNDUP(E2/12,0)</f>
        <v/>
      </c>
      <c r="F3" s="8">
        <f>ROUNDUP(F2/12,0)</f>
        <v/>
      </c>
      <c r="G3" s="8">
        <f>ROUNDUP(G2/12,0)</f>
        <v/>
      </c>
      <c r="H3" s="8">
        <f>ROUNDUP(H2/12,0)</f>
        <v/>
      </c>
      <c r="I3" s="8">
        <f>ROUNDUP(I2/12,0)</f>
        <v/>
      </c>
      <c r="J3" s="8">
        <f>ROUNDUP(J2/12,0)</f>
        <v/>
      </c>
      <c r="K3" s="8">
        <f>ROUNDUP(K2/12,0)</f>
        <v/>
      </c>
      <c r="L3" s="8">
        <f>ROUNDUP(L2/12,0)</f>
        <v/>
      </c>
      <c r="M3" s="8">
        <f>ROUNDUP(M2/12,0)</f>
        <v/>
      </c>
      <c r="N3" s="8">
        <f>ROUNDUP(N2/12,0)</f>
        <v/>
      </c>
      <c r="O3" s="8">
        <f>ROUNDUP(O2/12,0)</f>
        <v/>
      </c>
      <c r="P3" s="8">
        <f>ROUNDUP(P2/12,0)</f>
        <v/>
      </c>
      <c r="Q3" s="8">
        <f>ROUNDUP(Q2/12,0)</f>
        <v/>
      </c>
      <c r="R3" s="8">
        <f>ROUNDUP(R2/12,0)</f>
        <v/>
      </c>
      <c r="S3" s="8">
        <f>ROUNDUP(S2/12,0)</f>
        <v/>
      </c>
      <c r="T3" s="8">
        <f>ROUNDUP(T2/12,0)</f>
        <v/>
      </c>
      <c r="U3" s="8">
        <f>ROUNDUP(U2/12,0)</f>
        <v/>
      </c>
      <c r="V3" s="8">
        <f>ROUNDUP(V2/12,0)</f>
        <v/>
      </c>
      <c r="W3" s="8">
        <f>ROUNDUP(W2/12,0)</f>
        <v/>
      </c>
      <c r="X3" s="8">
        <f>ROUNDUP(X2/12,0)</f>
        <v/>
      </c>
      <c r="Y3" s="8">
        <f>ROUNDUP(Y2/12,0)</f>
        <v/>
      </c>
      <c r="Z3" s="8">
        <f>ROUNDUP(Z2/12,0)</f>
        <v/>
      </c>
      <c r="AA3" s="8">
        <f>ROUNDUP(AA2/12,0)</f>
        <v/>
      </c>
      <c r="AB3" s="8">
        <f>ROUNDUP(AB2/12,0)</f>
        <v/>
      </c>
      <c r="AC3" s="8">
        <f>ROUNDUP(AC2/12,0)</f>
        <v/>
      </c>
      <c r="AD3" s="8">
        <f>ROUNDUP(AD2/12,0)</f>
        <v/>
      </c>
      <c r="AE3" s="8">
        <f>ROUNDUP(AE2/12,0)</f>
        <v/>
      </c>
      <c r="AF3" s="8">
        <f>ROUNDUP(AF2/12,0)</f>
        <v/>
      </c>
      <c r="AG3" s="8">
        <f>ROUNDUP(AG2/12,0)</f>
        <v/>
      </c>
      <c r="AH3" s="8">
        <f>ROUNDUP(AH2/12,0)</f>
        <v/>
      </c>
      <c r="AI3" s="8">
        <f>ROUNDUP(AI2/12,0)</f>
        <v/>
      </c>
      <c r="AJ3" s="8">
        <f>ROUNDUP(AJ2/12,0)</f>
        <v/>
      </c>
      <c r="AK3" s="8">
        <f>ROUNDUP(AK2/12,0)</f>
        <v/>
      </c>
      <c r="AL3" s="8">
        <f>ROUNDUP(AL2/12,0)</f>
        <v/>
      </c>
      <c r="AM3" s="8">
        <f>ROUNDUP(AM2/12,0)</f>
        <v/>
      </c>
      <c r="AN3" s="8">
        <f>ROUNDUP(AN2/12,0)</f>
        <v/>
      </c>
      <c r="AO3" s="8">
        <f>ROUNDUP(AO2/12,0)</f>
        <v/>
      </c>
      <c r="AP3" s="8">
        <f>ROUNDUP(AP2/12,0)</f>
        <v/>
      </c>
      <c r="AQ3" s="8">
        <f>ROUNDUP(AQ2/12,0)</f>
        <v/>
      </c>
      <c r="AR3" s="8">
        <f>ROUNDUP(AR2/12,0)</f>
        <v/>
      </c>
      <c r="AS3" s="8">
        <f>ROUNDUP(AS2/12,0)</f>
        <v/>
      </c>
      <c r="AT3" s="8">
        <f>ROUNDUP(AT2/12,0)</f>
        <v/>
      </c>
      <c r="AU3" s="8">
        <f>ROUNDUP(AU2/12,0)</f>
        <v/>
      </c>
      <c r="AV3" s="8">
        <f>ROUNDUP(AV2/12,0)</f>
        <v/>
      </c>
      <c r="AW3" s="8">
        <f>ROUNDUP(AW2/12,0)</f>
        <v/>
      </c>
      <c r="AX3" s="8">
        <f>ROUNDUP(AX2/12,0)</f>
        <v/>
      </c>
      <c r="AY3" s="8">
        <f>ROUNDUP(AY2/12,0)</f>
        <v/>
      </c>
      <c r="AZ3" s="8">
        <f>ROUNDUP(AZ2/12,0)</f>
        <v/>
      </c>
      <c r="BA3" s="8">
        <f>ROUNDUP(BA2/12,0)</f>
        <v/>
      </c>
      <c r="BB3" s="8">
        <f>ROUNDUP(BB2/12,0)</f>
        <v/>
      </c>
      <c r="BC3" s="8">
        <f>ROUNDUP(BC2/12,0)</f>
        <v/>
      </c>
      <c r="BD3" s="8">
        <f>ROUNDUP(BD2/12,0)</f>
        <v/>
      </c>
      <c r="BE3" s="8">
        <f>ROUNDUP(BE2/12,0)</f>
        <v/>
      </c>
      <c r="BF3" s="8">
        <f>ROUNDUP(BF2/12,0)</f>
        <v/>
      </c>
      <c r="BG3" s="8">
        <f>ROUNDUP(BG2/12,0)</f>
        <v/>
      </c>
      <c r="BH3" s="8">
        <f>ROUNDUP(BH2/12,0)</f>
        <v/>
      </c>
      <c r="BI3" s="8">
        <f>ROUNDUP(BI2/12,0)</f>
        <v/>
      </c>
      <c r="BJ3" s="8">
        <f>ROUNDUP(BJ2/12,0)</f>
        <v/>
      </c>
      <c r="BK3" s="8">
        <f>ROUNDUP(BK2/12,0)</f>
        <v/>
      </c>
      <c r="BL3" s="8">
        <f>ROUNDUP(BL2/12,0)</f>
        <v/>
      </c>
      <c r="BM3" s="8">
        <f>ROUNDUP(BM2/12,0)</f>
        <v/>
      </c>
      <c r="BN3" s="8">
        <f>ROUNDUP(BN2/12,0)</f>
        <v/>
      </c>
      <c r="BO3" s="8">
        <f>ROUNDUP(BO2/12,0)</f>
        <v/>
      </c>
      <c r="BP3" s="8">
        <f>ROUNDUP(BP2/12,0)</f>
        <v/>
      </c>
      <c r="BQ3" s="8">
        <f>ROUNDUP(BQ2/12,0)</f>
        <v/>
      </c>
      <c r="BR3" s="8">
        <f>ROUNDUP(BR2/12,0)</f>
        <v/>
      </c>
      <c r="BS3" s="8">
        <f>ROUNDUP(BS2/12,0)</f>
        <v/>
      </c>
      <c r="BT3" s="8">
        <f>ROUNDUP(BT2/12,0)</f>
        <v/>
      </c>
      <c r="BU3" s="8">
        <f>ROUNDUP(BU2/12,0)</f>
        <v/>
      </c>
      <c r="BV3" s="8">
        <f>ROUNDUP(BV2/12,0)</f>
        <v/>
      </c>
      <c r="BW3" s="8">
        <f>ROUNDUP(BW2/12,0)</f>
        <v/>
      </c>
      <c r="BX3" s="8">
        <f>ROUNDUP(BX2/12,0)</f>
        <v/>
      </c>
      <c r="BY3" s="8">
        <f>ROUNDUP(BY2/12,0)</f>
        <v/>
      </c>
      <c r="BZ3" s="8">
        <f>ROUNDUP(BZ2/12,0)</f>
        <v/>
      </c>
      <c r="CA3" s="8">
        <f>ROUNDUP(CA2/12,0)</f>
        <v/>
      </c>
      <c r="CB3" s="8">
        <f>ROUNDUP(CB2/12,0)</f>
        <v/>
      </c>
      <c r="CC3" s="8">
        <f>ROUNDUP(CC2/12,0)</f>
        <v/>
      </c>
      <c r="CD3" s="8">
        <f>ROUNDUP(CD2/12,0)</f>
        <v/>
      </c>
      <c r="CE3" s="8">
        <f>ROUNDUP(CE2/12,0)</f>
        <v/>
      </c>
      <c r="CF3" s="8">
        <f>ROUNDUP(CF2/12,0)</f>
        <v/>
      </c>
      <c r="CG3" s="8">
        <f>ROUNDUP(CG2/12,0)</f>
        <v/>
      </c>
      <c r="CH3" s="8">
        <f>ROUNDUP(CH2/12,0)</f>
        <v/>
      </c>
    </row>
    <row r="4">
      <c r="A4" s="3" t="inlineStr">
        <is>
          <t>Venda ativa (1 a partir do lançamento)</t>
        </is>
      </c>
      <c r="C4" s="8">
        <f>IF(C2&gt;=Premissas!$F$8,1,0)</f>
        <v/>
      </c>
      <c r="D4" s="8">
        <f>IF(D2&gt;=Premissas!$F$8,1,0)</f>
        <v/>
      </c>
      <c r="E4" s="8">
        <f>IF(E2&gt;=Premissas!$F$8,1,0)</f>
        <v/>
      </c>
      <c r="F4" s="8">
        <f>IF(F2&gt;=Premissas!$F$8,1,0)</f>
        <v/>
      </c>
      <c r="G4" s="8">
        <f>IF(G2&gt;=Premissas!$F$8,1,0)</f>
        <v/>
      </c>
      <c r="H4" s="8">
        <f>IF(H2&gt;=Premissas!$F$8,1,0)</f>
        <v/>
      </c>
      <c r="I4" s="8">
        <f>IF(I2&gt;=Premissas!$F$8,1,0)</f>
        <v/>
      </c>
      <c r="J4" s="8">
        <f>IF(J2&gt;=Premissas!$F$8,1,0)</f>
        <v/>
      </c>
      <c r="K4" s="8">
        <f>IF(K2&gt;=Premissas!$F$8,1,0)</f>
        <v/>
      </c>
      <c r="L4" s="8">
        <f>IF(L2&gt;=Premissas!$F$8,1,0)</f>
        <v/>
      </c>
      <c r="M4" s="8">
        <f>IF(M2&gt;=Premissas!$F$8,1,0)</f>
        <v/>
      </c>
      <c r="N4" s="8">
        <f>IF(N2&gt;=Premissas!$F$8,1,0)</f>
        <v/>
      </c>
      <c r="O4" s="8">
        <f>IF(O2&gt;=Premissas!$F$8,1,0)</f>
        <v/>
      </c>
      <c r="P4" s="8">
        <f>IF(P2&gt;=Premissas!$F$8,1,0)</f>
        <v/>
      </c>
      <c r="Q4" s="8">
        <f>IF(Q2&gt;=Premissas!$F$8,1,0)</f>
        <v/>
      </c>
      <c r="R4" s="8">
        <f>IF(R2&gt;=Premissas!$F$8,1,0)</f>
        <v/>
      </c>
      <c r="S4" s="8">
        <f>IF(S2&gt;=Premissas!$F$8,1,0)</f>
        <v/>
      </c>
      <c r="T4" s="8">
        <f>IF(T2&gt;=Premissas!$F$8,1,0)</f>
        <v/>
      </c>
      <c r="U4" s="8">
        <f>IF(U2&gt;=Premissas!$F$8,1,0)</f>
        <v/>
      </c>
      <c r="V4" s="8">
        <f>IF(V2&gt;=Premissas!$F$8,1,0)</f>
        <v/>
      </c>
      <c r="W4" s="8">
        <f>IF(W2&gt;=Premissas!$F$8,1,0)</f>
        <v/>
      </c>
      <c r="X4" s="8">
        <f>IF(X2&gt;=Premissas!$F$8,1,0)</f>
        <v/>
      </c>
      <c r="Y4" s="8">
        <f>IF(Y2&gt;=Premissas!$F$8,1,0)</f>
        <v/>
      </c>
      <c r="Z4" s="8">
        <f>IF(Z2&gt;=Premissas!$F$8,1,0)</f>
        <v/>
      </c>
      <c r="AA4" s="8">
        <f>IF(AA2&gt;=Premissas!$F$8,1,0)</f>
        <v/>
      </c>
      <c r="AB4" s="8">
        <f>IF(AB2&gt;=Premissas!$F$8,1,0)</f>
        <v/>
      </c>
      <c r="AC4" s="8">
        <f>IF(AC2&gt;=Premissas!$F$8,1,0)</f>
        <v/>
      </c>
      <c r="AD4" s="8">
        <f>IF(AD2&gt;=Premissas!$F$8,1,0)</f>
        <v/>
      </c>
      <c r="AE4" s="8">
        <f>IF(AE2&gt;=Premissas!$F$8,1,0)</f>
        <v/>
      </c>
      <c r="AF4" s="8">
        <f>IF(AF2&gt;=Premissas!$F$8,1,0)</f>
        <v/>
      </c>
      <c r="AG4" s="8">
        <f>IF(AG2&gt;=Premissas!$F$8,1,0)</f>
        <v/>
      </c>
      <c r="AH4" s="8">
        <f>IF(AH2&gt;=Premissas!$F$8,1,0)</f>
        <v/>
      </c>
      <c r="AI4" s="8">
        <f>IF(AI2&gt;=Premissas!$F$8,1,0)</f>
        <v/>
      </c>
      <c r="AJ4" s="8">
        <f>IF(AJ2&gt;=Premissas!$F$8,1,0)</f>
        <v/>
      </c>
      <c r="AK4" s="8">
        <f>IF(AK2&gt;=Premissas!$F$8,1,0)</f>
        <v/>
      </c>
      <c r="AL4" s="8">
        <f>IF(AL2&gt;=Premissas!$F$8,1,0)</f>
        <v/>
      </c>
      <c r="AM4" s="8">
        <f>IF(AM2&gt;=Premissas!$F$8,1,0)</f>
        <v/>
      </c>
      <c r="AN4" s="8">
        <f>IF(AN2&gt;=Premissas!$F$8,1,0)</f>
        <v/>
      </c>
      <c r="AO4" s="8">
        <f>IF(AO2&gt;=Premissas!$F$8,1,0)</f>
        <v/>
      </c>
      <c r="AP4" s="8">
        <f>IF(AP2&gt;=Premissas!$F$8,1,0)</f>
        <v/>
      </c>
      <c r="AQ4" s="8">
        <f>IF(AQ2&gt;=Premissas!$F$8,1,0)</f>
        <v/>
      </c>
      <c r="AR4" s="8">
        <f>IF(AR2&gt;=Premissas!$F$8,1,0)</f>
        <v/>
      </c>
      <c r="AS4" s="8">
        <f>IF(AS2&gt;=Premissas!$F$8,1,0)</f>
        <v/>
      </c>
      <c r="AT4" s="8">
        <f>IF(AT2&gt;=Premissas!$F$8,1,0)</f>
        <v/>
      </c>
      <c r="AU4" s="8">
        <f>IF(AU2&gt;=Premissas!$F$8,1,0)</f>
        <v/>
      </c>
      <c r="AV4" s="8">
        <f>IF(AV2&gt;=Premissas!$F$8,1,0)</f>
        <v/>
      </c>
      <c r="AW4" s="8">
        <f>IF(AW2&gt;=Premissas!$F$8,1,0)</f>
        <v/>
      </c>
      <c r="AX4" s="8">
        <f>IF(AX2&gt;=Premissas!$F$8,1,0)</f>
        <v/>
      </c>
      <c r="AY4" s="8">
        <f>IF(AY2&gt;=Premissas!$F$8,1,0)</f>
        <v/>
      </c>
      <c r="AZ4" s="8">
        <f>IF(AZ2&gt;=Premissas!$F$8,1,0)</f>
        <v/>
      </c>
      <c r="BA4" s="8">
        <f>IF(BA2&gt;=Premissas!$F$8,1,0)</f>
        <v/>
      </c>
      <c r="BB4" s="8">
        <f>IF(BB2&gt;=Premissas!$F$8,1,0)</f>
        <v/>
      </c>
      <c r="BC4" s="8">
        <f>IF(BC2&gt;=Premissas!$F$8,1,0)</f>
        <v/>
      </c>
      <c r="BD4" s="8">
        <f>IF(BD2&gt;=Premissas!$F$8,1,0)</f>
        <v/>
      </c>
      <c r="BE4" s="8">
        <f>IF(BE2&gt;=Premissas!$F$8,1,0)</f>
        <v/>
      </c>
      <c r="BF4" s="8">
        <f>IF(BF2&gt;=Premissas!$F$8,1,0)</f>
        <v/>
      </c>
      <c r="BG4" s="8">
        <f>IF(BG2&gt;=Premissas!$F$8,1,0)</f>
        <v/>
      </c>
      <c r="BH4" s="8">
        <f>IF(BH2&gt;=Premissas!$F$8,1,0)</f>
        <v/>
      </c>
      <c r="BI4" s="8">
        <f>IF(BI2&gt;=Premissas!$F$8,1,0)</f>
        <v/>
      </c>
      <c r="BJ4" s="8">
        <f>IF(BJ2&gt;=Premissas!$F$8,1,0)</f>
        <v/>
      </c>
      <c r="BK4" s="8">
        <f>IF(BK2&gt;=Premissas!$F$8,1,0)</f>
        <v/>
      </c>
      <c r="BL4" s="8">
        <f>IF(BL2&gt;=Premissas!$F$8,1,0)</f>
        <v/>
      </c>
      <c r="BM4" s="8">
        <f>IF(BM2&gt;=Premissas!$F$8,1,0)</f>
        <v/>
      </c>
      <c r="BN4" s="8">
        <f>IF(BN2&gt;=Premissas!$F$8,1,0)</f>
        <v/>
      </c>
      <c r="BO4" s="8">
        <f>IF(BO2&gt;=Premissas!$F$8,1,0)</f>
        <v/>
      </c>
      <c r="BP4" s="8">
        <f>IF(BP2&gt;=Premissas!$F$8,1,0)</f>
        <v/>
      </c>
      <c r="BQ4" s="8">
        <f>IF(BQ2&gt;=Premissas!$F$8,1,0)</f>
        <v/>
      </c>
      <c r="BR4" s="8">
        <f>IF(BR2&gt;=Premissas!$F$8,1,0)</f>
        <v/>
      </c>
      <c r="BS4" s="8">
        <f>IF(BS2&gt;=Premissas!$F$8,1,0)</f>
        <v/>
      </c>
      <c r="BT4" s="8">
        <f>IF(BT2&gt;=Premissas!$F$8,1,0)</f>
        <v/>
      </c>
      <c r="BU4" s="8">
        <f>IF(BU2&gt;=Premissas!$F$8,1,0)</f>
        <v/>
      </c>
      <c r="BV4" s="8">
        <f>IF(BV2&gt;=Premissas!$F$8,1,0)</f>
        <v/>
      </c>
      <c r="BW4" s="8">
        <f>IF(BW2&gt;=Premissas!$F$8,1,0)</f>
        <v/>
      </c>
      <c r="BX4" s="8">
        <f>IF(BX2&gt;=Premissas!$F$8,1,0)</f>
        <v/>
      </c>
      <c r="BY4" s="8">
        <f>IF(BY2&gt;=Premissas!$F$8,1,0)</f>
        <v/>
      </c>
      <c r="BZ4" s="8">
        <f>IF(BZ2&gt;=Premissas!$F$8,1,0)</f>
        <v/>
      </c>
      <c r="CA4" s="8">
        <f>IF(CA2&gt;=Premissas!$F$8,1,0)</f>
        <v/>
      </c>
      <c r="CB4" s="8">
        <f>IF(CB2&gt;=Premissas!$F$8,1,0)</f>
        <v/>
      </c>
      <c r="CC4" s="8">
        <f>IF(CC2&gt;=Premissas!$F$8,1,0)</f>
        <v/>
      </c>
      <c r="CD4" s="8">
        <f>IF(CD2&gt;=Premissas!$F$8,1,0)</f>
        <v/>
      </c>
      <c r="CE4" s="8">
        <f>IF(CE2&gt;=Premissas!$F$8,1,0)</f>
        <v/>
      </c>
      <c r="CF4" s="8">
        <f>IF(CF2&gt;=Premissas!$F$8,1,0)</f>
        <v/>
      </c>
      <c r="CG4" s="8">
        <f>IF(CG2&gt;=Premissas!$F$8,1,0)</f>
        <v/>
      </c>
      <c r="CH4" s="8">
        <f>IF(CH2&gt;=Premissas!$F$8,1,0)</f>
        <v/>
      </c>
    </row>
    <row r="5">
      <c r="A5" s="3" t="inlineStr">
        <is>
          <t>Fator de expansão para dentistas</t>
        </is>
      </c>
      <c r="C5" s="11">
        <f>IF(C2&gt;=Premissas!$F$13,1+Premissas!$F$14,1)</f>
        <v/>
      </c>
      <c r="D5" s="11">
        <f>IF(D2&gt;=Premissas!$F$13,1+Premissas!$F$14,1)</f>
        <v/>
      </c>
      <c r="E5" s="11">
        <f>IF(E2&gt;=Premissas!$F$13,1+Premissas!$F$14,1)</f>
        <v/>
      </c>
      <c r="F5" s="11">
        <f>IF(F2&gt;=Premissas!$F$13,1+Premissas!$F$14,1)</f>
        <v/>
      </c>
      <c r="G5" s="11">
        <f>IF(G2&gt;=Premissas!$F$13,1+Premissas!$F$14,1)</f>
        <v/>
      </c>
      <c r="H5" s="11">
        <f>IF(H2&gt;=Premissas!$F$13,1+Premissas!$F$14,1)</f>
        <v/>
      </c>
      <c r="I5" s="11">
        <f>IF(I2&gt;=Premissas!$F$13,1+Premissas!$F$14,1)</f>
        <v/>
      </c>
      <c r="J5" s="11">
        <f>IF(J2&gt;=Premissas!$F$13,1+Premissas!$F$14,1)</f>
        <v/>
      </c>
      <c r="K5" s="11">
        <f>IF(K2&gt;=Premissas!$F$13,1+Premissas!$F$14,1)</f>
        <v/>
      </c>
      <c r="L5" s="11">
        <f>IF(L2&gt;=Premissas!$F$13,1+Premissas!$F$14,1)</f>
        <v/>
      </c>
      <c r="M5" s="11">
        <f>IF(M2&gt;=Premissas!$F$13,1+Premissas!$F$14,1)</f>
        <v/>
      </c>
      <c r="N5" s="11">
        <f>IF(N2&gt;=Premissas!$F$13,1+Premissas!$F$14,1)</f>
        <v/>
      </c>
      <c r="O5" s="11">
        <f>IF(O2&gt;=Premissas!$F$13,1+Premissas!$F$14,1)</f>
        <v/>
      </c>
      <c r="P5" s="11">
        <f>IF(P2&gt;=Premissas!$F$13,1+Premissas!$F$14,1)</f>
        <v/>
      </c>
      <c r="Q5" s="11">
        <f>IF(Q2&gt;=Premissas!$F$13,1+Premissas!$F$14,1)</f>
        <v/>
      </c>
      <c r="R5" s="11">
        <f>IF(R2&gt;=Premissas!$F$13,1+Premissas!$F$14,1)</f>
        <v/>
      </c>
      <c r="S5" s="11">
        <f>IF(S2&gt;=Premissas!$F$13,1+Premissas!$F$14,1)</f>
        <v/>
      </c>
      <c r="T5" s="11">
        <f>IF(T2&gt;=Premissas!$F$13,1+Premissas!$F$14,1)</f>
        <v/>
      </c>
      <c r="U5" s="11">
        <f>IF(U2&gt;=Premissas!$F$13,1+Premissas!$F$14,1)</f>
        <v/>
      </c>
      <c r="V5" s="11">
        <f>IF(V2&gt;=Premissas!$F$13,1+Premissas!$F$14,1)</f>
        <v/>
      </c>
      <c r="W5" s="11">
        <f>IF(W2&gt;=Premissas!$F$13,1+Premissas!$F$14,1)</f>
        <v/>
      </c>
      <c r="X5" s="11">
        <f>IF(X2&gt;=Premissas!$F$13,1+Premissas!$F$14,1)</f>
        <v/>
      </c>
      <c r="Y5" s="11">
        <f>IF(Y2&gt;=Premissas!$F$13,1+Premissas!$F$14,1)</f>
        <v/>
      </c>
      <c r="Z5" s="11">
        <f>IF(Z2&gt;=Premissas!$F$13,1+Premissas!$F$14,1)</f>
        <v/>
      </c>
      <c r="AA5" s="11">
        <f>IF(AA2&gt;=Premissas!$F$13,1+Premissas!$F$14,1)</f>
        <v/>
      </c>
      <c r="AB5" s="11">
        <f>IF(AB2&gt;=Premissas!$F$13,1+Premissas!$F$14,1)</f>
        <v/>
      </c>
      <c r="AC5" s="11">
        <f>IF(AC2&gt;=Premissas!$F$13,1+Premissas!$F$14,1)</f>
        <v/>
      </c>
      <c r="AD5" s="11">
        <f>IF(AD2&gt;=Premissas!$F$13,1+Premissas!$F$14,1)</f>
        <v/>
      </c>
      <c r="AE5" s="11">
        <f>IF(AE2&gt;=Premissas!$F$13,1+Premissas!$F$14,1)</f>
        <v/>
      </c>
      <c r="AF5" s="11">
        <f>IF(AF2&gt;=Premissas!$F$13,1+Premissas!$F$14,1)</f>
        <v/>
      </c>
      <c r="AG5" s="11">
        <f>IF(AG2&gt;=Premissas!$F$13,1+Premissas!$F$14,1)</f>
        <v/>
      </c>
      <c r="AH5" s="11">
        <f>IF(AH2&gt;=Premissas!$F$13,1+Premissas!$F$14,1)</f>
        <v/>
      </c>
      <c r="AI5" s="11">
        <f>IF(AI2&gt;=Premissas!$F$13,1+Premissas!$F$14,1)</f>
        <v/>
      </c>
      <c r="AJ5" s="11">
        <f>IF(AJ2&gt;=Premissas!$F$13,1+Premissas!$F$14,1)</f>
        <v/>
      </c>
      <c r="AK5" s="11">
        <f>IF(AK2&gt;=Premissas!$F$13,1+Premissas!$F$14,1)</f>
        <v/>
      </c>
      <c r="AL5" s="11">
        <f>IF(AL2&gt;=Premissas!$F$13,1+Premissas!$F$14,1)</f>
        <v/>
      </c>
      <c r="AM5" s="11">
        <f>IF(AM2&gt;=Premissas!$F$13,1+Premissas!$F$14,1)</f>
        <v/>
      </c>
      <c r="AN5" s="11">
        <f>IF(AN2&gt;=Premissas!$F$13,1+Premissas!$F$14,1)</f>
        <v/>
      </c>
      <c r="AO5" s="11">
        <f>IF(AO2&gt;=Premissas!$F$13,1+Premissas!$F$14,1)</f>
        <v/>
      </c>
      <c r="AP5" s="11">
        <f>IF(AP2&gt;=Premissas!$F$13,1+Premissas!$F$14,1)</f>
        <v/>
      </c>
      <c r="AQ5" s="11">
        <f>IF(AQ2&gt;=Premissas!$F$13,1+Premissas!$F$14,1)</f>
        <v/>
      </c>
      <c r="AR5" s="11">
        <f>IF(AR2&gt;=Premissas!$F$13,1+Premissas!$F$14,1)</f>
        <v/>
      </c>
      <c r="AS5" s="11">
        <f>IF(AS2&gt;=Premissas!$F$13,1+Premissas!$F$14,1)</f>
        <v/>
      </c>
      <c r="AT5" s="11">
        <f>IF(AT2&gt;=Premissas!$F$13,1+Premissas!$F$14,1)</f>
        <v/>
      </c>
      <c r="AU5" s="11">
        <f>IF(AU2&gt;=Premissas!$F$13,1+Premissas!$F$14,1)</f>
        <v/>
      </c>
      <c r="AV5" s="11">
        <f>IF(AV2&gt;=Premissas!$F$13,1+Premissas!$F$14,1)</f>
        <v/>
      </c>
      <c r="AW5" s="11">
        <f>IF(AW2&gt;=Premissas!$F$13,1+Premissas!$F$14,1)</f>
        <v/>
      </c>
      <c r="AX5" s="11">
        <f>IF(AX2&gt;=Premissas!$F$13,1+Premissas!$F$14,1)</f>
        <v/>
      </c>
      <c r="AY5" s="11">
        <f>IF(AY2&gt;=Premissas!$F$13,1+Premissas!$F$14,1)</f>
        <v/>
      </c>
      <c r="AZ5" s="11">
        <f>IF(AZ2&gt;=Premissas!$F$13,1+Premissas!$F$14,1)</f>
        <v/>
      </c>
      <c r="BA5" s="11">
        <f>IF(BA2&gt;=Premissas!$F$13,1+Premissas!$F$14,1)</f>
        <v/>
      </c>
      <c r="BB5" s="11">
        <f>IF(BB2&gt;=Premissas!$F$13,1+Premissas!$F$14,1)</f>
        <v/>
      </c>
      <c r="BC5" s="11">
        <f>IF(BC2&gt;=Premissas!$F$13,1+Premissas!$F$14,1)</f>
        <v/>
      </c>
      <c r="BD5" s="11">
        <f>IF(BD2&gt;=Premissas!$F$13,1+Premissas!$F$14,1)</f>
        <v/>
      </c>
      <c r="BE5" s="11">
        <f>IF(BE2&gt;=Premissas!$F$13,1+Premissas!$F$14,1)</f>
        <v/>
      </c>
      <c r="BF5" s="11">
        <f>IF(BF2&gt;=Premissas!$F$13,1+Premissas!$F$14,1)</f>
        <v/>
      </c>
      <c r="BG5" s="11">
        <f>IF(BG2&gt;=Premissas!$F$13,1+Premissas!$F$14,1)</f>
        <v/>
      </c>
      <c r="BH5" s="11">
        <f>IF(BH2&gt;=Premissas!$F$13,1+Premissas!$F$14,1)</f>
        <v/>
      </c>
      <c r="BI5" s="11">
        <f>IF(BI2&gt;=Premissas!$F$13,1+Premissas!$F$14,1)</f>
        <v/>
      </c>
      <c r="BJ5" s="11">
        <f>IF(BJ2&gt;=Premissas!$F$13,1+Premissas!$F$14,1)</f>
        <v/>
      </c>
      <c r="BK5" s="11">
        <f>IF(BK2&gt;=Premissas!$F$13,1+Premissas!$F$14,1)</f>
        <v/>
      </c>
      <c r="BL5" s="11">
        <f>IF(BL2&gt;=Premissas!$F$13,1+Premissas!$F$14,1)</f>
        <v/>
      </c>
      <c r="BM5" s="11">
        <f>IF(BM2&gt;=Premissas!$F$13,1+Premissas!$F$14,1)</f>
        <v/>
      </c>
      <c r="BN5" s="11">
        <f>IF(BN2&gt;=Premissas!$F$13,1+Premissas!$F$14,1)</f>
        <v/>
      </c>
      <c r="BO5" s="11">
        <f>IF(BO2&gt;=Premissas!$F$13,1+Premissas!$F$14,1)</f>
        <v/>
      </c>
      <c r="BP5" s="11">
        <f>IF(BP2&gt;=Premissas!$F$13,1+Premissas!$F$14,1)</f>
        <v/>
      </c>
      <c r="BQ5" s="11">
        <f>IF(BQ2&gt;=Premissas!$F$13,1+Premissas!$F$14,1)</f>
        <v/>
      </c>
      <c r="BR5" s="11">
        <f>IF(BR2&gt;=Premissas!$F$13,1+Premissas!$F$14,1)</f>
        <v/>
      </c>
      <c r="BS5" s="11">
        <f>IF(BS2&gt;=Premissas!$F$13,1+Premissas!$F$14,1)</f>
        <v/>
      </c>
      <c r="BT5" s="11">
        <f>IF(BT2&gt;=Premissas!$F$13,1+Premissas!$F$14,1)</f>
        <v/>
      </c>
      <c r="BU5" s="11">
        <f>IF(BU2&gt;=Premissas!$F$13,1+Premissas!$F$14,1)</f>
        <v/>
      </c>
      <c r="BV5" s="11">
        <f>IF(BV2&gt;=Premissas!$F$13,1+Premissas!$F$14,1)</f>
        <v/>
      </c>
      <c r="BW5" s="11">
        <f>IF(BW2&gt;=Premissas!$F$13,1+Premissas!$F$14,1)</f>
        <v/>
      </c>
      <c r="BX5" s="11">
        <f>IF(BX2&gt;=Premissas!$F$13,1+Premissas!$F$14,1)</f>
        <v/>
      </c>
      <c r="BY5" s="11">
        <f>IF(BY2&gt;=Premissas!$F$13,1+Premissas!$F$14,1)</f>
        <v/>
      </c>
      <c r="BZ5" s="11">
        <f>IF(BZ2&gt;=Premissas!$F$13,1+Premissas!$F$14,1)</f>
        <v/>
      </c>
      <c r="CA5" s="11">
        <f>IF(CA2&gt;=Premissas!$F$13,1+Premissas!$F$14,1)</f>
        <v/>
      </c>
      <c r="CB5" s="11">
        <f>IF(CB2&gt;=Premissas!$F$13,1+Premissas!$F$14,1)</f>
        <v/>
      </c>
      <c r="CC5" s="11">
        <f>IF(CC2&gt;=Premissas!$F$13,1+Premissas!$F$14,1)</f>
        <v/>
      </c>
      <c r="CD5" s="11">
        <f>IF(CD2&gt;=Premissas!$F$13,1+Premissas!$F$14,1)</f>
        <v/>
      </c>
      <c r="CE5" s="11">
        <f>IF(CE2&gt;=Premissas!$F$13,1+Premissas!$F$14,1)</f>
        <v/>
      </c>
      <c r="CF5" s="11">
        <f>IF(CF2&gt;=Premissas!$F$13,1+Premissas!$F$14,1)</f>
        <v/>
      </c>
      <c r="CG5" s="11">
        <f>IF(CG2&gt;=Premissas!$F$13,1+Premissas!$F$14,1)</f>
        <v/>
      </c>
      <c r="CH5" s="11">
        <f>IF(CH2&gt;=Premissas!$F$13,1+Premissas!$F$14,1)</f>
        <v/>
      </c>
    </row>
    <row r="7">
      <c r="A7" s="4" t="inlineStr">
        <is>
          <t>Aquisição</t>
        </is>
      </c>
      <c r="B7" s="5" t="n"/>
    </row>
    <row r="8">
      <c r="A8" s="3" t="inlineStr">
        <is>
          <t>Mídia paga no mês</t>
        </is>
      </c>
      <c r="C8" s="26">
        <f>INDEX(Premissas!$C$22:$I$22,1,C3)*C4*C5</f>
        <v/>
      </c>
      <c r="D8" s="26">
        <f>INDEX(Premissas!$C$22:$I$22,1,D3)*D4*D5</f>
        <v/>
      </c>
      <c r="E8" s="26">
        <f>INDEX(Premissas!$C$22:$I$22,1,E3)*E4*E5</f>
        <v/>
      </c>
      <c r="F8" s="26">
        <f>INDEX(Premissas!$C$22:$I$22,1,F3)*F4*F5</f>
        <v/>
      </c>
      <c r="G8" s="26">
        <f>INDEX(Premissas!$C$22:$I$22,1,G3)*G4*G5</f>
        <v/>
      </c>
      <c r="H8" s="26">
        <f>INDEX(Premissas!$C$22:$I$22,1,H3)*H4*H5</f>
        <v/>
      </c>
      <c r="I8" s="26">
        <f>INDEX(Premissas!$C$22:$I$22,1,I3)*I4*I5</f>
        <v/>
      </c>
      <c r="J8" s="26">
        <f>INDEX(Premissas!$C$22:$I$22,1,J3)*J4*J5</f>
        <v/>
      </c>
      <c r="K8" s="26">
        <f>INDEX(Premissas!$C$22:$I$22,1,K3)*K4*K5</f>
        <v/>
      </c>
      <c r="L8" s="26">
        <f>INDEX(Premissas!$C$22:$I$22,1,L3)*L4*L5</f>
        <v/>
      </c>
      <c r="M8" s="26">
        <f>INDEX(Premissas!$C$22:$I$22,1,M3)*M4*M5</f>
        <v/>
      </c>
      <c r="N8" s="26">
        <f>INDEX(Premissas!$C$22:$I$22,1,N3)*N4*N5</f>
        <v/>
      </c>
      <c r="O8" s="26">
        <f>INDEX(Premissas!$C$22:$I$22,1,O3)*O4*O5</f>
        <v/>
      </c>
      <c r="P8" s="26">
        <f>INDEX(Premissas!$C$22:$I$22,1,P3)*P4*P5</f>
        <v/>
      </c>
      <c r="Q8" s="26">
        <f>INDEX(Premissas!$C$22:$I$22,1,Q3)*Q4*Q5</f>
        <v/>
      </c>
      <c r="R8" s="26">
        <f>INDEX(Premissas!$C$22:$I$22,1,R3)*R4*R5</f>
        <v/>
      </c>
      <c r="S8" s="26">
        <f>INDEX(Premissas!$C$22:$I$22,1,S3)*S4*S5</f>
        <v/>
      </c>
      <c r="T8" s="26">
        <f>INDEX(Premissas!$C$22:$I$22,1,T3)*T4*T5</f>
        <v/>
      </c>
      <c r="U8" s="26">
        <f>INDEX(Premissas!$C$22:$I$22,1,U3)*U4*U5</f>
        <v/>
      </c>
      <c r="V8" s="26">
        <f>INDEX(Premissas!$C$22:$I$22,1,V3)*V4*V5</f>
        <v/>
      </c>
      <c r="W8" s="26">
        <f>INDEX(Premissas!$C$22:$I$22,1,W3)*W4*W5</f>
        <v/>
      </c>
      <c r="X8" s="26">
        <f>INDEX(Premissas!$C$22:$I$22,1,X3)*X4*X5</f>
        <v/>
      </c>
      <c r="Y8" s="26">
        <f>INDEX(Premissas!$C$22:$I$22,1,Y3)*Y4*Y5</f>
        <v/>
      </c>
      <c r="Z8" s="26">
        <f>INDEX(Premissas!$C$22:$I$22,1,Z3)*Z4*Z5</f>
        <v/>
      </c>
      <c r="AA8" s="26">
        <f>INDEX(Premissas!$C$22:$I$22,1,AA3)*AA4*AA5</f>
        <v/>
      </c>
      <c r="AB8" s="26">
        <f>INDEX(Premissas!$C$22:$I$22,1,AB3)*AB4*AB5</f>
        <v/>
      </c>
      <c r="AC8" s="26">
        <f>INDEX(Premissas!$C$22:$I$22,1,AC3)*AC4*AC5</f>
        <v/>
      </c>
      <c r="AD8" s="26">
        <f>INDEX(Premissas!$C$22:$I$22,1,AD3)*AD4*AD5</f>
        <v/>
      </c>
      <c r="AE8" s="26">
        <f>INDEX(Premissas!$C$22:$I$22,1,AE3)*AE4*AE5</f>
        <v/>
      </c>
      <c r="AF8" s="26">
        <f>INDEX(Premissas!$C$22:$I$22,1,AF3)*AF4*AF5</f>
        <v/>
      </c>
      <c r="AG8" s="26">
        <f>INDEX(Premissas!$C$22:$I$22,1,AG3)*AG4*AG5</f>
        <v/>
      </c>
      <c r="AH8" s="26">
        <f>INDEX(Premissas!$C$22:$I$22,1,AH3)*AH4*AH5</f>
        <v/>
      </c>
      <c r="AI8" s="26">
        <f>INDEX(Premissas!$C$22:$I$22,1,AI3)*AI4*AI5</f>
        <v/>
      </c>
      <c r="AJ8" s="26">
        <f>INDEX(Premissas!$C$22:$I$22,1,AJ3)*AJ4*AJ5</f>
        <v/>
      </c>
      <c r="AK8" s="26">
        <f>INDEX(Premissas!$C$22:$I$22,1,AK3)*AK4*AK5</f>
        <v/>
      </c>
      <c r="AL8" s="26">
        <f>INDEX(Premissas!$C$22:$I$22,1,AL3)*AL4*AL5</f>
        <v/>
      </c>
      <c r="AM8" s="26">
        <f>INDEX(Premissas!$C$22:$I$22,1,AM3)*AM4*AM5</f>
        <v/>
      </c>
      <c r="AN8" s="26">
        <f>INDEX(Premissas!$C$22:$I$22,1,AN3)*AN4*AN5</f>
        <v/>
      </c>
      <c r="AO8" s="26">
        <f>INDEX(Premissas!$C$22:$I$22,1,AO3)*AO4*AO5</f>
        <v/>
      </c>
      <c r="AP8" s="26">
        <f>INDEX(Premissas!$C$22:$I$22,1,AP3)*AP4*AP5</f>
        <v/>
      </c>
      <c r="AQ8" s="26">
        <f>INDEX(Premissas!$C$22:$I$22,1,AQ3)*AQ4*AQ5</f>
        <v/>
      </c>
      <c r="AR8" s="26">
        <f>INDEX(Premissas!$C$22:$I$22,1,AR3)*AR4*AR5</f>
        <v/>
      </c>
      <c r="AS8" s="26">
        <f>INDEX(Premissas!$C$22:$I$22,1,AS3)*AS4*AS5</f>
        <v/>
      </c>
      <c r="AT8" s="26">
        <f>INDEX(Premissas!$C$22:$I$22,1,AT3)*AT4*AT5</f>
        <v/>
      </c>
      <c r="AU8" s="26">
        <f>INDEX(Premissas!$C$22:$I$22,1,AU3)*AU4*AU5</f>
        <v/>
      </c>
      <c r="AV8" s="26">
        <f>INDEX(Premissas!$C$22:$I$22,1,AV3)*AV4*AV5</f>
        <v/>
      </c>
      <c r="AW8" s="26">
        <f>INDEX(Premissas!$C$22:$I$22,1,AW3)*AW4*AW5</f>
        <v/>
      </c>
      <c r="AX8" s="26">
        <f>INDEX(Premissas!$C$22:$I$22,1,AX3)*AX4*AX5</f>
        <v/>
      </c>
      <c r="AY8" s="26">
        <f>INDEX(Premissas!$C$22:$I$22,1,AY3)*AY4*AY5</f>
        <v/>
      </c>
      <c r="AZ8" s="26">
        <f>INDEX(Premissas!$C$22:$I$22,1,AZ3)*AZ4*AZ5</f>
        <v/>
      </c>
      <c r="BA8" s="26">
        <f>INDEX(Premissas!$C$22:$I$22,1,BA3)*BA4*BA5</f>
        <v/>
      </c>
      <c r="BB8" s="26">
        <f>INDEX(Premissas!$C$22:$I$22,1,BB3)*BB4*BB5</f>
        <v/>
      </c>
      <c r="BC8" s="26">
        <f>INDEX(Premissas!$C$22:$I$22,1,BC3)*BC4*BC5</f>
        <v/>
      </c>
      <c r="BD8" s="26">
        <f>INDEX(Premissas!$C$22:$I$22,1,BD3)*BD4*BD5</f>
        <v/>
      </c>
      <c r="BE8" s="26">
        <f>INDEX(Premissas!$C$22:$I$22,1,BE3)*BE4*BE5</f>
        <v/>
      </c>
      <c r="BF8" s="26">
        <f>INDEX(Premissas!$C$22:$I$22,1,BF3)*BF4*BF5</f>
        <v/>
      </c>
      <c r="BG8" s="26">
        <f>INDEX(Premissas!$C$22:$I$22,1,BG3)*BG4*BG5</f>
        <v/>
      </c>
      <c r="BH8" s="26">
        <f>INDEX(Premissas!$C$22:$I$22,1,BH3)*BH4*BH5</f>
        <v/>
      </c>
      <c r="BI8" s="26">
        <f>INDEX(Premissas!$C$22:$I$22,1,BI3)*BI4*BI5</f>
        <v/>
      </c>
      <c r="BJ8" s="26">
        <f>INDEX(Premissas!$C$22:$I$22,1,BJ3)*BJ4*BJ5</f>
        <v/>
      </c>
      <c r="BK8" s="26">
        <f>INDEX(Premissas!$C$22:$I$22,1,BK3)*BK4*BK5</f>
        <v/>
      </c>
      <c r="BL8" s="26">
        <f>INDEX(Premissas!$C$22:$I$22,1,BL3)*BL4*BL5</f>
        <v/>
      </c>
      <c r="BM8" s="26">
        <f>INDEX(Premissas!$C$22:$I$22,1,BM3)*BM4*BM5</f>
        <v/>
      </c>
      <c r="BN8" s="26">
        <f>INDEX(Premissas!$C$22:$I$22,1,BN3)*BN4*BN5</f>
        <v/>
      </c>
      <c r="BO8" s="26">
        <f>INDEX(Premissas!$C$22:$I$22,1,BO3)*BO4*BO5</f>
        <v/>
      </c>
      <c r="BP8" s="26">
        <f>INDEX(Premissas!$C$22:$I$22,1,BP3)*BP4*BP5</f>
        <v/>
      </c>
      <c r="BQ8" s="26">
        <f>INDEX(Premissas!$C$22:$I$22,1,BQ3)*BQ4*BQ5</f>
        <v/>
      </c>
      <c r="BR8" s="26">
        <f>INDEX(Premissas!$C$22:$I$22,1,BR3)*BR4*BR5</f>
        <v/>
      </c>
      <c r="BS8" s="26">
        <f>INDEX(Premissas!$C$22:$I$22,1,BS3)*BS4*BS5</f>
        <v/>
      </c>
      <c r="BT8" s="26">
        <f>INDEX(Premissas!$C$22:$I$22,1,BT3)*BT4*BT5</f>
        <v/>
      </c>
      <c r="BU8" s="26">
        <f>INDEX(Premissas!$C$22:$I$22,1,BU3)*BU4*BU5</f>
        <v/>
      </c>
      <c r="BV8" s="26">
        <f>INDEX(Premissas!$C$22:$I$22,1,BV3)*BV4*BV5</f>
        <v/>
      </c>
      <c r="BW8" s="26">
        <f>INDEX(Premissas!$C$22:$I$22,1,BW3)*BW4*BW5</f>
        <v/>
      </c>
      <c r="BX8" s="26">
        <f>INDEX(Premissas!$C$22:$I$22,1,BX3)*BX4*BX5</f>
        <v/>
      </c>
      <c r="BY8" s="26">
        <f>INDEX(Premissas!$C$22:$I$22,1,BY3)*BY4*BY5</f>
        <v/>
      </c>
      <c r="BZ8" s="26">
        <f>INDEX(Premissas!$C$22:$I$22,1,BZ3)*BZ4*BZ5</f>
        <v/>
      </c>
      <c r="CA8" s="26">
        <f>INDEX(Premissas!$C$22:$I$22,1,CA3)*CA4*CA5</f>
        <v/>
      </c>
      <c r="CB8" s="26">
        <f>INDEX(Premissas!$C$22:$I$22,1,CB3)*CB4*CB5</f>
        <v/>
      </c>
      <c r="CC8" s="26">
        <f>INDEX(Premissas!$C$22:$I$22,1,CC3)*CC4*CC5</f>
        <v/>
      </c>
      <c r="CD8" s="26">
        <f>INDEX(Premissas!$C$22:$I$22,1,CD3)*CD4*CD5</f>
        <v/>
      </c>
      <c r="CE8" s="26">
        <f>INDEX(Premissas!$C$22:$I$22,1,CE3)*CE4*CE5</f>
        <v/>
      </c>
      <c r="CF8" s="26">
        <f>INDEX(Premissas!$C$22:$I$22,1,CF3)*CF4*CF5</f>
        <v/>
      </c>
      <c r="CG8" s="26">
        <f>INDEX(Premissas!$C$22:$I$22,1,CG3)*CG4*CG5</f>
        <v/>
      </c>
      <c r="CH8" s="26">
        <f>INDEX(Premissas!$C$22:$I$22,1,CH3)*CH4*CH5</f>
        <v/>
      </c>
    </row>
    <row r="9">
      <c r="A9" s="3" t="inlineStr">
        <is>
          <t>Novos clientes por mídia paga</t>
        </is>
      </c>
      <c r="C9" s="12">
        <f>C8/Premissas!$F$42</f>
        <v/>
      </c>
      <c r="D9" s="12">
        <f>D8/Premissas!$F$42</f>
        <v/>
      </c>
      <c r="E9" s="12">
        <f>E8/Premissas!$F$42</f>
        <v/>
      </c>
      <c r="F9" s="12">
        <f>F8/Premissas!$F$42</f>
        <v/>
      </c>
      <c r="G9" s="12">
        <f>G8/Premissas!$F$42</f>
        <v/>
      </c>
      <c r="H9" s="12">
        <f>H8/Premissas!$F$42</f>
        <v/>
      </c>
      <c r="I9" s="12">
        <f>I8/Premissas!$F$42</f>
        <v/>
      </c>
      <c r="J9" s="12">
        <f>J8/Premissas!$F$42</f>
        <v/>
      </c>
      <c r="K9" s="12">
        <f>K8/Premissas!$F$42</f>
        <v/>
      </c>
      <c r="L9" s="12">
        <f>L8/Premissas!$F$42</f>
        <v/>
      </c>
      <c r="M9" s="12">
        <f>M8/Premissas!$F$42</f>
        <v/>
      </c>
      <c r="N9" s="12">
        <f>N8/Premissas!$F$42</f>
        <v/>
      </c>
      <c r="O9" s="12">
        <f>O8/Premissas!$F$42</f>
        <v/>
      </c>
      <c r="P9" s="12">
        <f>P8/Premissas!$F$42</f>
        <v/>
      </c>
      <c r="Q9" s="12">
        <f>Q8/Premissas!$F$42</f>
        <v/>
      </c>
      <c r="R9" s="12">
        <f>R8/Premissas!$F$42</f>
        <v/>
      </c>
      <c r="S9" s="12">
        <f>S8/Premissas!$F$42</f>
        <v/>
      </c>
      <c r="T9" s="12">
        <f>T8/Premissas!$F$42</f>
        <v/>
      </c>
      <c r="U9" s="12">
        <f>U8/Premissas!$F$42</f>
        <v/>
      </c>
      <c r="V9" s="12">
        <f>V8/Premissas!$F$42</f>
        <v/>
      </c>
      <c r="W9" s="12">
        <f>W8/Premissas!$F$42</f>
        <v/>
      </c>
      <c r="X9" s="12">
        <f>X8/Premissas!$F$42</f>
        <v/>
      </c>
      <c r="Y9" s="12">
        <f>Y8/Premissas!$F$42</f>
        <v/>
      </c>
      <c r="Z9" s="12">
        <f>Z8/Premissas!$F$42</f>
        <v/>
      </c>
      <c r="AA9" s="12">
        <f>AA8/Premissas!$F$42</f>
        <v/>
      </c>
      <c r="AB9" s="12">
        <f>AB8/Premissas!$F$42</f>
        <v/>
      </c>
      <c r="AC9" s="12">
        <f>AC8/Premissas!$F$42</f>
        <v/>
      </c>
      <c r="AD9" s="12">
        <f>AD8/Premissas!$F$42</f>
        <v/>
      </c>
      <c r="AE9" s="12">
        <f>AE8/Premissas!$F$42</f>
        <v/>
      </c>
      <c r="AF9" s="12">
        <f>AF8/Premissas!$F$42</f>
        <v/>
      </c>
      <c r="AG9" s="12">
        <f>AG8/Premissas!$F$42</f>
        <v/>
      </c>
      <c r="AH9" s="12">
        <f>AH8/Premissas!$F$42</f>
        <v/>
      </c>
      <c r="AI9" s="12">
        <f>AI8/Premissas!$F$42</f>
        <v/>
      </c>
      <c r="AJ9" s="12">
        <f>AJ8/Premissas!$F$42</f>
        <v/>
      </c>
      <c r="AK9" s="12">
        <f>AK8/Premissas!$F$42</f>
        <v/>
      </c>
      <c r="AL9" s="12">
        <f>AL8/Premissas!$F$42</f>
        <v/>
      </c>
      <c r="AM9" s="12">
        <f>AM8/Premissas!$F$42</f>
        <v/>
      </c>
      <c r="AN9" s="12">
        <f>AN8/Premissas!$F$42</f>
        <v/>
      </c>
      <c r="AO9" s="12">
        <f>AO8/Premissas!$F$42</f>
        <v/>
      </c>
      <c r="AP9" s="12">
        <f>AP8/Premissas!$F$42</f>
        <v/>
      </c>
      <c r="AQ9" s="12">
        <f>AQ8/Premissas!$F$42</f>
        <v/>
      </c>
      <c r="AR9" s="12">
        <f>AR8/Premissas!$F$42</f>
        <v/>
      </c>
      <c r="AS9" s="12">
        <f>AS8/Premissas!$F$42</f>
        <v/>
      </c>
      <c r="AT9" s="12">
        <f>AT8/Premissas!$F$42</f>
        <v/>
      </c>
      <c r="AU9" s="12">
        <f>AU8/Premissas!$F$42</f>
        <v/>
      </c>
      <c r="AV9" s="12">
        <f>AV8/Premissas!$F$42</f>
        <v/>
      </c>
      <c r="AW9" s="12">
        <f>AW8/Premissas!$F$42</f>
        <v/>
      </c>
      <c r="AX9" s="12">
        <f>AX8/Premissas!$F$42</f>
        <v/>
      </c>
      <c r="AY9" s="12">
        <f>AY8/Premissas!$F$42</f>
        <v/>
      </c>
      <c r="AZ9" s="12">
        <f>AZ8/Premissas!$F$42</f>
        <v/>
      </c>
      <c r="BA9" s="12">
        <f>BA8/Premissas!$F$42</f>
        <v/>
      </c>
      <c r="BB9" s="12">
        <f>BB8/Premissas!$F$42</f>
        <v/>
      </c>
      <c r="BC9" s="12">
        <f>BC8/Premissas!$F$42</f>
        <v/>
      </c>
      <c r="BD9" s="12">
        <f>BD8/Premissas!$F$42</f>
        <v/>
      </c>
      <c r="BE9" s="12">
        <f>BE8/Premissas!$F$42</f>
        <v/>
      </c>
      <c r="BF9" s="12">
        <f>BF8/Premissas!$F$42</f>
        <v/>
      </c>
      <c r="BG9" s="12">
        <f>BG8/Premissas!$F$42</f>
        <v/>
      </c>
      <c r="BH9" s="12">
        <f>BH8/Premissas!$F$42</f>
        <v/>
      </c>
      <c r="BI9" s="12">
        <f>BI8/Premissas!$F$42</f>
        <v/>
      </c>
      <c r="BJ9" s="12">
        <f>BJ8/Premissas!$F$42</f>
        <v/>
      </c>
      <c r="BK9" s="12">
        <f>BK8/Premissas!$F$42</f>
        <v/>
      </c>
      <c r="BL9" s="12">
        <f>BL8/Premissas!$F$42</f>
        <v/>
      </c>
      <c r="BM9" s="12">
        <f>BM8/Premissas!$F$42</f>
        <v/>
      </c>
      <c r="BN9" s="12">
        <f>BN8/Premissas!$F$42</f>
        <v/>
      </c>
      <c r="BO9" s="12">
        <f>BO8/Premissas!$F$42</f>
        <v/>
      </c>
      <c r="BP9" s="12">
        <f>BP8/Premissas!$F$42</f>
        <v/>
      </c>
      <c r="BQ9" s="12">
        <f>BQ8/Premissas!$F$42</f>
        <v/>
      </c>
      <c r="BR9" s="12">
        <f>BR8/Premissas!$F$42</f>
        <v/>
      </c>
      <c r="BS9" s="12">
        <f>BS8/Premissas!$F$42</f>
        <v/>
      </c>
      <c r="BT9" s="12">
        <f>BT8/Premissas!$F$42</f>
        <v/>
      </c>
      <c r="BU9" s="12">
        <f>BU8/Premissas!$F$42</f>
        <v/>
      </c>
      <c r="BV9" s="12">
        <f>BV8/Premissas!$F$42</f>
        <v/>
      </c>
      <c r="BW9" s="12">
        <f>BW8/Premissas!$F$42</f>
        <v/>
      </c>
      <c r="BX9" s="12">
        <f>BX8/Premissas!$F$42</f>
        <v/>
      </c>
      <c r="BY9" s="12">
        <f>BY8/Premissas!$F$42</f>
        <v/>
      </c>
      <c r="BZ9" s="12">
        <f>BZ8/Premissas!$F$42</f>
        <v/>
      </c>
      <c r="CA9" s="12">
        <f>CA8/Premissas!$F$42</f>
        <v/>
      </c>
      <c r="CB9" s="12">
        <f>CB8/Premissas!$F$42</f>
        <v/>
      </c>
      <c r="CC9" s="12">
        <f>CC8/Premissas!$F$42</f>
        <v/>
      </c>
      <c r="CD9" s="12">
        <f>CD8/Premissas!$F$42</f>
        <v/>
      </c>
      <c r="CE9" s="12">
        <f>CE8/Premissas!$F$42</f>
        <v/>
      </c>
      <c r="CF9" s="12">
        <f>CF8/Premissas!$F$42</f>
        <v/>
      </c>
      <c r="CG9" s="12">
        <f>CG8/Premissas!$F$42</f>
        <v/>
      </c>
      <c r="CH9" s="12">
        <f>CH8/Premissas!$F$42</f>
        <v/>
      </c>
    </row>
    <row r="10">
      <c r="A10" s="3" t="inlineStr">
        <is>
          <t>Novos clientes por parcerias</t>
        </is>
      </c>
      <c r="C10" s="12">
        <f>INDEX(Premissas!$C$23:$I$23,1,C3)*Premissas!$F$18*C4*C5</f>
        <v/>
      </c>
      <c r="D10" s="12">
        <f>INDEX(Premissas!$C$23:$I$23,1,D3)*Premissas!$F$18*D4*D5</f>
        <v/>
      </c>
      <c r="E10" s="12">
        <f>INDEX(Premissas!$C$23:$I$23,1,E3)*Premissas!$F$18*E4*E5</f>
        <v/>
      </c>
      <c r="F10" s="12">
        <f>INDEX(Premissas!$C$23:$I$23,1,F3)*Premissas!$F$18*F4*F5</f>
        <v/>
      </c>
      <c r="G10" s="12">
        <f>INDEX(Premissas!$C$23:$I$23,1,G3)*Premissas!$F$18*G4*G5</f>
        <v/>
      </c>
      <c r="H10" s="12">
        <f>INDEX(Premissas!$C$23:$I$23,1,H3)*Premissas!$F$18*H4*H5</f>
        <v/>
      </c>
      <c r="I10" s="12">
        <f>INDEX(Premissas!$C$23:$I$23,1,I3)*Premissas!$F$18*I4*I5</f>
        <v/>
      </c>
      <c r="J10" s="12">
        <f>INDEX(Premissas!$C$23:$I$23,1,J3)*Premissas!$F$18*J4*J5</f>
        <v/>
      </c>
      <c r="K10" s="12">
        <f>INDEX(Premissas!$C$23:$I$23,1,K3)*Premissas!$F$18*K4*K5</f>
        <v/>
      </c>
      <c r="L10" s="12">
        <f>INDEX(Premissas!$C$23:$I$23,1,L3)*Premissas!$F$18*L4*L5</f>
        <v/>
      </c>
      <c r="M10" s="12">
        <f>INDEX(Premissas!$C$23:$I$23,1,M3)*Premissas!$F$18*M4*M5</f>
        <v/>
      </c>
      <c r="N10" s="12">
        <f>INDEX(Premissas!$C$23:$I$23,1,N3)*Premissas!$F$18*N4*N5</f>
        <v/>
      </c>
      <c r="O10" s="12">
        <f>INDEX(Premissas!$C$23:$I$23,1,O3)*Premissas!$F$18*O4*O5</f>
        <v/>
      </c>
      <c r="P10" s="12">
        <f>INDEX(Premissas!$C$23:$I$23,1,P3)*Premissas!$F$18*P4*P5</f>
        <v/>
      </c>
      <c r="Q10" s="12">
        <f>INDEX(Premissas!$C$23:$I$23,1,Q3)*Premissas!$F$18*Q4*Q5</f>
        <v/>
      </c>
      <c r="R10" s="12">
        <f>INDEX(Premissas!$C$23:$I$23,1,R3)*Premissas!$F$18*R4*R5</f>
        <v/>
      </c>
      <c r="S10" s="12">
        <f>INDEX(Premissas!$C$23:$I$23,1,S3)*Premissas!$F$18*S4*S5</f>
        <v/>
      </c>
      <c r="T10" s="12">
        <f>INDEX(Premissas!$C$23:$I$23,1,T3)*Premissas!$F$18*T4*T5</f>
        <v/>
      </c>
      <c r="U10" s="12">
        <f>INDEX(Premissas!$C$23:$I$23,1,U3)*Premissas!$F$18*U4*U5</f>
        <v/>
      </c>
      <c r="V10" s="12">
        <f>INDEX(Premissas!$C$23:$I$23,1,V3)*Premissas!$F$18*V4*V5</f>
        <v/>
      </c>
      <c r="W10" s="12">
        <f>INDEX(Premissas!$C$23:$I$23,1,W3)*Premissas!$F$18*W4*W5</f>
        <v/>
      </c>
      <c r="X10" s="12">
        <f>INDEX(Premissas!$C$23:$I$23,1,X3)*Premissas!$F$18*X4*X5</f>
        <v/>
      </c>
      <c r="Y10" s="12">
        <f>INDEX(Premissas!$C$23:$I$23,1,Y3)*Premissas!$F$18*Y4*Y5</f>
        <v/>
      </c>
      <c r="Z10" s="12">
        <f>INDEX(Premissas!$C$23:$I$23,1,Z3)*Premissas!$F$18*Z4*Z5</f>
        <v/>
      </c>
      <c r="AA10" s="12">
        <f>INDEX(Premissas!$C$23:$I$23,1,AA3)*Premissas!$F$18*AA4*AA5</f>
        <v/>
      </c>
      <c r="AB10" s="12">
        <f>INDEX(Premissas!$C$23:$I$23,1,AB3)*Premissas!$F$18*AB4*AB5</f>
        <v/>
      </c>
      <c r="AC10" s="12">
        <f>INDEX(Premissas!$C$23:$I$23,1,AC3)*Premissas!$F$18*AC4*AC5</f>
        <v/>
      </c>
      <c r="AD10" s="12">
        <f>INDEX(Premissas!$C$23:$I$23,1,AD3)*Premissas!$F$18*AD4*AD5</f>
        <v/>
      </c>
      <c r="AE10" s="12">
        <f>INDEX(Premissas!$C$23:$I$23,1,AE3)*Premissas!$F$18*AE4*AE5</f>
        <v/>
      </c>
      <c r="AF10" s="12">
        <f>INDEX(Premissas!$C$23:$I$23,1,AF3)*Premissas!$F$18*AF4*AF5</f>
        <v/>
      </c>
      <c r="AG10" s="12">
        <f>INDEX(Premissas!$C$23:$I$23,1,AG3)*Premissas!$F$18*AG4*AG5</f>
        <v/>
      </c>
      <c r="AH10" s="12">
        <f>INDEX(Premissas!$C$23:$I$23,1,AH3)*Premissas!$F$18*AH4*AH5</f>
        <v/>
      </c>
      <c r="AI10" s="12">
        <f>INDEX(Premissas!$C$23:$I$23,1,AI3)*Premissas!$F$18*AI4*AI5</f>
        <v/>
      </c>
      <c r="AJ10" s="12">
        <f>INDEX(Premissas!$C$23:$I$23,1,AJ3)*Premissas!$F$18*AJ4*AJ5</f>
        <v/>
      </c>
      <c r="AK10" s="12">
        <f>INDEX(Premissas!$C$23:$I$23,1,AK3)*Premissas!$F$18*AK4*AK5</f>
        <v/>
      </c>
      <c r="AL10" s="12">
        <f>INDEX(Premissas!$C$23:$I$23,1,AL3)*Premissas!$F$18*AL4*AL5</f>
        <v/>
      </c>
      <c r="AM10" s="12">
        <f>INDEX(Premissas!$C$23:$I$23,1,AM3)*Premissas!$F$18*AM4*AM5</f>
        <v/>
      </c>
      <c r="AN10" s="12">
        <f>INDEX(Premissas!$C$23:$I$23,1,AN3)*Premissas!$F$18*AN4*AN5</f>
        <v/>
      </c>
      <c r="AO10" s="12">
        <f>INDEX(Premissas!$C$23:$I$23,1,AO3)*Premissas!$F$18*AO4*AO5</f>
        <v/>
      </c>
      <c r="AP10" s="12">
        <f>INDEX(Premissas!$C$23:$I$23,1,AP3)*Premissas!$F$18*AP4*AP5</f>
        <v/>
      </c>
      <c r="AQ10" s="12">
        <f>INDEX(Premissas!$C$23:$I$23,1,AQ3)*Premissas!$F$18*AQ4*AQ5</f>
        <v/>
      </c>
      <c r="AR10" s="12">
        <f>INDEX(Premissas!$C$23:$I$23,1,AR3)*Premissas!$F$18*AR4*AR5</f>
        <v/>
      </c>
      <c r="AS10" s="12">
        <f>INDEX(Premissas!$C$23:$I$23,1,AS3)*Premissas!$F$18*AS4*AS5</f>
        <v/>
      </c>
      <c r="AT10" s="12">
        <f>INDEX(Premissas!$C$23:$I$23,1,AT3)*Premissas!$F$18*AT4*AT5</f>
        <v/>
      </c>
      <c r="AU10" s="12">
        <f>INDEX(Premissas!$C$23:$I$23,1,AU3)*Premissas!$F$18*AU4*AU5</f>
        <v/>
      </c>
      <c r="AV10" s="12">
        <f>INDEX(Premissas!$C$23:$I$23,1,AV3)*Premissas!$F$18*AV4*AV5</f>
        <v/>
      </c>
      <c r="AW10" s="12">
        <f>INDEX(Premissas!$C$23:$I$23,1,AW3)*Premissas!$F$18*AW4*AW5</f>
        <v/>
      </c>
      <c r="AX10" s="12">
        <f>INDEX(Premissas!$C$23:$I$23,1,AX3)*Premissas!$F$18*AX4*AX5</f>
        <v/>
      </c>
      <c r="AY10" s="12">
        <f>INDEX(Premissas!$C$23:$I$23,1,AY3)*Premissas!$F$18*AY4*AY5</f>
        <v/>
      </c>
      <c r="AZ10" s="12">
        <f>INDEX(Premissas!$C$23:$I$23,1,AZ3)*Premissas!$F$18*AZ4*AZ5</f>
        <v/>
      </c>
      <c r="BA10" s="12">
        <f>INDEX(Premissas!$C$23:$I$23,1,BA3)*Premissas!$F$18*BA4*BA5</f>
        <v/>
      </c>
      <c r="BB10" s="12">
        <f>INDEX(Premissas!$C$23:$I$23,1,BB3)*Premissas!$F$18*BB4*BB5</f>
        <v/>
      </c>
      <c r="BC10" s="12">
        <f>INDEX(Premissas!$C$23:$I$23,1,BC3)*Premissas!$F$18*BC4*BC5</f>
        <v/>
      </c>
      <c r="BD10" s="12">
        <f>INDEX(Premissas!$C$23:$I$23,1,BD3)*Premissas!$F$18*BD4*BD5</f>
        <v/>
      </c>
      <c r="BE10" s="12">
        <f>INDEX(Premissas!$C$23:$I$23,1,BE3)*Premissas!$F$18*BE4*BE5</f>
        <v/>
      </c>
      <c r="BF10" s="12">
        <f>INDEX(Premissas!$C$23:$I$23,1,BF3)*Premissas!$F$18*BF4*BF5</f>
        <v/>
      </c>
      <c r="BG10" s="12">
        <f>INDEX(Premissas!$C$23:$I$23,1,BG3)*Premissas!$F$18*BG4*BG5</f>
        <v/>
      </c>
      <c r="BH10" s="12">
        <f>INDEX(Premissas!$C$23:$I$23,1,BH3)*Premissas!$F$18*BH4*BH5</f>
        <v/>
      </c>
      <c r="BI10" s="12">
        <f>INDEX(Premissas!$C$23:$I$23,1,BI3)*Premissas!$F$18*BI4*BI5</f>
        <v/>
      </c>
      <c r="BJ10" s="12">
        <f>INDEX(Premissas!$C$23:$I$23,1,BJ3)*Premissas!$F$18*BJ4*BJ5</f>
        <v/>
      </c>
      <c r="BK10" s="12">
        <f>INDEX(Premissas!$C$23:$I$23,1,BK3)*Premissas!$F$18*BK4*BK5</f>
        <v/>
      </c>
      <c r="BL10" s="12">
        <f>INDEX(Premissas!$C$23:$I$23,1,BL3)*Premissas!$F$18*BL4*BL5</f>
        <v/>
      </c>
      <c r="BM10" s="12">
        <f>INDEX(Premissas!$C$23:$I$23,1,BM3)*Premissas!$F$18*BM4*BM5</f>
        <v/>
      </c>
      <c r="BN10" s="12">
        <f>INDEX(Premissas!$C$23:$I$23,1,BN3)*Premissas!$F$18*BN4*BN5</f>
        <v/>
      </c>
      <c r="BO10" s="12">
        <f>INDEX(Premissas!$C$23:$I$23,1,BO3)*Premissas!$F$18*BO4*BO5</f>
        <v/>
      </c>
      <c r="BP10" s="12">
        <f>INDEX(Premissas!$C$23:$I$23,1,BP3)*Premissas!$F$18*BP4*BP5</f>
        <v/>
      </c>
      <c r="BQ10" s="12">
        <f>INDEX(Premissas!$C$23:$I$23,1,BQ3)*Premissas!$F$18*BQ4*BQ5</f>
        <v/>
      </c>
      <c r="BR10" s="12">
        <f>INDEX(Premissas!$C$23:$I$23,1,BR3)*Premissas!$F$18*BR4*BR5</f>
        <v/>
      </c>
      <c r="BS10" s="12">
        <f>INDEX(Premissas!$C$23:$I$23,1,BS3)*Premissas!$F$18*BS4*BS5</f>
        <v/>
      </c>
      <c r="BT10" s="12">
        <f>INDEX(Premissas!$C$23:$I$23,1,BT3)*Premissas!$F$18*BT4*BT5</f>
        <v/>
      </c>
      <c r="BU10" s="12">
        <f>INDEX(Premissas!$C$23:$I$23,1,BU3)*Premissas!$F$18*BU4*BU5</f>
        <v/>
      </c>
      <c r="BV10" s="12">
        <f>INDEX(Premissas!$C$23:$I$23,1,BV3)*Premissas!$F$18*BV4*BV5</f>
        <v/>
      </c>
      <c r="BW10" s="12">
        <f>INDEX(Premissas!$C$23:$I$23,1,BW3)*Premissas!$F$18*BW4*BW5</f>
        <v/>
      </c>
      <c r="BX10" s="12">
        <f>INDEX(Premissas!$C$23:$I$23,1,BX3)*Premissas!$F$18*BX4*BX5</f>
        <v/>
      </c>
      <c r="BY10" s="12">
        <f>INDEX(Premissas!$C$23:$I$23,1,BY3)*Premissas!$F$18*BY4*BY5</f>
        <v/>
      </c>
      <c r="BZ10" s="12">
        <f>INDEX(Premissas!$C$23:$I$23,1,BZ3)*Premissas!$F$18*BZ4*BZ5</f>
        <v/>
      </c>
      <c r="CA10" s="12">
        <f>INDEX(Premissas!$C$23:$I$23,1,CA3)*Premissas!$F$18*CA4*CA5</f>
        <v/>
      </c>
      <c r="CB10" s="12">
        <f>INDEX(Premissas!$C$23:$I$23,1,CB3)*Premissas!$F$18*CB4*CB5</f>
        <v/>
      </c>
      <c r="CC10" s="12">
        <f>INDEX(Premissas!$C$23:$I$23,1,CC3)*Premissas!$F$18*CC4*CC5</f>
        <v/>
      </c>
      <c r="CD10" s="12">
        <f>INDEX(Premissas!$C$23:$I$23,1,CD3)*Premissas!$F$18*CD4*CD5</f>
        <v/>
      </c>
      <c r="CE10" s="12">
        <f>INDEX(Premissas!$C$23:$I$23,1,CE3)*Premissas!$F$18*CE4*CE5</f>
        <v/>
      </c>
      <c r="CF10" s="12">
        <f>INDEX(Premissas!$C$23:$I$23,1,CF3)*Premissas!$F$18*CF4*CF5</f>
        <v/>
      </c>
      <c r="CG10" s="12">
        <f>INDEX(Premissas!$C$23:$I$23,1,CG3)*Premissas!$F$18*CG4*CG5</f>
        <v/>
      </c>
      <c r="CH10" s="12">
        <f>INDEX(Premissas!$C$23:$I$23,1,CH3)*Premissas!$F$18*CH4*CH5</f>
        <v/>
      </c>
    </row>
    <row r="11">
      <c r="A11" s="3" t="inlineStr">
        <is>
          <t>Novos clientes por indicação</t>
        </is>
      </c>
      <c r="C11" s="12">
        <f>0</f>
        <v/>
      </c>
      <c r="D11" s="12">
        <f>C39*Premissas!$F$17*D4</f>
        <v/>
      </c>
      <c r="E11" s="12">
        <f>D39*Premissas!$F$17*E4</f>
        <v/>
      </c>
      <c r="F11" s="12">
        <f>E39*Premissas!$F$17*F4</f>
        <v/>
      </c>
      <c r="G11" s="12">
        <f>F39*Premissas!$F$17*G4</f>
        <v/>
      </c>
      <c r="H11" s="12">
        <f>G39*Premissas!$F$17*H4</f>
        <v/>
      </c>
      <c r="I11" s="12">
        <f>H39*Premissas!$F$17*I4</f>
        <v/>
      </c>
      <c r="J11" s="12">
        <f>I39*Premissas!$F$17*J4</f>
        <v/>
      </c>
      <c r="K11" s="12">
        <f>J39*Premissas!$F$17*K4</f>
        <v/>
      </c>
      <c r="L11" s="12">
        <f>K39*Premissas!$F$17*L4</f>
        <v/>
      </c>
      <c r="M11" s="12">
        <f>L39*Premissas!$F$17*M4</f>
        <v/>
      </c>
      <c r="N11" s="12">
        <f>M39*Premissas!$F$17*N4</f>
        <v/>
      </c>
      <c r="O11" s="12">
        <f>N39*Premissas!$F$17*O4</f>
        <v/>
      </c>
      <c r="P11" s="12">
        <f>O39*Premissas!$F$17*P4</f>
        <v/>
      </c>
      <c r="Q11" s="12">
        <f>P39*Premissas!$F$17*Q4</f>
        <v/>
      </c>
      <c r="R11" s="12">
        <f>Q39*Premissas!$F$17*R4</f>
        <v/>
      </c>
      <c r="S11" s="12">
        <f>R39*Premissas!$F$17*S4</f>
        <v/>
      </c>
      <c r="T11" s="12">
        <f>S39*Premissas!$F$17*T4</f>
        <v/>
      </c>
      <c r="U11" s="12">
        <f>T39*Premissas!$F$17*U4</f>
        <v/>
      </c>
      <c r="V11" s="12">
        <f>U39*Premissas!$F$17*V4</f>
        <v/>
      </c>
      <c r="W11" s="12">
        <f>V39*Premissas!$F$17*W4</f>
        <v/>
      </c>
      <c r="X11" s="12">
        <f>W39*Premissas!$F$17*X4</f>
        <v/>
      </c>
      <c r="Y11" s="12">
        <f>X39*Premissas!$F$17*Y4</f>
        <v/>
      </c>
      <c r="Z11" s="12">
        <f>Y39*Premissas!$F$17*Z4</f>
        <v/>
      </c>
      <c r="AA11" s="12">
        <f>Z39*Premissas!$F$17*AA4</f>
        <v/>
      </c>
      <c r="AB11" s="12">
        <f>AA39*Premissas!$F$17*AB4</f>
        <v/>
      </c>
      <c r="AC11" s="12">
        <f>AB39*Premissas!$F$17*AC4</f>
        <v/>
      </c>
      <c r="AD11" s="12">
        <f>AC39*Premissas!$F$17*AD4</f>
        <v/>
      </c>
      <c r="AE11" s="12">
        <f>AD39*Premissas!$F$17*AE4</f>
        <v/>
      </c>
      <c r="AF11" s="12">
        <f>AE39*Premissas!$F$17*AF4</f>
        <v/>
      </c>
      <c r="AG11" s="12">
        <f>AF39*Premissas!$F$17*AG4</f>
        <v/>
      </c>
      <c r="AH11" s="12">
        <f>AG39*Premissas!$F$17*AH4</f>
        <v/>
      </c>
      <c r="AI11" s="12">
        <f>AH39*Premissas!$F$17*AI4</f>
        <v/>
      </c>
      <c r="AJ11" s="12">
        <f>AI39*Premissas!$F$17*AJ4</f>
        <v/>
      </c>
      <c r="AK11" s="12">
        <f>AJ39*Premissas!$F$17*AK4</f>
        <v/>
      </c>
      <c r="AL11" s="12">
        <f>AK39*Premissas!$F$17*AL4</f>
        <v/>
      </c>
      <c r="AM11" s="12">
        <f>AL39*Premissas!$F$17*AM4</f>
        <v/>
      </c>
      <c r="AN11" s="12">
        <f>AM39*Premissas!$F$17*AN4</f>
        <v/>
      </c>
      <c r="AO11" s="12">
        <f>AN39*Premissas!$F$17*AO4</f>
        <v/>
      </c>
      <c r="AP11" s="12">
        <f>AO39*Premissas!$F$17*AP4</f>
        <v/>
      </c>
      <c r="AQ11" s="12">
        <f>AP39*Premissas!$F$17*AQ4</f>
        <v/>
      </c>
      <c r="AR11" s="12">
        <f>AQ39*Premissas!$F$17*AR4</f>
        <v/>
      </c>
      <c r="AS11" s="12">
        <f>AR39*Premissas!$F$17*AS4</f>
        <v/>
      </c>
      <c r="AT11" s="12">
        <f>AS39*Premissas!$F$17*AT4</f>
        <v/>
      </c>
      <c r="AU11" s="12">
        <f>AT39*Premissas!$F$17*AU4</f>
        <v/>
      </c>
      <c r="AV11" s="12">
        <f>AU39*Premissas!$F$17*AV4</f>
        <v/>
      </c>
      <c r="AW11" s="12">
        <f>AV39*Premissas!$F$17*AW4</f>
        <v/>
      </c>
      <c r="AX11" s="12">
        <f>AW39*Premissas!$F$17*AX4</f>
        <v/>
      </c>
      <c r="AY11" s="12">
        <f>AX39*Premissas!$F$17*AY4</f>
        <v/>
      </c>
      <c r="AZ11" s="12">
        <f>AY39*Premissas!$F$17*AZ4</f>
        <v/>
      </c>
      <c r="BA11" s="12">
        <f>AZ39*Premissas!$F$17*BA4</f>
        <v/>
      </c>
      <c r="BB11" s="12">
        <f>BA39*Premissas!$F$17*BB4</f>
        <v/>
      </c>
      <c r="BC11" s="12">
        <f>BB39*Premissas!$F$17*BC4</f>
        <v/>
      </c>
      <c r="BD11" s="12">
        <f>BC39*Premissas!$F$17*BD4</f>
        <v/>
      </c>
      <c r="BE11" s="12">
        <f>BD39*Premissas!$F$17*BE4</f>
        <v/>
      </c>
      <c r="BF11" s="12">
        <f>BE39*Premissas!$F$17*BF4</f>
        <v/>
      </c>
      <c r="BG11" s="12">
        <f>BF39*Premissas!$F$17*BG4</f>
        <v/>
      </c>
      <c r="BH11" s="12">
        <f>BG39*Premissas!$F$17*BH4</f>
        <v/>
      </c>
      <c r="BI11" s="12">
        <f>BH39*Premissas!$F$17*BI4</f>
        <v/>
      </c>
      <c r="BJ11" s="12">
        <f>BI39*Premissas!$F$17*BJ4</f>
        <v/>
      </c>
      <c r="BK11" s="12">
        <f>BJ39*Premissas!$F$17*BK4</f>
        <v/>
      </c>
      <c r="BL11" s="12">
        <f>BK39*Premissas!$F$17*BL4</f>
        <v/>
      </c>
      <c r="BM11" s="12">
        <f>BL39*Premissas!$F$17*BM4</f>
        <v/>
      </c>
      <c r="BN11" s="12">
        <f>BM39*Premissas!$F$17*BN4</f>
        <v/>
      </c>
      <c r="BO11" s="12">
        <f>BN39*Premissas!$F$17*BO4</f>
        <v/>
      </c>
      <c r="BP11" s="12">
        <f>BO39*Premissas!$F$17*BP4</f>
        <v/>
      </c>
      <c r="BQ11" s="12">
        <f>BP39*Premissas!$F$17*BQ4</f>
        <v/>
      </c>
      <c r="BR11" s="12">
        <f>BQ39*Premissas!$F$17*BR4</f>
        <v/>
      </c>
      <c r="BS11" s="12">
        <f>BR39*Premissas!$F$17*BS4</f>
        <v/>
      </c>
      <c r="BT11" s="12">
        <f>BS39*Premissas!$F$17*BT4</f>
        <v/>
      </c>
      <c r="BU11" s="12">
        <f>BT39*Premissas!$F$17*BU4</f>
        <v/>
      </c>
      <c r="BV11" s="12">
        <f>BU39*Premissas!$F$17*BV4</f>
        <v/>
      </c>
      <c r="BW11" s="12">
        <f>BV39*Premissas!$F$17*BW4</f>
        <v/>
      </c>
      <c r="BX11" s="12">
        <f>BW39*Premissas!$F$17*BX4</f>
        <v/>
      </c>
      <c r="BY11" s="12">
        <f>BX39*Premissas!$F$17*BY4</f>
        <v/>
      </c>
      <c r="BZ11" s="12">
        <f>BY39*Premissas!$F$17*BZ4</f>
        <v/>
      </c>
      <c r="CA11" s="12">
        <f>BZ39*Premissas!$F$17*CA4</f>
        <v/>
      </c>
      <c r="CB11" s="12">
        <f>CA39*Premissas!$F$17*CB4</f>
        <v/>
      </c>
      <c r="CC11" s="12">
        <f>CB39*Premissas!$F$17*CC4</f>
        <v/>
      </c>
      <c r="CD11" s="12">
        <f>CC39*Premissas!$F$17*CD4</f>
        <v/>
      </c>
      <c r="CE11" s="12">
        <f>CD39*Premissas!$F$17*CE4</f>
        <v/>
      </c>
      <c r="CF11" s="12">
        <f>CE39*Premissas!$F$17*CF4</f>
        <v/>
      </c>
      <c r="CG11" s="12">
        <f>CF39*Premissas!$F$17*CG4</f>
        <v/>
      </c>
      <c r="CH11" s="12">
        <f>CG39*Premissas!$F$17*CH4</f>
        <v/>
      </c>
    </row>
    <row r="12">
      <c r="A12" s="2" t="inlineStr">
        <is>
          <t>Novos clientes no mês</t>
        </is>
      </c>
      <c r="C12" s="22">
        <f>C9+C10+C11</f>
        <v/>
      </c>
      <c r="D12" s="22">
        <f>D9+D10+D11</f>
        <v/>
      </c>
      <c r="E12" s="22">
        <f>E9+E10+E11</f>
        <v/>
      </c>
      <c r="F12" s="22">
        <f>F9+F10+F11</f>
        <v/>
      </c>
      <c r="G12" s="22">
        <f>G9+G10+G11</f>
        <v/>
      </c>
      <c r="H12" s="22">
        <f>H9+H10+H11</f>
        <v/>
      </c>
      <c r="I12" s="22">
        <f>I9+I10+I11</f>
        <v/>
      </c>
      <c r="J12" s="22">
        <f>J9+J10+J11</f>
        <v/>
      </c>
      <c r="K12" s="22">
        <f>K9+K10+K11</f>
        <v/>
      </c>
      <c r="L12" s="22">
        <f>L9+L10+L11</f>
        <v/>
      </c>
      <c r="M12" s="22">
        <f>M9+M10+M11</f>
        <v/>
      </c>
      <c r="N12" s="22">
        <f>N9+N10+N11</f>
        <v/>
      </c>
      <c r="O12" s="22">
        <f>O9+O10+O11</f>
        <v/>
      </c>
      <c r="P12" s="22">
        <f>P9+P10+P11</f>
        <v/>
      </c>
      <c r="Q12" s="22">
        <f>Q9+Q10+Q11</f>
        <v/>
      </c>
      <c r="R12" s="22">
        <f>R9+R10+R11</f>
        <v/>
      </c>
      <c r="S12" s="22">
        <f>S9+S10+S11</f>
        <v/>
      </c>
      <c r="T12" s="22">
        <f>T9+T10+T11</f>
        <v/>
      </c>
      <c r="U12" s="22">
        <f>U9+U10+U11</f>
        <v/>
      </c>
      <c r="V12" s="22">
        <f>V9+V10+V11</f>
        <v/>
      </c>
      <c r="W12" s="22">
        <f>W9+W10+W11</f>
        <v/>
      </c>
      <c r="X12" s="22">
        <f>X9+X10+X11</f>
        <v/>
      </c>
      <c r="Y12" s="22">
        <f>Y9+Y10+Y11</f>
        <v/>
      </c>
      <c r="Z12" s="22">
        <f>Z9+Z10+Z11</f>
        <v/>
      </c>
      <c r="AA12" s="22">
        <f>AA9+AA10+AA11</f>
        <v/>
      </c>
      <c r="AB12" s="22">
        <f>AB9+AB10+AB11</f>
        <v/>
      </c>
      <c r="AC12" s="22">
        <f>AC9+AC10+AC11</f>
        <v/>
      </c>
      <c r="AD12" s="22">
        <f>AD9+AD10+AD11</f>
        <v/>
      </c>
      <c r="AE12" s="22">
        <f>AE9+AE10+AE11</f>
        <v/>
      </c>
      <c r="AF12" s="22">
        <f>AF9+AF10+AF11</f>
        <v/>
      </c>
      <c r="AG12" s="22">
        <f>AG9+AG10+AG11</f>
        <v/>
      </c>
      <c r="AH12" s="22">
        <f>AH9+AH10+AH11</f>
        <v/>
      </c>
      <c r="AI12" s="22">
        <f>AI9+AI10+AI11</f>
        <v/>
      </c>
      <c r="AJ12" s="22">
        <f>AJ9+AJ10+AJ11</f>
        <v/>
      </c>
      <c r="AK12" s="22">
        <f>AK9+AK10+AK11</f>
        <v/>
      </c>
      <c r="AL12" s="22">
        <f>AL9+AL10+AL11</f>
        <v/>
      </c>
      <c r="AM12" s="22">
        <f>AM9+AM10+AM11</f>
        <v/>
      </c>
      <c r="AN12" s="22">
        <f>AN9+AN10+AN11</f>
        <v/>
      </c>
      <c r="AO12" s="22">
        <f>AO9+AO10+AO11</f>
        <v/>
      </c>
      <c r="AP12" s="22">
        <f>AP9+AP10+AP11</f>
        <v/>
      </c>
      <c r="AQ12" s="22">
        <f>AQ9+AQ10+AQ11</f>
        <v/>
      </c>
      <c r="AR12" s="22">
        <f>AR9+AR10+AR11</f>
        <v/>
      </c>
      <c r="AS12" s="22">
        <f>AS9+AS10+AS11</f>
        <v/>
      </c>
      <c r="AT12" s="22">
        <f>AT9+AT10+AT11</f>
        <v/>
      </c>
      <c r="AU12" s="22">
        <f>AU9+AU10+AU11</f>
        <v/>
      </c>
      <c r="AV12" s="22">
        <f>AV9+AV10+AV11</f>
        <v/>
      </c>
      <c r="AW12" s="22">
        <f>AW9+AW10+AW11</f>
        <v/>
      </c>
      <c r="AX12" s="22">
        <f>AX9+AX10+AX11</f>
        <v/>
      </c>
      <c r="AY12" s="22">
        <f>AY9+AY10+AY11</f>
        <v/>
      </c>
      <c r="AZ12" s="22">
        <f>AZ9+AZ10+AZ11</f>
        <v/>
      </c>
      <c r="BA12" s="22">
        <f>BA9+BA10+BA11</f>
        <v/>
      </c>
      <c r="BB12" s="22">
        <f>BB9+BB10+BB11</f>
        <v/>
      </c>
      <c r="BC12" s="22">
        <f>BC9+BC10+BC11</f>
        <v/>
      </c>
      <c r="BD12" s="22">
        <f>BD9+BD10+BD11</f>
        <v/>
      </c>
      <c r="BE12" s="22">
        <f>BE9+BE10+BE11</f>
        <v/>
      </c>
      <c r="BF12" s="22">
        <f>BF9+BF10+BF11</f>
        <v/>
      </c>
      <c r="BG12" s="22">
        <f>BG9+BG10+BG11</f>
        <v/>
      </c>
      <c r="BH12" s="22">
        <f>BH9+BH10+BH11</f>
        <v/>
      </c>
      <c r="BI12" s="22">
        <f>BI9+BI10+BI11</f>
        <v/>
      </c>
      <c r="BJ12" s="22">
        <f>BJ9+BJ10+BJ11</f>
        <v/>
      </c>
      <c r="BK12" s="22">
        <f>BK9+BK10+BK11</f>
        <v/>
      </c>
      <c r="BL12" s="22">
        <f>BL9+BL10+BL11</f>
        <v/>
      </c>
      <c r="BM12" s="22">
        <f>BM9+BM10+BM11</f>
        <v/>
      </c>
      <c r="BN12" s="22">
        <f>BN9+BN10+BN11</f>
        <v/>
      </c>
      <c r="BO12" s="22">
        <f>BO9+BO10+BO11</f>
        <v/>
      </c>
      <c r="BP12" s="22">
        <f>BP9+BP10+BP11</f>
        <v/>
      </c>
      <c r="BQ12" s="22">
        <f>BQ9+BQ10+BQ11</f>
        <v/>
      </c>
      <c r="BR12" s="22">
        <f>BR9+BR10+BR11</f>
        <v/>
      </c>
      <c r="BS12" s="22">
        <f>BS9+BS10+BS11</f>
        <v/>
      </c>
      <c r="BT12" s="22">
        <f>BT9+BT10+BT11</f>
        <v/>
      </c>
      <c r="BU12" s="22">
        <f>BU9+BU10+BU11</f>
        <v/>
      </c>
      <c r="BV12" s="22">
        <f>BV9+BV10+BV11</f>
        <v/>
      </c>
      <c r="BW12" s="22">
        <f>BW9+BW10+BW11</f>
        <v/>
      </c>
      <c r="BX12" s="22">
        <f>BX9+BX10+BX11</f>
        <v/>
      </c>
      <c r="BY12" s="22">
        <f>BY9+BY10+BY11</f>
        <v/>
      </c>
      <c r="BZ12" s="22">
        <f>BZ9+BZ10+BZ11</f>
        <v/>
      </c>
      <c r="CA12" s="22">
        <f>CA9+CA10+CA11</f>
        <v/>
      </c>
      <c r="CB12" s="22">
        <f>CB9+CB10+CB11</f>
        <v/>
      </c>
      <c r="CC12" s="22">
        <f>CC9+CC10+CC11</f>
        <v/>
      </c>
      <c r="CD12" s="22">
        <f>CD9+CD10+CD11</f>
        <v/>
      </c>
      <c r="CE12" s="22">
        <f>CE9+CE10+CE11</f>
        <v/>
      </c>
      <c r="CF12" s="22">
        <f>CF9+CF10+CF11</f>
        <v/>
      </c>
      <c r="CG12" s="22">
        <f>CG9+CG10+CG11</f>
        <v/>
      </c>
      <c r="CH12" s="22">
        <f>CH9+CH10+CH11</f>
        <v/>
      </c>
    </row>
    <row r="14">
      <c r="A14" s="4" t="inlineStr">
        <is>
          <t>Plano Essencial</t>
        </is>
      </c>
      <c r="B14" s="5" t="n"/>
    </row>
    <row r="15">
      <c r="A15" s="3" t="inlineStr">
        <is>
          <t>Participação nos novos</t>
        </is>
      </c>
      <c r="C15" s="27">
        <f>Premissas!$F$47</f>
        <v/>
      </c>
      <c r="D15" s="27">
        <f>Premissas!$F$47</f>
        <v/>
      </c>
      <c r="E15" s="27">
        <f>Premissas!$F$47</f>
        <v/>
      </c>
      <c r="F15" s="27">
        <f>Premissas!$F$47</f>
        <v/>
      </c>
      <c r="G15" s="27">
        <f>Premissas!$F$47</f>
        <v/>
      </c>
      <c r="H15" s="27">
        <f>Premissas!$F$47</f>
        <v/>
      </c>
      <c r="I15" s="27">
        <f>Premissas!$F$47</f>
        <v/>
      </c>
      <c r="J15" s="27">
        <f>Premissas!$F$47</f>
        <v/>
      </c>
      <c r="K15" s="27">
        <f>Premissas!$F$47</f>
        <v/>
      </c>
      <c r="L15" s="27">
        <f>Premissas!$F$47</f>
        <v/>
      </c>
      <c r="M15" s="27">
        <f>Premissas!$F$47</f>
        <v/>
      </c>
      <c r="N15" s="27">
        <f>Premissas!$F$47</f>
        <v/>
      </c>
      <c r="O15" s="27">
        <f>Premissas!$F$47</f>
        <v/>
      </c>
      <c r="P15" s="27">
        <f>Premissas!$F$47</f>
        <v/>
      </c>
      <c r="Q15" s="27">
        <f>Premissas!$F$47</f>
        <v/>
      </c>
      <c r="R15" s="27">
        <f>Premissas!$F$47</f>
        <v/>
      </c>
      <c r="S15" s="27">
        <f>Premissas!$F$47</f>
        <v/>
      </c>
      <c r="T15" s="27">
        <f>Premissas!$F$47</f>
        <v/>
      </c>
      <c r="U15" s="27">
        <f>Premissas!$F$47</f>
        <v/>
      </c>
      <c r="V15" s="27">
        <f>Premissas!$F$47</f>
        <v/>
      </c>
      <c r="W15" s="27">
        <f>Premissas!$F$47</f>
        <v/>
      </c>
      <c r="X15" s="27">
        <f>Premissas!$F$47</f>
        <v/>
      </c>
      <c r="Y15" s="27">
        <f>Premissas!$F$47</f>
        <v/>
      </c>
      <c r="Z15" s="27">
        <f>Premissas!$F$47</f>
        <v/>
      </c>
      <c r="AA15" s="27">
        <f>Premissas!$F$47</f>
        <v/>
      </c>
      <c r="AB15" s="27">
        <f>Premissas!$F$47</f>
        <v/>
      </c>
      <c r="AC15" s="27">
        <f>Premissas!$F$47</f>
        <v/>
      </c>
      <c r="AD15" s="27">
        <f>Premissas!$F$47</f>
        <v/>
      </c>
      <c r="AE15" s="27">
        <f>Premissas!$F$47</f>
        <v/>
      </c>
      <c r="AF15" s="27">
        <f>Premissas!$F$47</f>
        <v/>
      </c>
      <c r="AG15" s="27">
        <f>Premissas!$F$47</f>
        <v/>
      </c>
      <c r="AH15" s="27">
        <f>Premissas!$F$47</f>
        <v/>
      </c>
      <c r="AI15" s="27">
        <f>Premissas!$F$47</f>
        <v/>
      </c>
      <c r="AJ15" s="27">
        <f>Premissas!$F$47</f>
        <v/>
      </c>
      <c r="AK15" s="27">
        <f>Premissas!$F$47</f>
        <v/>
      </c>
      <c r="AL15" s="27">
        <f>Premissas!$F$47</f>
        <v/>
      </c>
      <c r="AM15" s="27">
        <f>Premissas!$F$47</f>
        <v/>
      </c>
      <c r="AN15" s="27">
        <f>Premissas!$F$47</f>
        <v/>
      </c>
      <c r="AO15" s="27">
        <f>Premissas!$F$47</f>
        <v/>
      </c>
      <c r="AP15" s="27">
        <f>Premissas!$F$47</f>
        <v/>
      </c>
      <c r="AQ15" s="27">
        <f>Premissas!$F$47</f>
        <v/>
      </c>
      <c r="AR15" s="27">
        <f>Premissas!$F$47</f>
        <v/>
      </c>
      <c r="AS15" s="27">
        <f>Premissas!$F$47</f>
        <v/>
      </c>
      <c r="AT15" s="27">
        <f>Premissas!$F$47</f>
        <v/>
      </c>
      <c r="AU15" s="27">
        <f>Premissas!$F$47</f>
        <v/>
      </c>
      <c r="AV15" s="27">
        <f>Premissas!$F$47</f>
        <v/>
      </c>
      <c r="AW15" s="27">
        <f>Premissas!$F$47</f>
        <v/>
      </c>
      <c r="AX15" s="27">
        <f>Premissas!$F$47</f>
        <v/>
      </c>
      <c r="AY15" s="27">
        <f>Premissas!$F$47</f>
        <v/>
      </c>
      <c r="AZ15" s="27">
        <f>Premissas!$F$47</f>
        <v/>
      </c>
      <c r="BA15" s="27">
        <f>Premissas!$F$47</f>
        <v/>
      </c>
      <c r="BB15" s="27">
        <f>Premissas!$F$47</f>
        <v/>
      </c>
      <c r="BC15" s="27">
        <f>Premissas!$F$47</f>
        <v/>
      </c>
      <c r="BD15" s="27">
        <f>Premissas!$F$47</f>
        <v/>
      </c>
      <c r="BE15" s="27">
        <f>Premissas!$F$47</f>
        <v/>
      </c>
      <c r="BF15" s="27">
        <f>Premissas!$F$47</f>
        <v/>
      </c>
      <c r="BG15" s="27">
        <f>Premissas!$F$47</f>
        <v/>
      </c>
      <c r="BH15" s="27">
        <f>Premissas!$F$47</f>
        <v/>
      </c>
      <c r="BI15" s="27">
        <f>Premissas!$F$47</f>
        <v/>
      </c>
      <c r="BJ15" s="27">
        <f>Premissas!$F$47</f>
        <v/>
      </c>
      <c r="BK15" s="27">
        <f>Premissas!$F$47</f>
        <v/>
      </c>
      <c r="BL15" s="27">
        <f>Premissas!$F$47</f>
        <v/>
      </c>
      <c r="BM15" s="27">
        <f>Premissas!$F$47</f>
        <v/>
      </c>
      <c r="BN15" s="27">
        <f>Premissas!$F$47</f>
        <v/>
      </c>
      <c r="BO15" s="27">
        <f>Premissas!$F$47</f>
        <v/>
      </c>
      <c r="BP15" s="27">
        <f>Premissas!$F$47</f>
        <v/>
      </c>
      <c r="BQ15" s="27">
        <f>Premissas!$F$47</f>
        <v/>
      </c>
      <c r="BR15" s="27">
        <f>Premissas!$F$47</f>
        <v/>
      </c>
      <c r="BS15" s="27">
        <f>Premissas!$F$47</f>
        <v/>
      </c>
      <c r="BT15" s="27">
        <f>Premissas!$F$47</f>
        <v/>
      </c>
      <c r="BU15" s="27">
        <f>Premissas!$F$47</f>
        <v/>
      </c>
      <c r="BV15" s="27">
        <f>Premissas!$F$47</f>
        <v/>
      </c>
      <c r="BW15" s="27">
        <f>Premissas!$F$47</f>
        <v/>
      </c>
      <c r="BX15" s="27">
        <f>Premissas!$F$47</f>
        <v/>
      </c>
      <c r="BY15" s="27">
        <f>Premissas!$F$47</f>
        <v/>
      </c>
      <c r="BZ15" s="27">
        <f>Premissas!$F$47</f>
        <v/>
      </c>
      <c r="CA15" s="27">
        <f>Premissas!$F$47</f>
        <v/>
      </c>
      <c r="CB15" s="27">
        <f>Premissas!$F$47</f>
        <v/>
      </c>
      <c r="CC15" s="27">
        <f>Premissas!$F$47</f>
        <v/>
      </c>
      <c r="CD15" s="27">
        <f>Premissas!$F$47</f>
        <v/>
      </c>
      <c r="CE15" s="27">
        <f>Premissas!$F$47</f>
        <v/>
      </c>
      <c r="CF15" s="27">
        <f>Premissas!$F$47</f>
        <v/>
      </c>
      <c r="CG15" s="27">
        <f>Premissas!$F$47</f>
        <v/>
      </c>
      <c r="CH15" s="27">
        <f>Premissas!$F$47</f>
        <v/>
      </c>
    </row>
    <row r="16">
      <c r="A16" s="3" t="inlineStr">
        <is>
          <t>Novos</t>
        </is>
      </c>
      <c r="C16" s="12">
        <f>C12*C15</f>
        <v/>
      </c>
      <c r="D16" s="12">
        <f>D12*D15</f>
        <v/>
      </c>
      <c r="E16" s="12">
        <f>E12*E15</f>
        <v/>
      </c>
      <c r="F16" s="12">
        <f>F12*F15</f>
        <v/>
      </c>
      <c r="G16" s="12">
        <f>G12*G15</f>
        <v/>
      </c>
      <c r="H16" s="12">
        <f>H12*H15</f>
        <v/>
      </c>
      <c r="I16" s="12">
        <f>I12*I15</f>
        <v/>
      </c>
      <c r="J16" s="12">
        <f>J12*J15</f>
        <v/>
      </c>
      <c r="K16" s="12">
        <f>K12*K15</f>
        <v/>
      </c>
      <c r="L16" s="12">
        <f>L12*L15</f>
        <v/>
      </c>
      <c r="M16" s="12">
        <f>M12*M15</f>
        <v/>
      </c>
      <c r="N16" s="12">
        <f>N12*N15</f>
        <v/>
      </c>
      <c r="O16" s="12">
        <f>O12*O15</f>
        <v/>
      </c>
      <c r="P16" s="12">
        <f>P12*P15</f>
        <v/>
      </c>
      <c r="Q16" s="12">
        <f>Q12*Q15</f>
        <v/>
      </c>
      <c r="R16" s="12">
        <f>R12*R15</f>
        <v/>
      </c>
      <c r="S16" s="12">
        <f>S12*S15</f>
        <v/>
      </c>
      <c r="T16" s="12">
        <f>T12*T15</f>
        <v/>
      </c>
      <c r="U16" s="12">
        <f>U12*U15</f>
        <v/>
      </c>
      <c r="V16" s="12">
        <f>V12*V15</f>
        <v/>
      </c>
      <c r="W16" s="12">
        <f>W12*W15</f>
        <v/>
      </c>
      <c r="X16" s="12">
        <f>X12*X15</f>
        <v/>
      </c>
      <c r="Y16" s="12">
        <f>Y12*Y15</f>
        <v/>
      </c>
      <c r="Z16" s="12">
        <f>Z12*Z15</f>
        <v/>
      </c>
      <c r="AA16" s="12">
        <f>AA12*AA15</f>
        <v/>
      </c>
      <c r="AB16" s="12">
        <f>AB12*AB15</f>
        <v/>
      </c>
      <c r="AC16" s="12">
        <f>AC12*AC15</f>
        <v/>
      </c>
      <c r="AD16" s="12">
        <f>AD12*AD15</f>
        <v/>
      </c>
      <c r="AE16" s="12">
        <f>AE12*AE15</f>
        <v/>
      </c>
      <c r="AF16" s="12">
        <f>AF12*AF15</f>
        <v/>
      </c>
      <c r="AG16" s="12">
        <f>AG12*AG15</f>
        <v/>
      </c>
      <c r="AH16" s="12">
        <f>AH12*AH15</f>
        <v/>
      </c>
      <c r="AI16" s="12">
        <f>AI12*AI15</f>
        <v/>
      </c>
      <c r="AJ16" s="12">
        <f>AJ12*AJ15</f>
        <v/>
      </c>
      <c r="AK16" s="12">
        <f>AK12*AK15</f>
        <v/>
      </c>
      <c r="AL16" s="12">
        <f>AL12*AL15</f>
        <v/>
      </c>
      <c r="AM16" s="12">
        <f>AM12*AM15</f>
        <v/>
      </c>
      <c r="AN16" s="12">
        <f>AN12*AN15</f>
        <v/>
      </c>
      <c r="AO16" s="12">
        <f>AO12*AO15</f>
        <v/>
      </c>
      <c r="AP16" s="12">
        <f>AP12*AP15</f>
        <v/>
      </c>
      <c r="AQ16" s="12">
        <f>AQ12*AQ15</f>
        <v/>
      </c>
      <c r="AR16" s="12">
        <f>AR12*AR15</f>
        <v/>
      </c>
      <c r="AS16" s="12">
        <f>AS12*AS15</f>
        <v/>
      </c>
      <c r="AT16" s="12">
        <f>AT12*AT15</f>
        <v/>
      </c>
      <c r="AU16" s="12">
        <f>AU12*AU15</f>
        <v/>
      </c>
      <c r="AV16" s="12">
        <f>AV12*AV15</f>
        <v/>
      </c>
      <c r="AW16" s="12">
        <f>AW12*AW15</f>
        <v/>
      </c>
      <c r="AX16" s="12">
        <f>AX12*AX15</f>
        <v/>
      </c>
      <c r="AY16" s="12">
        <f>AY12*AY15</f>
        <v/>
      </c>
      <c r="AZ16" s="12">
        <f>AZ12*AZ15</f>
        <v/>
      </c>
      <c r="BA16" s="12">
        <f>BA12*BA15</f>
        <v/>
      </c>
      <c r="BB16" s="12">
        <f>BB12*BB15</f>
        <v/>
      </c>
      <c r="BC16" s="12">
        <f>BC12*BC15</f>
        <v/>
      </c>
      <c r="BD16" s="12">
        <f>BD12*BD15</f>
        <v/>
      </c>
      <c r="BE16" s="12">
        <f>BE12*BE15</f>
        <v/>
      </c>
      <c r="BF16" s="12">
        <f>BF12*BF15</f>
        <v/>
      </c>
      <c r="BG16" s="12">
        <f>BG12*BG15</f>
        <v/>
      </c>
      <c r="BH16" s="12">
        <f>BH12*BH15</f>
        <v/>
      </c>
      <c r="BI16" s="12">
        <f>BI12*BI15</f>
        <v/>
      </c>
      <c r="BJ16" s="12">
        <f>BJ12*BJ15</f>
        <v/>
      </c>
      <c r="BK16" s="12">
        <f>BK12*BK15</f>
        <v/>
      </c>
      <c r="BL16" s="12">
        <f>BL12*BL15</f>
        <v/>
      </c>
      <c r="BM16" s="12">
        <f>BM12*BM15</f>
        <v/>
      </c>
      <c r="BN16" s="12">
        <f>BN12*BN15</f>
        <v/>
      </c>
      <c r="BO16" s="12">
        <f>BO12*BO15</f>
        <v/>
      </c>
      <c r="BP16" s="12">
        <f>BP12*BP15</f>
        <v/>
      </c>
      <c r="BQ16" s="12">
        <f>BQ12*BQ15</f>
        <v/>
      </c>
      <c r="BR16" s="12">
        <f>BR12*BR15</f>
        <v/>
      </c>
      <c r="BS16" s="12">
        <f>BS12*BS15</f>
        <v/>
      </c>
      <c r="BT16" s="12">
        <f>BT12*BT15</f>
        <v/>
      </c>
      <c r="BU16" s="12">
        <f>BU12*BU15</f>
        <v/>
      </c>
      <c r="BV16" s="12">
        <f>BV12*BV15</f>
        <v/>
      </c>
      <c r="BW16" s="12">
        <f>BW12*BW15</f>
        <v/>
      </c>
      <c r="BX16" s="12">
        <f>BX12*BX15</f>
        <v/>
      </c>
      <c r="BY16" s="12">
        <f>BY12*BY15</f>
        <v/>
      </c>
      <c r="BZ16" s="12">
        <f>BZ12*BZ15</f>
        <v/>
      </c>
      <c r="CA16" s="12">
        <f>CA12*CA15</f>
        <v/>
      </c>
      <c r="CB16" s="12">
        <f>CB12*CB15</f>
        <v/>
      </c>
      <c r="CC16" s="12">
        <f>CC12*CC15</f>
        <v/>
      </c>
      <c r="CD16" s="12">
        <f>CD12*CD15</f>
        <v/>
      </c>
      <c r="CE16" s="12">
        <f>CE12*CE15</f>
        <v/>
      </c>
      <c r="CF16" s="12">
        <f>CF12*CF15</f>
        <v/>
      </c>
      <c r="CG16" s="12">
        <f>CG12*CG15</f>
        <v/>
      </c>
      <c r="CH16" s="12">
        <f>CH12*CH15</f>
        <v/>
      </c>
    </row>
    <row r="17">
      <c r="A17" s="3" t="inlineStr">
        <is>
          <t>Cancelados</t>
        </is>
      </c>
      <c r="C17" s="12">
        <f>0*Premissas!$F$48</f>
        <v/>
      </c>
      <c r="D17" s="12">
        <f>C18*Premissas!$F$48</f>
        <v/>
      </c>
      <c r="E17" s="12">
        <f>D18*Premissas!$F$48</f>
        <v/>
      </c>
      <c r="F17" s="12">
        <f>E18*Premissas!$F$48</f>
        <v/>
      </c>
      <c r="G17" s="12">
        <f>F18*Premissas!$F$48</f>
        <v/>
      </c>
      <c r="H17" s="12">
        <f>G18*Premissas!$F$48</f>
        <v/>
      </c>
      <c r="I17" s="12">
        <f>H18*Premissas!$F$48</f>
        <v/>
      </c>
      <c r="J17" s="12">
        <f>I18*Premissas!$F$48</f>
        <v/>
      </c>
      <c r="K17" s="12">
        <f>J18*Premissas!$F$48</f>
        <v/>
      </c>
      <c r="L17" s="12">
        <f>K18*Premissas!$F$48</f>
        <v/>
      </c>
      <c r="M17" s="12">
        <f>L18*Premissas!$F$48</f>
        <v/>
      </c>
      <c r="N17" s="12">
        <f>M18*Premissas!$F$48</f>
        <v/>
      </c>
      <c r="O17" s="12">
        <f>N18*Premissas!$F$48</f>
        <v/>
      </c>
      <c r="P17" s="12">
        <f>O18*Premissas!$F$48</f>
        <v/>
      </c>
      <c r="Q17" s="12">
        <f>P18*Premissas!$F$48</f>
        <v/>
      </c>
      <c r="R17" s="12">
        <f>Q18*Premissas!$F$48</f>
        <v/>
      </c>
      <c r="S17" s="12">
        <f>R18*Premissas!$F$48</f>
        <v/>
      </c>
      <c r="T17" s="12">
        <f>S18*Premissas!$F$48</f>
        <v/>
      </c>
      <c r="U17" s="12">
        <f>T18*Premissas!$F$48</f>
        <v/>
      </c>
      <c r="V17" s="12">
        <f>U18*Premissas!$F$48</f>
        <v/>
      </c>
      <c r="W17" s="12">
        <f>V18*Premissas!$F$48</f>
        <v/>
      </c>
      <c r="X17" s="12">
        <f>W18*Premissas!$F$48</f>
        <v/>
      </c>
      <c r="Y17" s="12">
        <f>X18*Premissas!$F$48</f>
        <v/>
      </c>
      <c r="Z17" s="12">
        <f>Y18*Premissas!$F$48</f>
        <v/>
      </c>
      <c r="AA17" s="12">
        <f>Z18*Premissas!$F$48</f>
        <v/>
      </c>
      <c r="AB17" s="12">
        <f>AA18*Premissas!$F$48</f>
        <v/>
      </c>
      <c r="AC17" s="12">
        <f>AB18*Premissas!$F$48</f>
        <v/>
      </c>
      <c r="AD17" s="12">
        <f>AC18*Premissas!$F$48</f>
        <v/>
      </c>
      <c r="AE17" s="12">
        <f>AD18*Premissas!$F$48</f>
        <v/>
      </c>
      <c r="AF17" s="12">
        <f>AE18*Premissas!$F$48</f>
        <v/>
      </c>
      <c r="AG17" s="12">
        <f>AF18*Premissas!$F$48</f>
        <v/>
      </c>
      <c r="AH17" s="12">
        <f>AG18*Premissas!$F$48</f>
        <v/>
      </c>
      <c r="AI17" s="12">
        <f>AH18*Premissas!$F$48</f>
        <v/>
      </c>
      <c r="AJ17" s="12">
        <f>AI18*Premissas!$F$48</f>
        <v/>
      </c>
      <c r="AK17" s="12">
        <f>AJ18*Premissas!$F$48</f>
        <v/>
      </c>
      <c r="AL17" s="12">
        <f>AK18*Premissas!$F$48</f>
        <v/>
      </c>
      <c r="AM17" s="12">
        <f>AL18*Premissas!$F$48</f>
        <v/>
      </c>
      <c r="AN17" s="12">
        <f>AM18*Premissas!$F$48</f>
        <v/>
      </c>
      <c r="AO17" s="12">
        <f>AN18*Premissas!$F$48</f>
        <v/>
      </c>
      <c r="AP17" s="12">
        <f>AO18*Premissas!$F$48</f>
        <v/>
      </c>
      <c r="AQ17" s="12">
        <f>AP18*Premissas!$F$48</f>
        <v/>
      </c>
      <c r="AR17" s="12">
        <f>AQ18*Premissas!$F$48</f>
        <v/>
      </c>
      <c r="AS17" s="12">
        <f>AR18*Premissas!$F$48</f>
        <v/>
      </c>
      <c r="AT17" s="12">
        <f>AS18*Premissas!$F$48</f>
        <v/>
      </c>
      <c r="AU17" s="12">
        <f>AT18*Premissas!$F$48</f>
        <v/>
      </c>
      <c r="AV17" s="12">
        <f>AU18*Premissas!$F$48</f>
        <v/>
      </c>
      <c r="AW17" s="12">
        <f>AV18*Premissas!$F$48</f>
        <v/>
      </c>
      <c r="AX17" s="12">
        <f>AW18*Premissas!$F$48</f>
        <v/>
      </c>
      <c r="AY17" s="12">
        <f>AX18*Premissas!$F$48</f>
        <v/>
      </c>
      <c r="AZ17" s="12">
        <f>AY18*Premissas!$F$48</f>
        <v/>
      </c>
      <c r="BA17" s="12">
        <f>AZ18*Premissas!$F$48</f>
        <v/>
      </c>
      <c r="BB17" s="12">
        <f>BA18*Premissas!$F$48</f>
        <v/>
      </c>
      <c r="BC17" s="12">
        <f>BB18*Premissas!$F$48</f>
        <v/>
      </c>
      <c r="BD17" s="12">
        <f>BC18*Premissas!$F$48</f>
        <v/>
      </c>
      <c r="BE17" s="12">
        <f>BD18*Premissas!$F$48</f>
        <v/>
      </c>
      <c r="BF17" s="12">
        <f>BE18*Premissas!$F$48</f>
        <v/>
      </c>
      <c r="BG17" s="12">
        <f>BF18*Premissas!$F$48</f>
        <v/>
      </c>
      <c r="BH17" s="12">
        <f>BG18*Premissas!$F$48</f>
        <v/>
      </c>
      <c r="BI17" s="12">
        <f>BH18*Premissas!$F$48</f>
        <v/>
      </c>
      <c r="BJ17" s="12">
        <f>BI18*Premissas!$F$48</f>
        <v/>
      </c>
      <c r="BK17" s="12">
        <f>BJ18*Premissas!$F$48</f>
        <v/>
      </c>
      <c r="BL17" s="12">
        <f>BK18*Premissas!$F$48</f>
        <v/>
      </c>
      <c r="BM17" s="12">
        <f>BL18*Premissas!$F$48</f>
        <v/>
      </c>
      <c r="BN17" s="12">
        <f>BM18*Premissas!$F$48</f>
        <v/>
      </c>
      <c r="BO17" s="12">
        <f>BN18*Premissas!$F$48</f>
        <v/>
      </c>
      <c r="BP17" s="12">
        <f>BO18*Premissas!$F$48</f>
        <v/>
      </c>
      <c r="BQ17" s="12">
        <f>BP18*Premissas!$F$48</f>
        <v/>
      </c>
      <c r="BR17" s="12">
        <f>BQ18*Premissas!$F$48</f>
        <v/>
      </c>
      <c r="BS17" s="12">
        <f>BR18*Premissas!$F$48</f>
        <v/>
      </c>
      <c r="BT17" s="12">
        <f>BS18*Premissas!$F$48</f>
        <v/>
      </c>
      <c r="BU17" s="12">
        <f>BT18*Premissas!$F$48</f>
        <v/>
      </c>
      <c r="BV17" s="12">
        <f>BU18*Premissas!$F$48</f>
        <v/>
      </c>
      <c r="BW17" s="12">
        <f>BV18*Premissas!$F$48</f>
        <v/>
      </c>
      <c r="BX17" s="12">
        <f>BW18*Premissas!$F$48</f>
        <v/>
      </c>
      <c r="BY17" s="12">
        <f>BX18*Premissas!$F$48</f>
        <v/>
      </c>
      <c r="BZ17" s="12">
        <f>BY18*Premissas!$F$48</f>
        <v/>
      </c>
      <c r="CA17" s="12">
        <f>BZ18*Premissas!$F$48</f>
        <v/>
      </c>
      <c r="CB17" s="12">
        <f>CA18*Premissas!$F$48</f>
        <v/>
      </c>
      <c r="CC17" s="12">
        <f>CB18*Premissas!$F$48</f>
        <v/>
      </c>
      <c r="CD17" s="12">
        <f>CC18*Premissas!$F$48</f>
        <v/>
      </c>
      <c r="CE17" s="12">
        <f>CD18*Premissas!$F$48</f>
        <v/>
      </c>
      <c r="CF17" s="12">
        <f>CE18*Premissas!$F$48</f>
        <v/>
      </c>
      <c r="CG17" s="12">
        <f>CF18*Premissas!$F$48</f>
        <v/>
      </c>
      <c r="CH17" s="12">
        <f>CG18*Premissas!$F$48</f>
        <v/>
      </c>
    </row>
    <row r="18">
      <c r="A18" s="2" t="inlineStr">
        <is>
          <t>Ativos no fim do mês</t>
        </is>
      </c>
      <c r="C18" s="22">
        <f>0+C16-C17</f>
        <v/>
      </c>
      <c r="D18" s="22">
        <f>C18+D16-D17</f>
        <v/>
      </c>
      <c r="E18" s="22">
        <f>D18+E16-E17</f>
        <v/>
      </c>
      <c r="F18" s="22">
        <f>E18+F16-F17</f>
        <v/>
      </c>
      <c r="G18" s="22">
        <f>F18+G16-G17</f>
        <v/>
      </c>
      <c r="H18" s="22">
        <f>G18+H16-H17</f>
        <v/>
      </c>
      <c r="I18" s="22">
        <f>H18+I16-I17</f>
        <v/>
      </c>
      <c r="J18" s="22">
        <f>I18+J16-J17</f>
        <v/>
      </c>
      <c r="K18" s="22">
        <f>J18+K16-K17</f>
        <v/>
      </c>
      <c r="L18" s="22">
        <f>K18+L16-L17</f>
        <v/>
      </c>
      <c r="M18" s="22">
        <f>L18+M16-M17</f>
        <v/>
      </c>
      <c r="N18" s="22">
        <f>M18+N16-N17</f>
        <v/>
      </c>
      <c r="O18" s="22">
        <f>N18+O16-O17</f>
        <v/>
      </c>
      <c r="P18" s="22">
        <f>O18+P16-P17</f>
        <v/>
      </c>
      <c r="Q18" s="22">
        <f>P18+Q16-Q17</f>
        <v/>
      </c>
      <c r="R18" s="22">
        <f>Q18+R16-R17</f>
        <v/>
      </c>
      <c r="S18" s="22">
        <f>R18+S16-S17</f>
        <v/>
      </c>
      <c r="T18" s="22">
        <f>S18+T16-T17</f>
        <v/>
      </c>
      <c r="U18" s="22">
        <f>T18+U16-U17</f>
        <v/>
      </c>
      <c r="V18" s="22">
        <f>U18+V16-V17</f>
        <v/>
      </c>
      <c r="W18" s="22">
        <f>V18+W16-W17</f>
        <v/>
      </c>
      <c r="X18" s="22">
        <f>W18+X16-X17</f>
        <v/>
      </c>
      <c r="Y18" s="22">
        <f>X18+Y16-Y17</f>
        <v/>
      </c>
      <c r="Z18" s="22">
        <f>Y18+Z16-Z17</f>
        <v/>
      </c>
      <c r="AA18" s="22">
        <f>Z18+AA16-AA17</f>
        <v/>
      </c>
      <c r="AB18" s="22">
        <f>AA18+AB16-AB17</f>
        <v/>
      </c>
      <c r="AC18" s="22">
        <f>AB18+AC16-AC17</f>
        <v/>
      </c>
      <c r="AD18" s="22">
        <f>AC18+AD16-AD17</f>
        <v/>
      </c>
      <c r="AE18" s="22">
        <f>AD18+AE16-AE17</f>
        <v/>
      </c>
      <c r="AF18" s="22">
        <f>AE18+AF16-AF17</f>
        <v/>
      </c>
      <c r="AG18" s="22">
        <f>AF18+AG16-AG17</f>
        <v/>
      </c>
      <c r="AH18" s="22">
        <f>AG18+AH16-AH17</f>
        <v/>
      </c>
      <c r="AI18" s="22">
        <f>AH18+AI16-AI17</f>
        <v/>
      </c>
      <c r="AJ18" s="22">
        <f>AI18+AJ16-AJ17</f>
        <v/>
      </c>
      <c r="AK18" s="22">
        <f>AJ18+AK16-AK17</f>
        <v/>
      </c>
      <c r="AL18" s="22">
        <f>AK18+AL16-AL17</f>
        <v/>
      </c>
      <c r="AM18" s="22">
        <f>AL18+AM16-AM17</f>
        <v/>
      </c>
      <c r="AN18" s="22">
        <f>AM18+AN16-AN17</f>
        <v/>
      </c>
      <c r="AO18" s="22">
        <f>AN18+AO16-AO17</f>
        <v/>
      </c>
      <c r="AP18" s="22">
        <f>AO18+AP16-AP17</f>
        <v/>
      </c>
      <c r="AQ18" s="22">
        <f>AP18+AQ16-AQ17</f>
        <v/>
      </c>
      <c r="AR18" s="22">
        <f>AQ18+AR16-AR17</f>
        <v/>
      </c>
      <c r="AS18" s="22">
        <f>AR18+AS16-AS17</f>
        <v/>
      </c>
      <c r="AT18" s="22">
        <f>AS18+AT16-AT17</f>
        <v/>
      </c>
      <c r="AU18" s="22">
        <f>AT18+AU16-AU17</f>
        <v/>
      </c>
      <c r="AV18" s="22">
        <f>AU18+AV16-AV17</f>
        <v/>
      </c>
      <c r="AW18" s="22">
        <f>AV18+AW16-AW17</f>
        <v/>
      </c>
      <c r="AX18" s="22">
        <f>AW18+AX16-AX17</f>
        <v/>
      </c>
      <c r="AY18" s="22">
        <f>AX18+AY16-AY17</f>
        <v/>
      </c>
      <c r="AZ18" s="22">
        <f>AY18+AZ16-AZ17</f>
        <v/>
      </c>
      <c r="BA18" s="22">
        <f>AZ18+BA16-BA17</f>
        <v/>
      </c>
      <c r="BB18" s="22">
        <f>BA18+BB16-BB17</f>
        <v/>
      </c>
      <c r="BC18" s="22">
        <f>BB18+BC16-BC17</f>
        <v/>
      </c>
      <c r="BD18" s="22">
        <f>BC18+BD16-BD17</f>
        <v/>
      </c>
      <c r="BE18" s="22">
        <f>BD18+BE16-BE17</f>
        <v/>
      </c>
      <c r="BF18" s="22">
        <f>BE18+BF16-BF17</f>
        <v/>
      </c>
      <c r="BG18" s="22">
        <f>BF18+BG16-BG17</f>
        <v/>
      </c>
      <c r="BH18" s="22">
        <f>BG18+BH16-BH17</f>
        <v/>
      </c>
      <c r="BI18" s="22">
        <f>BH18+BI16-BI17</f>
        <v/>
      </c>
      <c r="BJ18" s="22">
        <f>BI18+BJ16-BJ17</f>
        <v/>
      </c>
      <c r="BK18" s="22">
        <f>BJ18+BK16-BK17</f>
        <v/>
      </c>
      <c r="BL18" s="22">
        <f>BK18+BL16-BL17</f>
        <v/>
      </c>
      <c r="BM18" s="22">
        <f>BL18+BM16-BM17</f>
        <v/>
      </c>
      <c r="BN18" s="22">
        <f>BM18+BN16-BN17</f>
        <v/>
      </c>
      <c r="BO18" s="22">
        <f>BN18+BO16-BO17</f>
        <v/>
      </c>
      <c r="BP18" s="22">
        <f>BO18+BP16-BP17</f>
        <v/>
      </c>
      <c r="BQ18" s="22">
        <f>BP18+BQ16-BQ17</f>
        <v/>
      </c>
      <c r="BR18" s="22">
        <f>BQ18+BR16-BR17</f>
        <v/>
      </c>
      <c r="BS18" s="22">
        <f>BR18+BS16-BS17</f>
        <v/>
      </c>
      <c r="BT18" s="22">
        <f>BS18+BT16-BT17</f>
        <v/>
      </c>
      <c r="BU18" s="22">
        <f>BT18+BU16-BU17</f>
        <v/>
      </c>
      <c r="BV18" s="22">
        <f>BU18+BV16-BV17</f>
        <v/>
      </c>
      <c r="BW18" s="22">
        <f>BV18+BW16-BW17</f>
        <v/>
      </c>
      <c r="BX18" s="22">
        <f>BW18+BX16-BX17</f>
        <v/>
      </c>
      <c r="BY18" s="22">
        <f>BX18+BY16-BY17</f>
        <v/>
      </c>
      <c r="BZ18" s="22">
        <f>BY18+BZ16-BZ17</f>
        <v/>
      </c>
      <c r="CA18" s="22">
        <f>BZ18+CA16-CA17</f>
        <v/>
      </c>
      <c r="CB18" s="22">
        <f>CA18+CB16-CB17</f>
        <v/>
      </c>
      <c r="CC18" s="22">
        <f>CB18+CC16-CC17</f>
        <v/>
      </c>
      <c r="CD18" s="22">
        <f>CC18+CD16-CD17</f>
        <v/>
      </c>
      <c r="CE18" s="22">
        <f>CD18+CE16-CE17</f>
        <v/>
      </c>
      <c r="CF18" s="22">
        <f>CE18+CF16-CF17</f>
        <v/>
      </c>
      <c r="CG18" s="22">
        <f>CF18+CG16-CG17</f>
        <v/>
      </c>
      <c r="CH18" s="22">
        <f>CG18+CH16-CH17</f>
        <v/>
      </c>
    </row>
    <row r="20">
      <c r="A20" s="4" t="inlineStr">
        <is>
          <t>Plano Consultório</t>
        </is>
      </c>
      <c r="B20" s="5" t="n"/>
    </row>
    <row r="21">
      <c r="A21" s="3" t="inlineStr">
        <is>
          <t>Participação nos novos</t>
        </is>
      </c>
      <c r="C21" s="27">
        <f>Premissas!$F$52+IF(C2&lt;13,Premissas!$F$63,0)</f>
        <v/>
      </c>
      <c r="D21" s="27">
        <f>Premissas!$F$52+IF(D2&lt;13,Premissas!$F$63,0)</f>
        <v/>
      </c>
      <c r="E21" s="27">
        <f>Premissas!$F$52+IF(E2&lt;13,Premissas!$F$63,0)</f>
        <v/>
      </c>
      <c r="F21" s="27">
        <f>Premissas!$F$52+IF(F2&lt;13,Premissas!$F$63,0)</f>
        <v/>
      </c>
      <c r="G21" s="27">
        <f>Premissas!$F$52+IF(G2&lt;13,Premissas!$F$63,0)</f>
        <v/>
      </c>
      <c r="H21" s="27">
        <f>Premissas!$F$52+IF(H2&lt;13,Premissas!$F$63,0)</f>
        <v/>
      </c>
      <c r="I21" s="27">
        <f>Premissas!$F$52+IF(I2&lt;13,Premissas!$F$63,0)</f>
        <v/>
      </c>
      <c r="J21" s="27">
        <f>Premissas!$F$52+IF(J2&lt;13,Premissas!$F$63,0)</f>
        <v/>
      </c>
      <c r="K21" s="27">
        <f>Premissas!$F$52+IF(K2&lt;13,Premissas!$F$63,0)</f>
        <v/>
      </c>
      <c r="L21" s="27">
        <f>Premissas!$F$52+IF(L2&lt;13,Premissas!$F$63,0)</f>
        <v/>
      </c>
      <c r="M21" s="27">
        <f>Premissas!$F$52+IF(M2&lt;13,Premissas!$F$63,0)</f>
        <v/>
      </c>
      <c r="N21" s="27">
        <f>Premissas!$F$52+IF(N2&lt;13,Premissas!$F$63,0)</f>
        <v/>
      </c>
      <c r="O21" s="27">
        <f>Premissas!$F$52+IF(O2&lt;13,Premissas!$F$63,0)</f>
        <v/>
      </c>
      <c r="P21" s="27">
        <f>Premissas!$F$52+IF(P2&lt;13,Premissas!$F$63,0)</f>
        <v/>
      </c>
      <c r="Q21" s="27">
        <f>Premissas!$F$52+IF(Q2&lt;13,Premissas!$F$63,0)</f>
        <v/>
      </c>
      <c r="R21" s="27">
        <f>Premissas!$F$52+IF(R2&lt;13,Premissas!$F$63,0)</f>
        <v/>
      </c>
      <c r="S21" s="27">
        <f>Premissas!$F$52+IF(S2&lt;13,Premissas!$F$63,0)</f>
        <v/>
      </c>
      <c r="T21" s="27">
        <f>Premissas!$F$52+IF(T2&lt;13,Premissas!$F$63,0)</f>
        <v/>
      </c>
      <c r="U21" s="27">
        <f>Premissas!$F$52+IF(U2&lt;13,Premissas!$F$63,0)</f>
        <v/>
      </c>
      <c r="V21" s="27">
        <f>Premissas!$F$52+IF(V2&lt;13,Premissas!$F$63,0)</f>
        <v/>
      </c>
      <c r="W21" s="27">
        <f>Premissas!$F$52+IF(W2&lt;13,Premissas!$F$63,0)</f>
        <v/>
      </c>
      <c r="X21" s="27">
        <f>Premissas!$F$52+IF(X2&lt;13,Premissas!$F$63,0)</f>
        <v/>
      </c>
      <c r="Y21" s="27">
        <f>Premissas!$F$52+IF(Y2&lt;13,Premissas!$F$63,0)</f>
        <v/>
      </c>
      <c r="Z21" s="27">
        <f>Premissas!$F$52+IF(Z2&lt;13,Premissas!$F$63,0)</f>
        <v/>
      </c>
      <c r="AA21" s="27">
        <f>Premissas!$F$52+IF(AA2&lt;13,Premissas!$F$63,0)</f>
        <v/>
      </c>
      <c r="AB21" s="27">
        <f>Premissas!$F$52+IF(AB2&lt;13,Premissas!$F$63,0)</f>
        <v/>
      </c>
      <c r="AC21" s="27">
        <f>Premissas!$F$52+IF(AC2&lt;13,Premissas!$F$63,0)</f>
        <v/>
      </c>
      <c r="AD21" s="27">
        <f>Premissas!$F$52+IF(AD2&lt;13,Premissas!$F$63,0)</f>
        <v/>
      </c>
      <c r="AE21" s="27">
        <f>Premissas!$F$52+IF(AE2&lt;13,Premissas!$F$63,0)</f>
        <v/>
      </c>
      <c r="AF21" s="27">
        <f>Premissas!$F$52+IF(AF2&lt;13,Premissas!$F$63,0)</f>
        <v/>
      </c>
      <c r="AG21" s="27">
        <f>Premissas!$F$52+IF(AG2&lt;13,Premissas!$F$63,0)</f>
        <v/>
      </c>
      <c r="AH21" s="27">
        <f>Premissas!$F$52+IF(AH2&lt;13,Premissas!$F$63,0)</f>
        <v/>
      </c>
      <c r="AI21" s="27">
        <f>Premissas!$F$52+IF(AI2&lt;13,Premissas!$F$63,0)</f>
        <v/>
      </c>
      <c r="AJ21" s="27">
        <f>Premissas!$F$52+IF(AJ2&lt;13,Premissas!$F$63,0)</f>
        <v/>
      </c>
      <c r="AK21" s="27">
        <f>Premissas!$F$52+IF(AK2&lt;13,Premissas!$F$63,0)</f>
        <v/>
      </c>
      <c r="AL21" s="27">
        <f>Premissas!$F$52+IF(AL2&lt;13,Premissas!$F$63,0)</f>
        <v/>
      </c>
      <c r="AM21" s="27">
        <f>Premissas!$F$52+IF(AM2&lt;13,Premissas!$F$63,0)</f>
        <v/>
      </c>
      <c r="AN21" s="27">
        <f>Premissas!$F$52+IF(AN2&lt;13,Premissas!$F$63,0)</f>
        <v/>
      </c>
      <c r="AO21" s="27">
        <f>Premissas!$F$52+IF(AO2&lt;13,Premissas!$F$63,0)</f>
        <v/>
      </c>
      <c r="AP21" s="27">
        <f>Premissas!$F$52+IF(AP2&lt;13,Premissas!$F$63,0)</f>
        <v/>
      </c>
      <c r="AQ21" s="27">
        <f>Premissas!$F$52+IF(AQ2&lt;13,Premissas!$F$63,0)</f>
        <v/>
      </c>
      <c r="AR21" s="27">
        <f>Premissas!$F$52+IF(AR2&lt;13,Premissas!$F$63,0)</f>
        <v/>
      </c>
      <c r="AS21" s="27">
        <f>Premissas!$F$52+IF(AS2&lt;13,Premissas!$F$63,0)</f>
        <v/>
      </c>
      <c r="AT21" s="27">
        <f>Premissas!$F$52+IF(AT2&lt;13,Premissas!$F$63,0)</f>
        <v/>
      </c>
      <c r="AU21" s="27">
        <f>Premissas!$F$52+IF(AU2&lt;13,Premissas!$F$63,0)</f>
        <v/>
      </c>
      <c r="AV21" s="27">
        <f>Premissas!$F$52+IF(AV2&lt;13,Premissas!$F$63,0)</f>
        <v/>
      </c>
      <c r="AW21" s="27">
        <f>Premissas!$F$52+IF(AW2&lt;13,Premissas!$F$63,0)</f>
        <v/>
      </c>
      <c r="AX21" s="27">
        <f>Premissas!$F$52+IF(AX2&lt;13,Premissas!$F$63,0)</f>
        <v/>
      </c>
      <c r="AY21" s="27">
        <f>Premissas!$F$52+IF(AY2&lt;13,Premissas!$F$63,0)</f>
        <v/>
      </c>
      <c r="AZ21" s="27">
        <f>Premissas!$F$52+IF(AZ2&lt;13,Premissas!$F$63,0)</f>
        <v/>
      </c>
      <c r="BA21" s="27">
        <f>Premissas!$F$52+IF(BA2&lt;13,Premissas!$F$63,0)</f>
        <v/>
      </c>
      <c r="BB21" s="27">
        <f>Premissas!$F$52+IF(BB2&lt;13,Premissas!$F$63,0)</f>
        <v/>
      </c>
      <c r="BC21" s="27">
        <f>Premissas!$F$52+IF(BC2&lt;13,Premissas!$F$63,0)</f>
        <v/>
      </c>
      <c r="BD21" s="27">
        <f>Premissas!$F$52+IF(BD2&lt;13,Premissas!$F$63,0)</f>
        <v/>
      </c>
      <c r="BE21" s="27">
        <f>Premissas!$F$52+IF(BE2&lt;13,Premissas!$F$63,0)</f>
        <v/>
      </c>
      <c r="BF21" s="27">
        <f>Premissas!$F$52+IF(BF2&lt;13,Premissas!$F$63,0)</f>
        <v/>
      </c>
      <c r="BG21" s="27">
        <f>Premissas!$F$52+IF(BG2&lt;13,Premissas!$F$63,0)</f>
        <v/>
      </c>
      <c r="BH21" s="27">
        <f>Premissas!$F$52+IF(BH2&lt;13,Premissas!$F$63,0)</f>
        <v/>
      </c>
      <c r="BI21" s="27">
        <f>Premissas!$F$52+IF(BI2&lt;13,Premissas!$F$63,0)</f>
        <v/>
      </c>
      <c r="BJ21" s="27">
        <f>Premissas!$F$52+IF(BJ2&lt;13,Premissas!$F$63,0)</f>
        <v/>
      </c>
      <c r="BK21" s="27">
        <f>Premissas!$F$52+IF(BK2&lt;13,Premissas!$F$63,0)</f>
        <v/>
      </c>
      <c r="BL21" s="27">
        <f>Premissas!$F$52+IF(BL2&lt;13,Premissas!$F$63,0)</f>
        <v/>
      </c>
      <c r="BM21" s="27">
        <f>Premissas!$F$52+IF(BM2&lt;13,Premissas!$F$63,0)</f>
        <v/>
      </c>
      <c r="BN21" s="27">
        <f>Premissas!$F$52+IF(BN2&lt;13,Premissas!$F$63,0)</f>
        <v/>
      </c>
      <c r="BO21" s="27">
        <f>Premissas!$F$52+IF(BO2&lt;13,Premissas!$F$63,0)</f>
        <v/>
      </c>
      <c r="BP21" s="27">
        <f>Premissas!$F$52+IF(BP2&lt;13,Premissas!$F$63,0)</f>
        <v/>
      </c>
      <c r="BQ21" s="27">
        <f>Premissas!$F$52+IF(BQ2&lt;13,Premissas!$F$63,0)</f>
        <v/>
      </c>
      <c r="BR21" s="27">
        <f>Premissas!$F$52+IF(BR2&lt;13,Premissas!$F$63,0)</f>
        <v/>
      </c>
      <c r="BS21" s="27">
        <f>Premissas!$F$52+IF(BS2&lt;13,Premissas!$F$63,0)</f>
        <v/>
      </c>
      <c r="BT21" s="27">
        <f>Premissas!$F$52+IF(BT2&lt;13,Premissas!$F$63,0)</f>
        <v/>
      </c>
      <c r="BU21" s="27">
        <f>Premissas!$F$52+IF(BU2&lt;13,Premissas!$F$63,0)</f>
        <v/>
      </c>
      <c r="BV21" s="27">
        <f>Premissas!$F$52+IF(BV2&lt;13,Premissas!$F$63,0)</f>
        <v/>
      </c>
      <c r="BW21" s="27">
        <f>Premissas!$F$52+IF(BW2&lt;13,Premissas!$F$63,0)</f>
        <v/>
      </c>
      <c r="BX21" s="27">
        <f>Premissas!$F$52+IF(BX2&lt;13,Premissas!$F$63,0)</f>
        <v/>
      </c>
      <c r="BY21" s="27">
        <f>Premissas!$F$52+IF(BY2&lt;13,Premissas!$F$63,0)</f>
        <v/>
      </c>
      <c r="BZ21" s="27">
        <f>Premissas!$F$52+IF(BZ2&lt;13,Premissas!$F$63,0)</f>
        <v/>
      </c>
      <c r="CA21" s="27">
        <f>Premissas!$F$52+IF(CA2&lt;13,Premissas!$F$63,0)</f>
        <v/>
      </c>
      <c r="CB21" s="27">
        <f>Premissas!$F$52+IF(CB2&lt;13,Premissas!$F$63,0)</f>
        <v/>
      </c>
      <c r="CC21" s="27">
        <f>Premissas!$F$52+IF(CC2&lt;13,Premissas!$F$63,0)</f>
        <v/>
      </c>
      <c r="CD21" s="27">
        <f>Premissas!$F$52+IF(CD2&lt;13,Premissas!$F$63,0)</f>
        <v/>
      </c>
      <c r="CE21" s="27">
        <f>Premissas!$F$52+IF(CE2&lt;13,Premissas!$F$63,0)</f>
        <v/>
      </c>
      <c r="CF21" s="27">
        <f>Premissas!$F$52+IF(CF2&lt;13,Premissas!$F$63,0)</f>
        <v/>
      </c>
      <c r="CG21" s="27">
        <f>Premissas!$F$52+IF(CG2&lt;13,Premissas!$F$63,0)</f>
        <v/>
      </c>
      <c r="CH21" s="27">
        <f>Premissas!$F$52+IF(CH2&lt;13,Premissas!$F$63,0)</f>
        <v/>
      </c>
    </row>
    <row r="22">
      <c r="A22" s="3" t="inlineStr">
        <is>
          <t>Novos</t>
        </is>
      </c>
      <c r="C22" s="12">
        <f>C12*C21</f>
        <v/>
      </c>
      <c r="D22" s="12">
        <f>D12*D21</f>
        <v/>
      </c>
      <c r="E22" s="12">
        <f>E12*E21</f>
        <v/>
      </c>
      <c r="F22" s="12">
        <f>F12*F21</f>
        <v/>
      </c>
      <c r="G22" s="12">
        <f>G12*G21</f>
        <v/>
      </c>
      <c r="H22" s="12">
        <f>H12*H21</f>
        <v/>
      </c>
      <c r="I22" s="12">
        <f>I12*I21</f>
        <v/>
      </c>
      <c r="J22" s="12">
        <f>J12*J21</f>
        <v/>
      </c>
      <c r="K22" s="12">
        <f>K12*K21</f>
        <v/>
      </c>
      <c r="L22" s="12">
        <f>L12*L21</f>
        <v/>
      </c>
      <c r="M22" s="12">
        <f>M12*M21</f>
        <v/>
      </c>
      <c r="N22" s="12">
        <f>N12*N21</f>
        <v/>
      </c>
      <c r="O22" s="12">
        <f>O12*O21</f>
        <v/>
      </c>
      <c r="P22" s="12">
        <f>P12*P21</f>
        <v/>
      </c>
      <c r="Q22" s="12">
        <f>Q12*Q21</f>
        <v/>
      </c>
      <c r="R22" s="12">
        <f>R12*R21</f>
        <v/>
      </c>
      <c r="S22" s="12">
        <f>S12*S21</f>
        <v/>
      </c>
      <c r="T22" s="12">
        <f>T12*T21</f>
        <v/>
      </c>
      <c r="U22" s="12">
        <f>U12*U21</f>
        <v/>
      </c>
      <c r="V22" s="12">
        <f>V12*V21</f>
        <v/>
      </c>
      <c r="W22" s="12">
        <f>W12*W21</f>
        <v/>
      </c>
      <c r="X22" s="12">
        <f>X12*X21</f>
        <v/>
      </c>
      <c r="Y22" s="12">
        <f>Y12*Y21</f>
        <v/>
      </c>
      <c r="Z22" s="12">
        <f>Z12*Z21</f>
        <v/>
      </c>
      <c r="AA22" s="12">
        <f>AA12*AA21</f>
        <v/>
      </c>
      <c r="AB22" s="12">
        <f>AB12*AB21</f>
        <v/>
      </c>
      <c r="AC22" s="12">
        <f>AC12*AC21</f>
        <v/>
      </c>
      <c r="AD22" s="12">
        <f>AD12*AD21</f>
        <v/>
      </c>
      <c r="AE22" s="12">
        <f>AE12*AE21</f>
        <v/>
      </c>
      <c r="AF22" s="12">
        <f>AF12*AF21</f>
        <v/>
      </c>
      <c r="AG22" s="12">
        <f>AG12*AG21</f>
        <v/>
      </c>
      <c r="AH22" s="12">
        <f>AH12*AH21</f>
        <v/>
      </c>
      <c r="AI22" s="12">
        <f>AI12*AI21</f>
        <v/>
      </c>
      <c r="AJ22" s="12">
        <f>AJ12*AJ21</f>
        <v/>
      </c>
      <c r="AK22" s="12">
        <f>AK12*AK21</f>
        <v/>
      </c>
      <c r="AL22" s="12">
        <f>AL12*AL21</f>
        <v/>
      </c>
      <c r="AM22" s="12">
        <f>AM12*AM21</f>
        <v/>
      </c>
      <c r="AN22" s="12">
        <f>AN12*AN21</f>
        <v/>
      </c>
      <c r="AO22" s="12">
        <f>AO12*AO21</f>
        <v/>
      </c>
      <c r="AP22" s="12">
        <f>AP12*AP21</f>
        <v/>
      </c>
      <c r="AQ22" s="12">
        <f>AQ12*AQ21</f>
        <v/>
      </c>
      <c r="AR22" s="12">
        <f>AR12*AR21</f>
        <v/>
      </c>
      <c r="AS22" s="12">
        <f>AS12*AS21</f>
        <v/>
      </c>
      <c r="AT22" s="12">
        <f>AT12*AT21</f>
        <v/>
      </c>
      <c r="AU22" s="12">
        <f>AU12*AU21</f>
        <v/>
      </c>
      <c r="AV22" s="12">
        <f>AV12*AV21</f>
        <v/>
      </c>
      <c r="AW22" s="12">
        <f>AW12*AW21</f>
        <v/>
      </c>
      <c r="AX22" s="12">
        <f>AX12*AX21</f>
        <v/>
      </c>
      <c r="AY22" s="12">
        <f>AY12*AY21</f>
        <v/>
      </c>
      <c r="AZ22" s="12">
        <f>AZ12*AZ21</f>
        <v/>
      </c>
      <c r="BA22" s="12">
        <f>BA12*BA21</f>
        <v/>
      </c>
      <c r="BB22" s="12">
        <f>BB12*BB21</f>
        <v/>
      </c>
      <c r="BC22" s="12">
        <f>BC12*BC21</f>
        <v/>
      </c>
      <c r="BD22" s="12">
        <f>BD12*BD21</f>
        <v/>
      </c>
      <c r="BE22" s="12">
        <f>BE12*BE21</f>
        <v/>
      </c>
      <c r="BF22" s="12">
        <f>BF12*BF21</f>
        <v/>
      </c>
      <c r="BG22" s="12">
        <f>BG12*BG21</f>
        <v/>
      </c>
      <c r="BH22" s="12">
        <f>BH12*BH21</f>
        <v/>
      </c>
      <c r="BI22" s="12">
        <f>BI12*BI21</f>
        <v/>
      </c>
      <c r="BJ22" s="12">
        <f>BJ12*BJ21</f>
        <v/>
      </c>
      <c r="BK22" s="12">
        <f>BK12*BK21</f>
        <v/>
      </c>
      <c r="BL22" s="12">
        <f>BL12*BL21</f>
        <v/>
      </c>
      <c r="BM22" s="12">
        <f>BM12*BM21</f>
        <v/>
      </c>
      <c r="BN22" s="12">
        <f>BN12*BN21</f>
        <v/>
      </c>
      <c r="BO22" s="12">
        <f>BO12*BO21</f>
        <v/>
      </c>
      <c r="BP22" s="12">
        <f>BP12*BP21</f>
        <v/>
      </c>
      <c r="BQ22" s="12">
        <f>BQ12*BQ21</f>
        <v/>
      </c>
      <c r="BR22" s="12">
        <f>BR12*BR21</f>
        <v/>
      </c>
      <c r="BS22" s="12">
        <f>BS12*BS21</f>
        <v/>
      </c>
      <c r="BT22" s="12">
        <f>BT12*BT21</f>
        <v/>
      </c>
      <c r="BU22" s="12">
        <f>BU12*BU21</f>
        <v/>
      </c>
      <c r="BV22" s="12">
        <f>BV12*BV21</f>
        <v/>
      </c>
      <c r="BW22" s="12">
        <f>BW12*BW21</f>
        <v/>
      </c>
      <c r="BX22" s="12">
        <f>BX12*BX21</f>
        <v/>
      </c>
      <c r="BY22" s="12">
        <f>BY12*BY21</f>
        <v/>
      </c>
      <c r="BZ22" s="12">
        <f>BZ12*BZ21</f>
        <v/>
      </c>
      <c r="CA22" s="12">
        <f>CA12*CA21</f>
        <v/>
      </c>
      <c r="CB22" s="12">
        <f>CB12*CB21</f>
        <v/>
      </c>
      <c r="CC22" s="12">
        <f>CC12*CC21</f>
        <v/>
      </c>
      <c r="CD22" s="12">
        <f>CD12*CD21</f>
        <v/>
      </c>
      <c r="CE22" s="12">
        <f>CE12*CE21</f>
        <v/>
      </c>
      <c r="CF22" s="12">
        <f>CF12*CF21</f>
        <v/>
      </c>
      <c r="CG22" s="12">
        <f>CG12*CG21</f>
        <v/>
      </c>
      <c r="CH22" s="12">
        <f>CH12*CH21</f>
        <v/>
      </c>
    </row>
    <row r="23">
      <c r="A23" s="3" t="inlineStr">
        <is>
          <t>Cancelados</t>
        </is>
      </c>
      <c r="C23" s="12">
        <f>0*Premissas!$F$53</f>
        <v/>
      </c>
      <c r="D23" s="12">
        <f>C24*Premissas!$F$53</f>
        <v/>
      </c>
      <c r="E23" s="12">
        <f>D24*Premissas!$F$53</f>
        <v/>
      </c>
      <c r="F23" s="12">
        <f>E24*Premissas!$F$53</f>
        <v/>
      </c>
      <c r="G23" s="12">
        <f>F24*Premissas!$F$53</f>
        <v/>
      </c>
      <c r="H23" s="12">
        <f>G24*Premissas!$F$53</f>
        <v/>
      </c>
      <c r="I23" s="12">
        <f>H24*Premissas!$F$53</f>
        <v/>
      </c>
      <c r="J23" s="12">
        <f>I24*Premissas!$F$53</f>
        <v/>
      </c>
      <c r="K23" s="12">
        <f>J24*Premissas!$F$53</f>
        <v/>
      </c>
      <c r="L23" s="12">
        <f>K24*Premissas!$F$53</f>
        <v/>
      </c>
      <c r="M23" s="12">
        <f>L24*Premissas!$F$53</f>
        <v/>
      </c>
      <c r="N23" s="12">
        <f>M24*Premissas!$F$53</f>
        <v/>
      </c>
      <c r="O23" s="12">
        <f>N24*Premissas!$F$53</f>
        <v/>
      </c>
      <c r="P23" s="12">
        <f>O24*Premissas!$F$53</f>
        <v/>
      </c>
      <c r="Q23" s="12">
        <f>P24*Premissas!$F$53</f>
        <v/>
      </c>
      <c r="R23" s="12">
        <f>Q24*Premissas!$F$53</f>
        <v/>
      </c>
      <c r="S23" s="12">
        <f>R24*Premissas!$F$53</f>
        <v/>
      </c>
      <c r="T23" s="12">
        <f>S24*Premissas!$F$53</f>
        <v/>
      </c>
      <c r="U23" s="12">
        <f>T24*Premissas!$F$53</f>
        <v/>
      </c>
      <c r="V23" s="12">
        <f>U24*Premissas!$F$53</f>
        <v/>
      </c>
      <c r="W23" s="12">
        <f>V24*Premissas!$F$53</f>
        <v/>
      </c>
      <c r="X23" s="12">
        <f>W24*Premissas!$F$53</f>
        <v/>
      </c>
      <c r="Y23" s="12">
        <f>X24*Premissas!$F$53</f>
        <v/>
      </c>
      <c r="Z23" s="12">
        <f>Y24*Premissas!$F$53</f>
        <v/>
      </c>
      <c r="AA23" s="12">
        <f>Z24*Premissas!$F$53</f>
        <v/>
      </c>
      <c r="AB23" s="12">
        <f>AA24*Premissas!$F$53</f>
        <v/>
      </c>
      <c r="AC23" s="12">
        <f>AB24*Premissas!$F$53</f>
        <v/>
      </c>
      <c r="AD23" s="12">
        <f>AC24*Premissas!$F$53</f>
        <v/>
      </c>
      <c r="AE23" s="12">
        <f>AD24*Premissas!$F$53</f>
        <v/>
      </c>
      <c r="AF23" s="12">
        <f>AE24*Premissas!$F$53</f>
        <v/>
      </c>
      <c r="AG23" s="12">
        <f>AF24*Premissas!$F$53</f>
        <v/>
      </c>
      <c r="AH23" s="12">
        <f>AG24*Premissas!$F$53</f>
        <v/>
      </c>
      <c r="AI23" s="12">
        <f>AH24*Premissas!$F$53</f>
        <v/>
      </c>
      <c r="AJ23" s="12">
        <f>AI24*Premissas!$F$53</f>
        <v/>
      </c>
      <c r="AK23" s="12">
        <f>AJ24*Premissas!$F$53</f>
        <v/>
      </c>
      <c r="AL23" s="12">
        <f>AK24*Premissas!$F$53</f>
        <v/>
      </c>
      <c r="AM23" s="12">
        <f>AL24*Premissas!$F$53</f>
        <v/>
      </c>
      <c r="AN23" s="12">
        <f>AM24*Premissas!$F$53</f>
        <v/>
      </c>
      <c r="AO23" s="12">
        <f>AN24*Premissas!$F$53</f>
        <v/>
      </c>
      <c r="AP23" s="12">
        <f>AO24*Premissas!$F$53</f>
        <v/>
      </c>
      <c r="AQ23" s="12">
        <f>AP24*Premissas!$F$53</f>
        <v/>
      </c>
      <c r="AR23" s="12">
        <f>AQ24*Premissas!$F$53</f>
        <v/>
      </c>
      <c r="AS23" s="12">
        <f>AR24*Premissas!$F$53</f>
        <v/>
      </c>
      <c r="AT23" s="12">
        <f>AS24*Premissas!$F$53</f>
        <v/>
      </c>
      <c r="AU23" s="12">
        <f>AT24*Premissas!$F$53</f>
        <v/>
      </c>
      <c r="AV23" s="12">
        <f>AU24*Premissas!$F$53</f>
        <v/>
      </c>
      <c r="AW23" s="12">
        <f>AV24*Premissas!$F$53</f>
        <v/>
      </c>
      <c r="AX23" s="12">
        <f>AW24*Premissas!$F$53</f>
        <v/>
      </c>
      <c r="AY23" s="12">
        <f>AX24*Premissas!$F$53</f>
        <v/>
      </c>
      <c r="AZ23" s="12">
        <f>AY24*Premissas!$F$53</f>
        <v/>
      </c>
      <c r="BA23" s="12">
        <f>AZ24*Premissas!$F$53</f>
        <v/>
      </c>
      <c r="BB23" s="12">
        <f>BA24*Premissas!$F$53</f>
        <v/>
      </c>
      <c r="BC23" s="12">
        <f>BB24*Premissas!$F$53</f>
        <v/>
      </c>
      <c r="BD23" s="12">
        <f>BC24*Premissas!$F$53</f>
        <v/>
      </c>
      <c r="BE23" s="12">
        <f>BD24*Premissas!$F$53</f>
        <v/>
      </c>
      <c r="BF23" s="12">
        <f>BE24*Premissas!$F$53</f>
        <v/>
      </c>
      <c r="BG23" s="12">
        <f>BF24*Premissas!$F$53</f>
        <v/>
      </c>
      <c r="BH23" s="12">
        <f>BG24*Premissas!$F$53</f>
        <v/>
      </c>
      <c r="BI23" s="12">
        <f>BH24*Premissas!$F$53</f>
        <v/>
      </c>
      <c r="BJ23" s="12">
        <f>BI24*Premissas!$F$53</f>
        <v/>
      </c>
      <c r="BK23" s="12">
        <f>BJ24*Premissas!$F$53</f>
        <v/>
      </c>
      <c r="BL23" s="12">
        <f>BK24*Premissas!$F$53</f>
        <v/>
      </c>
      <c r="BM23" s="12">
        <f>BL24*Premissas!$F$53</f>
        <v/>
      </c>
      <c r="BN23" s="12">
        <f>BM24*Premissas!$F$53</f>
        <v/>
      </c>
      <c r="BO23" s="12">
        <f>BN24*Premissas!$F$53</f>
        <v/>
      </c>
      <c r="BP23" s="12">
        <f>BO24*Premissas!$F$53</f>
        <v/>
      </c>
      <c r="BQ23" s="12">
        <f>BP24*Premissas!$F$53</f>
        <v/>
      </c>
      <c r="BR23" s="12">
        <f>BQ24*Premissas!$F$53</f>
        <v/>
      </c>
      <c r="BS23" s="12">
        <f>BR24*Premissas!$F$53</f>
        <v/>
      </c>
      <c r="BT23" s="12">
        <f>BS24*Premissas!$F$53</f>
        <v/>
      </c>
      <c r="BU23" s="12">
        <f>BT24*Premissas!$F$53</f>
        <v/>
      </c>
      <c r="BV23" s="12">
        <f>BU24*Premissas!$F$53</f>
        <v/>
      </c>
      <c r="BW23" s="12">
        <f>BV24*Premissas!$F$53</f>
        <v/>
      </c>
      <c r="BX23" s="12">
        <f>BW24*Premissas!$F$53</f>
        <v/>
      </c>
      <c r="BY23" s="12">
        <f>BX24*Premissas!$F$53</f>
        <v/>
      </c>
      <c r="BZ23" s="12">
        <f>BY24*Premissas!$F$53</f>
        <v/>
      </c>
      <c r="CA23" s="12">
        <f>BZ24*Premissas!$F$53</f>
        <v/>
      </c>
      <c r="CB23" s="12">
        <f>CA24*Premissas!$F$53</f>
        <v/>
      </c>
      <c r="CC23" s="12">
        <f>CB24*Premissas!$F$53</f>
        <v/>
      </c>
      <c r="CD23" s="12">
        <f>CC24*Premissas!$F$53</f>
        <v/>
      </c>
      <c r="CE23" s="12">
        <f>CD24*Premissas!$F$53</f>
        <v/>
      </c>
      <c r="CF23" s="12">
        <f>CE24*Premissas!$F$53</f>
        <v/>
      </c>
      <c r="CG23" s="12">
        <f>CF24*Premissas!$F$53</f>
        <v/>
      </c>
      <c r="CH23" s="12">
        <f>CG24*Premissas!$F$53</f>
        <v/>
      </c>
    </row>
    <row r="24">
      <c r="A24" s="2" t="inlineStr">
        <is>
          <t>Ativos no fim do mês</t>
        </is>
      </c>
      <c r="C24" s="22">
        <f>0+C22-C23</f>
        <v/>
      </c>
      <c r="D24" s="22">
        <f>C24+D22-D23</f>
        <v/>
      </c>
      <c r="E24" s="22">
        <f>D24+E22-E23</f>
        <v/>
      </c>
      <c r="F24" s="22">
        <f>E24+F22-F23</f>
        <v/>
      </c>
      <c r="G24" s="22">
        <f>F24+G22-G23</f>
        <v/>
      </c>
      <c r="H24" s="22">
        <f>G24+H22-H23</f>
        <v/>
      </c>
      <c r="I24" s="22">
        <f>H24+I22-I23</f>
        <v/>
      </c>
      <c r="J24" s="22">
        <f>I24+J22-J23</f>
        <v/>
      </c>
      <c r="K24" s="22">
        <f>J24+K22-K23</f>
        <v/>
      </c>
      <c r="L24" s="22">
        <f>K24+L22-L23</f>
        <v/>
      </c>
      <c r="M24" s="22">
        <f>L24+M22-M23</f>
        <v/>
      </c>
      <c r="N24" s="22">
        <f>M24+N22-N23</f>
        <v/>
      </c>
      <c r="O24" s="22">
        <f>N24+O22-O23</f>
        <v/>
      </c>
      <c r="P24" s="22">
        <f>O24+P22-P23</f>
        <v/>
      </c>
      <c r="Q24" s="22">
        <f>P24+Q22-Q23</f>
        <v/>
      </c>
      <c r="R24" s="22">
        <f>Q24+R22-R23</f>
        <v/>
      </c>
      <c r="S24" s="22">
        <f>R24+S22-S23</f>
        <v/>
      </c>
      <c r="T24" s="22">
        <f>S24+T22-T23</f>
        <v/>
      </c>
      <c r="U24" s="22">
        <f>T24+U22-U23</f>
        <v/>
      </c>
      <c r="V24" s="22">
        <f>U24+V22-V23</f>
        <v/>
      </c>
      <c r="W24" s="22">
        <f>V24+W22-W23</f>
        <v/>
      </c>
      <c r="X24" s="22">
        <f>W24+X22-X23</f>
        <v/>
      </c>
      <c r="Y24" s="22">
        <f>X24+Y22-Y23</f>
        <v/>
      </c>
      <c r="Z24" s="22">
        <f>Y24+Z22-Z23</f>
        <v/>
      </c>
      <c r="AA24" s="22">
        <f>Z24+AA22-AA23</f>
        <v/>
      </c>
      <c r="AB24" s="22">
        <f>AA24+AB22-AB23</f>
        <v/>
      </c>
      <c r="AC24" s="22">
        <f>AB24+AC22-AC23</f>
        <v/>
      </c>
      <c r="AD24" s="22">
        <f>AC24+AD22-AD23</f>
        <v/>
      </c>
      <c r="AE24" s="22">
        <f>AD24+AE22-AE23</f>
        <v/>
      </c>
      <c r="AF24" s="22">
        <f>AE24+AF22-AF23</f>
        <v/>
      </c>
      <c r="AG24" s="22">
        <f>AF24+AG22-AG23</f>
        <v/>
      </c>
      <c r="AH24" s="22">
        <f>AG24+AH22-AH23</f>
        <v/>
      </c>
      <c r="AI24" s="22">
        <f>AH24+AI22-AI23</f>
        <v/>
      </c>
      <c r="AJ24" s="22">
        <f>AI24+AJ22-AJ23</f>
        <v/>
      </c>
      <c r="AK24" s="22">
        <f>AJ24+AK22-AK23</f>
        <v/>
      </c>
      <c r="AL24" s="22">
        <f>AK24+AL22-AL23</f>
        <v/>
      </c>
      <c r="AM24" s="22">
        <f>AL24+AM22-AM23</f>
        <v/>
      </c>
      <c r="AN24" s="22">
        <f>AM24+AN22-AN23</f>
        <v/>
      </c>
      <c r="AO24" s="22">
        <f>AN24+AO22-AO23</f>
        <v/>
      </c>
      <c r="AP24" s="22">
        <f>AO24+AP22-AP23</f>
        <v/>
      </c>
      <c r="AQ24" s="22">
        <f>AP24+AQ22-AQ23</f>
        <v/>
      </c>
      <c r="AR24" s="22">
        <f>AQ24+AR22-AR23</f>
        <v/>
      </c>
      <c r="AS24" s="22">
        <f>AR24+AS22-AS23</f>
        <v/>
      </c>
      <c r="AT24" s="22">
        <f>AS24+AT22-AT23</f>
        <v/>
      </c>
      <c r="AU24" s="22">
        <f>AT24+AU22-AU23</f>
        <v/>
      </c>
      <c r="AV24" s="22">
        <f>AU24+AV22-AV23</f>
        <v/>
      </c>
      <c r="AW24" s="22">
        <f>AV24+AW22-AW23</f>
        <v/>
      </c>
      <c r="AX24" s="22">
        <f>AW24+AX22-AX23</f>
        <v/>
      </c>
      <c r="AY24" s="22">
        <f>AX24+AY22-AY23</f>
        <v/>
      </c>
      <c r="AZ24" s="22">
        <f>AY24+AZ22-AZ23</f>
        <v/>
      </c>
      <c r="BA24" s="22">
        <f>AZ24+BA22-BA23</f>
        <v/>
      </c>
      <c r="BB24" s="22">
        <f>BA24+BB22-BB23</f>
        <v/>
      </c>
      <c r="BC24" s="22">
        <f>BB24+BC22-BC23</f>
        <v/>
      </c>
      <c r="BD24" s="22">
        <f>BC24+BD22-BD23</f>
        <v/>
      </c>
      <c r="BE24" s="22">
        <f>BD24+BE22-BE23</f>
        <v/>
      </c>
      <c r="BF24" s="22">
        <f>BE24+BF22-BF23</f>
        <v/>
      </c>
      <c r="BG24" s="22">
        <f>BF24+BG22-BG23</f>
        <v/>
      </c>
      <c r="BH24" s="22">
        <f>BG24+BH22-BH23</f>
        <v/>
      </c>
      <c r="BI24" s="22">
        <f>BH24+BI22-BI23</f>
        <v/>
      </c>
      <c r="BJ24" s="22">
        <f>BI24+BJ22-BJ23</f>
        <v/>
      </c>
      <c r="BK24" s="22">
        <f>BJ24+BK22-BK23</f>
        <v/>
      </c>
      <c r="BL24" s="22">
        <f>BK24+BL22-BL23</f>
        <v/>
      </c>
      <c r="BM24" s="22">
        <f>BL24+BM22-BM23</f>
        <v/>
      </c>
      <c r="BN24" s="22">
        <f>BM24+BN22-BN23</f>
        <v/>
      </c>
      <c r="BO24" s="22">
        <f>BN24+BO22-BO23</f>
        <v/>
      </c>
      <c r="BP24" s="22">
        <f>BO24+BP22-BP23</f>
        <v/>
      </c>
      <c r="BQ24" s="22">
        <f>BP24+BQ22-BQ23</f>
        <v/>
      </c>
      <c r="BR24" s="22">
        <f>BQ24+BR22-BR23</f>
        <v/>
      </c>
      <c r="BS24" s="22">
        <f>BR24+BS22-BS23</f>
        <v/>
      </c>
      <c r="BT24" s="22">
        <f>BS24+BT22-BT23</f>
        <v/>
      </c>
      <c r="BU24" s="22">
        <f>BT24+BU22-BU23</f>
        <v/>
      </c>
      <c r="BV24" s="22">
        <f>BU24+BV22-BV23</f>
        <v/>
      </c>
      <c r="BW24" s="22">
        <f>BV24+BW22-BW23</f>
        <v/>
      </c>
      <c r="BX24" s="22">
        <f>BW24+BX22-BX23</f>
        <v/>
      </c>
      <c r="BY24" s="22">
        <f>BX24+BY22-BY23</f>
        <v/>
      </c>
      <c r="BZ24" s="22">
        <f>BY24+BZ22-BZ23</f>
        <v/>
      </c>
      <c r="CA24" s="22">
        <f>BZ24+CA22-CA23</f>
        <v/>
      </c>
      <c r="CB24" s="22">
        <f>CA24+CB22-CB23</f>
        <v/>
      </c>
      <c r="CC24" s="22">
        <f>CB24+CC22-CC23</f>
        <v/>
      </c>
      <c r="CD24" s="22">
        <f>CC24+CD22-CD23</f>
        <v/>
      </c>
      <c r="CE24" s="22">
        <f>CD24+CE22-CE23</f>
        <v/>
      </c>
      <c r="CF24" s="22">
        <f>CE24+CF22-CF23</f>
        <v/>
      </c>
      <c r="CG24" s="22">
        <f>CF24+CG22-CG23</f>
        <v/>
      </c>
      <c r="CH24" s="22">
        <f>CG24+CH22-CH23</f>
        <v/>
      </c>
    </row>
    <row r="26">
      <c r="A26" s="4" t="inlineStr">
        <is>
          <t>Plano Autoridade</t>
        </is>
      </c>
      <c r="B26" s="5" t="n"/>
    </row>
    <row r="27">
      <c r="A27" s="3" t="inlineStr">
        <is>
          <t>Participação nos novos</t>
        </is>
      </c>
      <c r="C27" s="27">
        <f>Premissas!$F$57</f>
        <v/>
      </c>
      <c r="D27" s="27">
        <f>Premissas!$F$57</f>
        <v/>
      </c>
      <c r="E27" s="27">
        <f>Premissas!$F$57</f>
        <v/>
      </c>
      <c r="F27" s="27">
        <f>Premissas!$F$57</f>
        <v/>
      </c>
      <c r="G27" s="27">
        <f>Premissas!$F$57</f>
        <v/>
      </c>
      <c r="H27" s="27">
        <f>Premissas!$F$57</f>
        <v/>
      </c>
      <c r="I27" s="27">
        <f>Premissas!$F$57</f>
        <v/>
      </c>
      <c r="J27" s="27">
        <f>Premissas!$F$57</f>
        <v/>
      </c>
      <c r="K27" s="27">
        <f>Premissas!$F$57</f>
        <v/>
      </c>
      <c r="L27" s="27">
        <f>Premissas!$F$57</f>
        <v/>
      </c>
      <c r="M27" s="27">
        <f>Premissas!$F$57</f>
        <v/>
      </c>
      <c r="N27" s="27">
        <f>Premissas!$F$57</f>
        <v/>
      </c>
      <c r="O27" s="27">
        <f>Premissas!$F$57</f>
        <v/>
      </c>
      <c r="P27" s="27">
        <f>Premissas!$F$57</f>
        <v/>
      </c>
      <c r="Q27" s="27">
        <f>Premissas!$F$57</f>
        <v/>
      </c>
      <c r="R27" s="27">
        <f>Premissas!$F$57</f>
        <v/>
      </c>
      <c r="S27" s="27">
        <f>Premissas!$F$57</f>
        <v/>
      </c>
      <c r="T27" s="27">
        <f>Premissas!$F$57</f>
        <v/>
      </c>
      <c r="U27" s="27">
        <f>Premissas!$F$57</f>
        <v/>
      </c>
      <c r="V27" s="27">
        <f>Premissas!$F$57</f>
        <v/>
      </c>
      <c r="W27" s="27">
        <f>Premissas!$F$57</f>
        <v/>
      </c>
      <c r="X27" s="27">
        <f>Premissas!$F$57</f>
        <v/>
      </c>
      <c r="Y27" s="27">
        <f>Premissas!$F$57</f>
        <v/>
      </c>
      <c r="Z27" s="27">
        <f>Premissas!$F$57</f>
        <v/>
      </c>
      <c r="AA27" s="27">
        <f>Premissas!$F$57</f>
        <v/>
      </c>
      <c r="AB27" s="27">
        <f>Premissas!$F$57</f>
        <v/>
      </c>
      <c r="AC27" s="27">
        <f>Premissas!$F$57</f>
        <v/>
      </c>
      <c r="AD27" s="27">
        <f>Premissas!$F$57</f>
        <v/>
      </c>
      <c r="AE27" s="27">
        <f>Premissas!$F$57</f>
        <v/>
      </c>
      <c r="AF27" s="27">
        <f>Premissas!$F$57</f>
        <v/>
      </c>
      <c r="AG27" s="27">
        <f>Premissas!$F$57</f>
        <v/>
      </c>
      <c r="AH27" s="27">
        <f>Premissas!$F$57</f>
        <v/>
      </c>
      <c r="AI27" s="27">
        <f>Premissas!$F$57</f>
        <v/>
      </c>
      <c r="AJ27" s="27">
        <f>Premissas!$F$57</f>
        <v/>
      </c>
      <c r="AK27" s="27">
        <f>Premissas!$F$57</f>
        <v/>
      </c>
      <c r="AL27" s="27">
        <f>Premissas!$F$57</f>
        <v/>
      </c>
      <c r="AM27" s="27">
        <f>Premissas!$F$57</f>
        <v/>
      </c>
      <c r="AN27" s="27">
        <f>Premissas!$F$57</f>
        <v/>
      </c>
      <c r="AO27" s="27">
        <f>Premissas!$F$57</f>
        <v/>
      </c>
      <c r="AP27" s="27">
        <f>Premissas!$F$57</f>
        <v/>
      </c>
      <c r="AQ27" s="27">
        <f>Premissas!$F$57</f>
        <v/>
      </c>
      <c r="AR27" s="27">
        <f>Premissas!$F$57</f>
        <v/>
      </c>
      <c r="AS27" s="27">
        <f>Premissas!$F$57</f>
        <v/>
      </c>
      <c r="AT27" s="27">
        <f>Premissas!$F$57</f>
        <v/>
      </c>
      <c r="AU27" s="27">
        <f>Premissas!$F$57</f>
        <v/>
      </c>
      <c r="AV27" s="27">
        <f>Premissas!$F$57</f>
        <v/>
      </c>
      <c r="AW27" s="27">
        <f>Premissas!$F$57</f>
        <v/>
      </c>
      <c r="AX27" s="27">
        <f>Premissas!$F$57</f>
        <v/>
      </c>
      <c r="AY27" s="27">
        <f>Premissas!$F$57</f>
        <v/>
      </c>
      <c r="AZ27" s="27">
        <f>Premissas!$F$57</f>
        <v/>
      </c>
      <c r="BA27" s="27">
        <f>Premissas!$F$57</f>
        <v/>
      </c>
      <c r="BB27" s="27">
        <f>Premissas!$F$57</f>
        <v/>
      </c>
      <c r="BC27" s="27">
        <f>Premissas!$F$57</f>
        <v/>
      </c>
      <c r="BD27" s="27">
        <f>Premissas!$F$57</f>
        <v/>
      </c>
      <c r="BE27" s="27">
        <f>Premissas!$F$57</f>
        <v/>
      </c>
      <c r="BF27" s="27">
        <f>Premissas!$F$57</f>
        <v/>
      </c>
      <c r="BG27" s="27">
        <f>Premissas!$F$57</f>
        <v/>
      </c>
      <c r="BH27" s="27">
        <f>Premissas!$F$57</f>
        <v/>
      </c>
      <c r="BI27" s="27">
        <f>Premissas!$F$57</f>
        <v/>
      </c>
      <c r="BJ27" s="27">
        <f>Premissas!$F$57</f>
        <v/>
      </c>
      <c r="BK27" s="27">
        <f>Premissas!$F$57</f>
        <v/>
      </c>
      <c r="BL27" s="27">
        <f>Premissas!$F$57</f>
        <v/>
      </c>
      <c r="BM27" s="27">
        <f>Premissas!$F$57</f>
        <v/>
      </c>
      <c r="BN27" s="27">
        <f>Premissas!$F$57</f>
        <v/>
      </c>
      <c r="BO27" s="27">
        <f>Premissas!$F$57</f>
        <v/>
      </c>
      <c r="BP27" s="27">
        <f>Premissas!$F$57</f>
        <v/>
      </c>
      <c r="BQ27" s="27">
        <f>Premissas!$F$57</f>
        <v/>
      </c>
      <c r="BR27" s="27">
        <f>Premissas!$F$57</f>
        <v/>
      </c>
      <c r="BS27" s="27">
        <f>Premissas!$F$57</f>
        <v/>
      </c>
      <c r="BT27" s="27">
        <f>Premissas!$F$57</f>
        <v/>
      </c>
      <c r="BU27" s="27">
        <f>Premissas!$F$57</f>
        <v/>
      </c>
      <c r="BV27" s="27">
        <f>Premissas!$F$57</f>
        <v/>
      </c>
      <c r="BW27" s="27">
        <f>Premissas!$F$57</f>
        <v/>
      </c>
      <c r="BX27" s="27">
        <f>Premissas!$F$57</f>
        <v/>
      </c>
      <c r="BY27" s="27">
        <f>Premissas!$F$57</f>
        <v/>
      </c>
      <c r="BZ27" s="27">
        <f>Premissas!$F$57</f>
        <v/>
      </c>
      <c r="CA27" s="27">
        <f>Premissas!$F$57</f>
        <v/>
      </c>
      <c r="CB27" s="27">
        <f>Premissas!$F$57</f>
        <v/>
      </c>
      <c r="CC27" s="27">
        <f>Premissas!$F$57</f>
        <v/>
      </c>
      <c r="CD27" s="27">
        <f>Premissas!$F$57</f>
        <v/>
      </c>
      <c r="CE27" s="27">
        <f>Premissas!$F$57</f>
        <v/>
      </c>
      <c r="CF27" s="27">
        <f>Premissas!$F$57</f>
        <v/>
      </c>
      <c r="CG27" s="27">
        <f>Premissas!$F$57</f>
        <v/>
      </c>
      <c r="CH27" s="27">
        <f>Premissas!$F$57</f>
        <v/>
      </c>
    </row>
    <row r="28">
      <c r="A28" s="3" t="inlineStr">
        <is>
          <t>Novos</t>
        </is>
      </c>
      <c r="C28" s="12">
        <f>C12*C27</f>
        <v/>
      </c>
      <c r="D28" s="12">
        <f>D12*D27</f>
        <v/>
      </c>
      <c r="E28" s="12">
        <f>E12*E27</f>
        <v/>
      </c>
      <c r="F28" s="12">
        <f>F12*F27</f>
        <v/>
      </c>
      <c r="G28" s="12">
        <f>G12*G27</f>
        <v/>
      </c>
      <c r="H28" s="12">
        <f>H12*H27</f>
        <v/>
      </c>
      <c r="I28" s="12">
        <f>I12*I27</f>
        <v/>
      </c>
      <c r="J28" s="12">
        <f>J12*J27</f>
        <v/>
      </c>
      <c r="K28" s="12">
        <f>K12*K27</f>
        <v/>
      </c>
      <c r="L28" s="12">
        <f>L12*L27</f>
        <v/>
      </c>
      <c r="M28" s="12">
        <f>M12*M27</f>
        <v/>
      </c>
      <c r="N28" s="12">
        <f>N12*N27</f>
        <v/>
      </c>
      <c r="O28" s="12">
        <f>O12*O27</f>
        <v/>
      </c>
      <c r="P28" s="12">
        <f>P12*P27</f>
        <v/>
      </c>
      <c r="Q28" s="12">
        <f>Q12*Q27</f>
        <v/>
      </c>
      <c r="R28" s="12">
        <f>R12*R27</f>
        <v/>
      </c>
      <c r="S28" s="12">
        <f>S12*S27</f>
        <v/>
      </c>
      <c r="T28" s="12">
        <f>T12*T27</f>
        <v/>
      </c>
      <c r="U28" s="12">
        <f>U12*U27</f>
        <v/>
      </c>
      <c r="V28" s="12">
        <f>V12*V27</f>
        <v/>
      </c>
      <c r="W28" s="12">
        <f>W12*W27</f>
        <v/>
      </c>
      <c r="X28" s="12">
        <f>X12*X27</f>
        <v/>
      </c>
      <c r="Y28" s="12">
        <f>Y12*Y27</f>
        <v/>
      </c>
      <c r="Z28" s="12">
        <f>Z12*Z27</f>
        <v/>
      </c>
      <c r="AA28" s="12">
        <f>AA12*AA27</f>
        <v/>
      </c>
      <c r="AB28" s="12">
        <f>AB12*AB27</f>
        <v/>
      </c>
      <c r="AC28" s="12">
        <f>AC12*AC27</f>
        <v/>
      </c>
      <c r="AD28" s="12">
        <f>AD12*AD27</f>
        <v/>
      </c>
      <c r="AE28" s="12">
        <f>AE12*AE27</f>
        <v/>
      </c>
      <c r="AF28" s="12">
        <f>AF12*AF27</f>
        <v/>
      </c>
      <c r="AG28" s="12">
        <f>AG12*AG27</f>
        <v/>
      </c>
      <c r="AH28" s="12">
        <f>AH12*AH27</f>
        <v/>
      </c>
      <c r="AI28" s="12">
        <f>AI12*AI27</f>
        <v/>
      </c>
      <c r="AJ28" s="12">
        <f>AJ12*AJ27</f>
        <v/>
      </c>
      <c r="AK28" s="12">
        <f>AK12*AK27</f>
        <v/>
      </c>
      <c r="AL28" s="12">
        <f>AL12*AL27</f>
        <v/>
      </c>
      <c r="AM28" s="12">
        <f>AM12*AM27</f>
        <v/>
      </c>
      <c r="AN28" s="12">
        <f>AN12*AN27</f>
        <v/>
      </c>
      <c r="AO28" s="12">
        <f>AO12*AO27</f>
        <v/>
      </c>
      <c r="AP28" s="12">
        <f>AP12*AP27</f>
        <v/>
      </c>
      <c r="AQ28" s="12">
        <f>AQ12*AQ27</f>
        <v/>
      </c>
      <c r="AR28" s="12">
        <f>AR12*AR27</f>
        <v/>
      </c>
      <c r="AS28" s="12">
        <f>AS12*AS27</f>
        <v/>
      </c>
      <c r="AT28" s="12">
        <f>AT12*AT27</f>
        <v/>
      </c>
      <c r="AU28" s="12">
        <f>AU12*AU27</f>
        <v/>
      </c>
      <c r="AV28" s="12">
        <f>AV12*AV27</f>
        <v/>
      </c>
      <c r="AW28" s="12">
        <f>AW12*AW27</f>
        <v/>
      </c>
      <c r="AX28" s="12">
        <f>AX12*AX27</f>
        <v/>
      </c>
      <c r="AY28" s="12">
        <f>AY12*AY27</f>
        <v/>
      </c>
      <c r="AZ28" s="12">
        <f>AZ12*AZ27</f>
        <v/>
      </c>
      <c r="BA28" s="12">
        <f>BA12*BA27</f>
        <v/>
      </c>
      <c r="BB28" s="12">
        <f>BB12*BB27</f>
        <v/>
      </c>
      <c r="BC28" s="12">
        <f>BC12*BC27</f>
        <v/>
      </c>
      <c r="BD28" s="12">
        <f>BD12*BD27</f>
        <v/>
      </c>
      <c r="BE28" s="12">
        <f>BE12*BE27</f>
        <v/>
      </c>
      <c r="BF28" s="12">
        <f>BF12*BF27</f>
        <v/>
      </c>
      <c r="BG28" s="12">
        <f>BG12*BG27</f>
        <v/>
      </c>
      <c r="BH28" s="12">
        <f>BH12*BH27</f>
        <v/>
      </c>
      <c r="BI28" s="12">
        <f>BI12*BI27</f>
        <v/>
      </c>
      <c r="BJ28" s="12">
        <f>BJ12*BJ27</f>
        <v/>
      </c>
      <c r="BK28" s="12">
        <f>BK12*BK27</f>
        <v/>
      </c>
      <c r="BL28" s="12">
        <f>BL12*BL27</f>
        <v/>
      </c>
      <c r="BM28" s="12">
        <f>BM12*BM27</f>
        <v/>
      </c>
      <c r="BN28" s="12">
        <f>BN12*BN27</f>
        <v/>
      </c>
      <c r="BO28" s="12">
        <f>BO12*BO27</f>
        <v/>
      </c>
      <c r="BP28" s="12">
        <f>BP12*BP27</f>
        <v/>
      </c>
      <c r="BQ28" s="12">
        <f>BQ12*BQ27</f>
        <v/>
      </c>
      <c r="BR28" s="12">
        <f>BR12*BR27</f>
        <v/>
      </c>
      <c r="BS28" s="12">
        <f>BS12*BS27</f>
        <v/>
      </c>
      <c r="BT28" s="12">
        <f>BT12*BT27</f>
        <v/>
      </c>
      <c r="BU28" s="12">
        <f>BU12*BU27</f>
        <v/>
      </c>
      <c r="BV28" s="12">
        <f>BV12*BV27</f>
        <v/>
      </c>
      <c r="BW28" s="12">
        <f>BW12*BW27</f>
        <v/>
      </c>
      <c r="BX28" s="12">
        <f>BX12*BX27</f>
        <v/>
      </c>
      <c r="BY28" s="12">
        <f>BY12*BY27</f>
        <v/>
      </c>
      <c r="BZ28" s="12">
        <f>BZ12*BZ27</f>
        <v/>
      </c>
      <c r="CA28" s="12">
        <f>CA12*CA27</f>
        <v/>
      </c>
      <c r="CB28" s="12">
        <f>CB12*CB27</f>
        <v/>
      </c>
      <c r="CC28" s="12">
        <f>CC12*CC27</f>
        <v/>
      </c>
      <c r="CD28" s="12">
        <f>CD12*CD27</f>
        <v/>
      </c>
      <c r="CE28" s="12">
        <f>CE12*CE27</f>
        <v/>
      </c>
      <c r="CF28" s="12">
        <f>CF12*CF27</f>
        <v/>
      </c>
      <c r="CG28" s="12">
        <f>CG12*CG27</f>
        <v/>
      </c>
      <c r="CH28" s="12">
        <f>CH12*CH27</f>
        <v/>
      </c>
    </row>
    <row r="29">
      <c r="A29" s="3" t="inlineStr">
        <is>
          <t>Cancelados</t>
        </is>
      </c>
      <c r="C29" s="12">
        <f>0*Premissas!$F$58</f>
        <v/>
      </c>
      <c r="D29" s="12">
        <f>C30*Premissas!$F$58</f>
        <v/>
      </c>
      <c r="E29" s="12">
        <f>D30*Premissas!$F$58</f>
        <v/>
      </c>
      <c r="F29" s="12">
        <f>E30*Premissas!$F$58</f>
        <v/>
      </c>
      <c r="G29" s="12">
        <f>F30*Premissas!$F$58</f>
        <v/>
      </c>
      <c r="H29" s="12">
        <f>G30*Premissas!$F$58</f>
        <v/>
      </c>
      <c r="I29" s="12">
        <f>H30*Premissas!$F$58</f>
        <v/>
      </c>
      <c r="J29" s="12">
        <f>I30*Premissas!$F$58</f>
        <v/>
      </c>
      <c r="K29" s="12">
        <f>J30*Premissas!$F$58</f>
        <v/>
      </c>
      <c r="L29" s="12">
        <f>K30*Premissas!$F$58</f>
        <v/>
      </c>
      <c r="M29" s="12">
        <f>L30*Premissas!$F$58</f>
        <v/>
      </c>
      <c r="N29" s="12">
        <f>M30*Premissas!$F$58</f>
        <v/>
      </c>
      <c r="O29" s="12">
        <f>N30*Premissas!$F$58</f>
        <v/>
      </c>
      <c r="P29" s="12">
        <f>O30*Premissas!$F$58</f>
        <v/>
      </c>
      <c r="Q29" s="12">
        <f>P30*Premissas!$F$58</f>
        <v/>
      </c>
      <c r="R29" s="12">
        <f>Q30*Premissas!$F$58</f>
        <v/>
      </c>
      <c r="S29" s="12">
        <f>R30*Premissas!$F$58</f>
        <v/>
      </c>
      <c r="T29" s="12">
        <f>S30*Premissas!$F$58</f>
        <v/>
      </c>
      <c r="U29" s="12">
        <f>T30*Premissas!$F$58</f>
        <v/>
      </c>
      <c r="V29" s="12">
        <f>U30*Premissas!$F$58</f>
        <v/>
      </c>
      <c r="W29" s="12">
        <f>V30*Premissas!$F$58</f>
        <v/>
      </c>
      <c r="X29" s="12">
        <f>W30*Premissas!$F$58</f>
        <v/>
      </c>
      <c r="Y29" s="12">
        <f>X30*Premissas!$F$58</f>
        <v/>
      </c>
      <c r="Z29" s="12">
        <f>Y30*Premissas!$F$58</f>
        <v/>
      </c>
      <c r="AA29" s="12">
        <f>Z30*Premissas!$F$58</f>
        <v/>
      </c>
      <c r="AB29" s="12">
        <f>AA30*Premissas!$F$58</f>
        <v/>
      </c>
      <c r="AC29" s="12">
        <f>AB30*Premissas!$F$58</f>
        <v/>
      </c>
      <c r="AD29" s="12">
        <f>AC30*Premissas!$F$58</f>
        <v/>
      </c>
      <c r="AE29" s="12">
        <f>AD30*Premissas!$F$58</f>
        <v/>
      </c>
      <c r="AF29" s="12">
        <f>AE30*Premissas!$F$58</f>
        <v/>
      </c>
      <c r="AG29" s="12">
        <f>AF30*Premissas!$F$58</f>
        <v/>
      </c>
      <c r="AH29" s="12">
        <f>AG30*Premissas!$F$58</f>
        <v/>
      </c>
      <c r="AI29" s="12">
        <f>AH30*Premissas!$F$58</f>
        <v/>
      </c>
      <c r="AJ29" s="12">
        <f>AI30*Premissas!$F$58</f>
        <v/>
      </c>
      <c r="AK29" s="12">
        <f>AJ30*Premissas!$F$58</f>
        <v/>
      </c>
      <c r="AL29" s="12">
        <f>AK30*Premissas!$F$58</f>
        <v/>
      </c>
      <c r="AM29" s="12">
        <f>AL30*Premissas!$F$58</f>
        <v/>
      </c>
      <c r="AN29" s="12">
        <f>AM30*Premissas!$F$58</f>
        <v/>
      </c>
      <c r="AO29" s="12">
        <f>AN30*Premissas!$F$58</f>
        <v/>
      </c>
      <c r="AP29" s="12">
        <f>AO30*Premissas!$F$58</f>
        <v/>
      </c>
      <c r="AQ29" s="12">
        <f>AP30*Premissas!$F$58</f>
        <v/>
      </c>
      <c r="AR29" s="12">
        <f>AQ30*Premissas!$F$58</f>
        <v/>
      </c>
      <c r="AS29" s="12">
        <f>AR30*Premissas!$F$58</f>
        <v/>
      </c>
      <c r="AT29" s="12">
        <f>AS30*Premissas!$F$58</f>
        <v/>
      </c>
      <c r="AU29" s="12">
        <f>AT30*Premissas!$F$58</f>
        <v/>
      </c>
      <c r="AV29" s="12">
        <f>AU30*Premissas!$F$58</f>
        <v/>
      </c>
      <c r="AW29" s="12">
        <f>AV30*Premissas!$F$58</f>
        <v/>
      </c>
      <c r="AX29" s="12">
        <f>AW30*Premissas!$F$58</f>
        <v/>
      </c>
      <c r="AY29" s="12">
        <f>AX30*Premissas!$F$58</f>
        <v/>
      </c>
      <c r="AZ29" s="12">
        <f>AY30*Premissas!$F$58</f>
        <v/>
      </c>
      <c r="BA29" s="12">
        <f>AZ30*Premissas!$F$58</f>
        <v/>
      </c>
      <c r="BB29" s="12">
        <f>BA30*Premissas!$F$58</f>
        <v/>
      </c>
      <c r="BC29" s="12">
        <f>BB30*Premissas!$F$58</f>
        <v/>
      </c>
      <c r="BD29" s="12">
        <f>BC30*Premissas!$F$58</f>
        <v/>
      </c>
      <c r="BE29" s="12">
        <f>BD30*Premissas!$F$58</f>
        <v/>
      </c>
      <c r="BF29" s="12">
        <f>BE30*Premissas!$F$58</f>
        <v/>
      </c>
      <c r="BG29" s="12">
        <f>BF30*Premissas!$F$58</f>
        <v/>
      </c>
      <c r="BH29" s="12">
        <f>BG30*Premissas!$F$58</f>
        <v/>
      </c>
      <c r="BI29" s="12">
        <f>BH30*Premissas!$F$58</f>
        <v/>
      </c>
      <c r="BJ29" s="12">
        <f>BI30*Premissas!$F$58</f>
        <v/>
      </c>
      <c r="BK29" s="12">
        <f>BJ30*Premissas!$F$58</f>
        <v/>
      </c>
      <c r="BL29" s="12">
        <f>BK30*Premissas!$F$58</f>
        <v/>
      </c>
      <c r="BM29" s="12">
        <f>BL30*Premissas!$F$58</f>
        <v/>
      </c>
      <c r="BN29" s="12">
        <f>BM30*Premissas!$F$58</f>
        <v/>
      </c>
      <c r="BO29" s="12">
        <f>BN30*Premissas!$F$58</f>
        <v/>
      </c>
      <c r="BP29" s="12">
        <f>BO30*Premissas!$F$58</f>
        <v/>
      </c>
      <c r="BQ29" s="12">
        <f>BP30*Premissas!$F$58</f>
        <v/>
      </c>
      <c r="BR29" s="12">
        <f>BQ30*Premissas!$F$58</f>
        <v/>
      </c>
      <c r="BS29" s="12">
        <f>BR30*Premissas!$F$58</f>
        <v/>
      </c>
      <c r="BT29" s="12">
        <f>BS30*Premissas!$F$58</f>
        <v/>
      </c>
      <c r="BU29" s="12">
        <f>BT30*Premissas!$F$58</f>
        <v/>
      </c>
      <c r="BV29" s="12">
        <f>BU30*Premissas!$F$58</f>
        <v/>
      </c>
      <c r="BW29" s="12">
        <f>BV30*Premissas!$F$58</f>
        <v/>
      </c>
      <c r="BX29" s="12">
        <f>BW30*Premissas!$F$58</f>
        <v/>
      </c>
      <c r="BY29" s="12">
        <f>BX30*Premissas!$F$58</f>
        <v/>
      </c>
      <c r="BZ29" s="12">
        <f>BY30*Premissas!$F$58</f>
        <v/>
      </c>
      <c r="CA29" s="12">
        <f>BZ30*Premissas!$F$58</f>
        <v/>
      </c>
      <c r="CB29" s="12">
        <f>CA30*Premissas!$F$58</f>
        <v/>
      </c>
      <c r="CC29" s="12">
        <f>CB30*Premissas!$F$58</f>
        <v/>
      </c>
      <c r="CD29" s="12">
        <f>CC30*Premissas!$F$58</f>
        <v/>
      </c>
      <c r="CE29" s="12">
        <f>CD30*Premissas!$F$58</f>
        <v/>
      </c>
      <c r="CF29" s="12">
        <f>CE30*Premissas!$F$58</f>
        <v/>
      </c>
      <c r="CG29" s="12">
        <f>CF30*Premissas!$F$58</f>
        <v/>
      </c>
      <c r="CH29" s="12">
        <f>CG30*Premissas!$F$58</f>
        <v/>
      </c>
    </row>
    <row r="30">
      <c r="A30" s="2" t="inlineStr">
        <is>
          <t>Ativos no fim do mês</t>
        </is>
      </c>
      <c r="C30" s="22">
        <f>0+C28-C29</f>
        <v/>
      </c>
      <c r="D30" s="22">
        <f>C30+D28-D29</f>
        <v/>
      </c>
      <c r="E30" s="22">
        <f>D30+E28-E29</f>
        <v/>
      </c>
      <c r="F30" s="22">
        <f>E30+F28-F29</f>
        <v/>
      </c>
      <c r="G30" s="22">
        <f>F30+G28-G29</f>
        <v/>
      </c>
      <c r="H30" s="22">
        <f>G30+H28-H29</f>
        <v/>
      </c>
      <c r="I30" s="22">
        <f>H30+I28-I29</f>
        <v/>
      </c>
      <c r="J30" s="22">
        <f>I30+J28-J29</f>
        <v/>
      </c>
      <c r="K30" s="22">
        <f>J30+K28-K29</f>
        <v/>
      </c>
      <c r="L30" s="22">
        <f>K30+L28-L29</f>
        <v/>
      </c>
      <c r="M30" s="22">
        <f>L30+M28-M29</f>
        <v/>
      </c>
      <c r="N30" s="22">
        <f>M30+N28-N29</f>
        <v/>
      </c>
      <c r="O30" s="22">
        <f>N30+O28-O29</f>
        <v/>
      </c>
      <c r="P30" s="22">
        <f>O30+P28-P29</f>
        <v/>
      </c>
      <c r="Q30" s="22">
        <f>P30+Q28-Q29</f>
        <v/>
      </c>
      <c r="R30" s="22">
        <f>Q30+R28-R29</f>
        <v/>
      </c>
      <c r="S30" s="22">
        <f>R30+S28-S29</f>
        <v/>
      </c>
      <c r="T30" s="22">
        <f>S30+T28-T29</f>
        <v/>
      </c>
      <c r="U30" s="22">
        <f>T30+U28-U29</f>
        <v/>
      </c>
      <c r="V30" s="22">
        <f>U30+V28-V29</f>
        <v/>
      </c>
      <c r="W30" s="22">
        <f>V30+W28-W29</f>
        <v/>
      </c>
      <c r="X30" s="22">
        <f>W30+X28-X29</f>
        <v/>
      </c>
      <c r="Y30" s="22">
        <f>X30+Y28-Y29</f>
        <v/>
      </c>
      <c r="Z30" s="22">
        <f>Y30+Z28-Z29</f>
        <v/>
      </c>
      <c r="AA30" s="22">
        <f>Z30+AA28-AA29</f>
        <v/>
      </c>
      <c r="AB30" s="22">
        <f>AA30+AB28-AB29</f>
        <v/>
      </c>
      <c r="AC30" s="22">
        <f>AB30+AC28-AC29</f>
        <v/>
      </c>
      <c r="AD30" s="22">
        <f>AC30+AD28-AD29</f>
        <v/>
      </c>
      <c r="AE30" s="22">
        <f>AD30+AE28-AE29</f>
        <v/>
      </c>
      <c r="AF30" s="22">
        <f>AE30+AF28-AF29</f>
        <v/>
      </c>
      <c r="AG30" s="22">
        <f>AF30+AG28-AG29</f>
        <v/>
      </c>
      <c r="AH30" s="22">
        <f>AG30+AH28-AH29</f>
        <v/>
      </c>
      <c r="AI30" s="22">
        <f>AH30+AI28-AI29</f>
        <v/>
      </c>
      <c r="AJ30" s="22">
        <f>AI30+AJ28-AJ29</f>
        <v/>
      </c>
      <c r="AK30" s="22">
        <f>AJ30+AK28-AK29</f>
        <v/>
      </c>
      <c r="AL30" s="22">
        <f>AK30+AL28-AL29</f>
        <v/>
      </c>
      <c r="AM30" s="22">
        <f>AL30+AM28-AM29</f>
        <v/>
      </c>
      <c r="AN30" s="22">
        <f>AM30+AN28-AN29</f>
        <v/>
      </c>
      <c r="AO30" s="22">
        <f>AN30+AO28-AO29</f>
        <v/>
      </c>
      <c r="AP30" s="22">
        <f>AO30+AP28-AP29</f>
        <v/>
      </c>
      <c r="AQ30" s="22">
        <f>AP30+AQ28-AQ29</f>
        <v/>
      </c>
      <c r="AR30" s="22">
        <f>AQ30+AR28-AR29</f>
        <v/>
      </c>
      <c r="AS30" s="22">
        <f>AR30+AS28-AS29</f>
        <v/>
      </c>
      <c r="AT30" s="22">
        <f>AS30+AT28-AT29</f>
        <v/>
      </c>
      <c r="AU30" s="22">
        <f>AT30+AU28-AU29</f>
        <v/>
      </c>
      <c r="AV30" s="22">
        <f>AU30+AV28-AV29</f>
        <v/>
      </c>
      <c r="AW30" s="22">
        <f>AV30+AW28-AW29</f>
        <v/>
      </c>
      <c r="AX30" s="22">
        <f>AW30+AX28-AX29</f>
        <v/>
      </c>
      <c r="AY30" s="22">
        <f>AX30+AY28-AY29</f>
        <v/>
      </c>
      <c r="AZ30" s="22">
        <f>AY30+AZ28-AZ29</f>
        <v/>
      </c>
      <c r="BA30" s="22">
        <f>AZ30+BA28-BA29</f>
        <v/>
      </c>
      <c r="BB30" s="22">
        <f>BA30+BB28-BB29</f>
        <v/>
      </c>
      <c r="BC30" s="22">
        <f>BB30+BC28-BC29</f>
        <v/>
      </c>
      <c r="BD30" s="22">
        <f>BC30+BD28-BD29</f>
        <v/>
      </c>
      <c r="BE30" s="22">
        <f>BD30+BE28-BE29</f>
        <v/>
      </c>
      <c r="BF30" s="22">
        <f>BE30+BF28-BF29</f>
        <v/>
      </c>
      <c r="BG30" s="22">
        <f>BF30+BG28-BG29</f>
        <v/>
      </c>
      <c r="BH30" s="22">
        <f>BG30+BH28-BH29</f>
        <v/>
      </c>
      <c r="BI30" s="22">
        <f>BH30+BI28-BI29</f>
        <v/>
      </c>
      <c r="BJ30" s="22">
        <f>BI30+BJ28-BJ29</f>
        <v/>
      </c>
      <c r="BK30" s="22">
        <f>BJ30+BK28-BK29</f>
        <v/>
      </c>
      <c r="BL30" s="22">
        <f>BK30+BL28-BL29</f>
        <v/>
      </c>
      <c r="BM30" s="22">
        <f>BL30+BM28-BM29</f>
        <v/>
      </c>
      <c r="BN30" s="22">
        <f>BM30+BN28-BN29</f>
        <v/>
      </c>
      <c r="BO30" s="22">
        <f>BN30+BO28-BO29</f>
        <v/>
      </c>
      <c r="BP30" s="22">
        <f>BO30+BP28-BP29</f>
        <v/>
      </c>
      <c r="BQ30" s="22">
        <f>BP30+BQ28-BQ29</f>
        <v/>
      </c>
      <c r="BR30" s="22">
        <f>BQ30+BR28-BR29</f>
        <v/>
      </c>
      <c r="BS30" s="22">
        <f>BR30+BS28-BS29</f>
        <v/>
      </c>
      <c r="BT30" s="22">
        <f>BS30+BT28-BT29</f>
        <v/>
      </c>
      <c r="BU30" s="22">
        <f>BT30+BU28-BU29</f>
        <v/>
      </c>
      <c r="BV30" s="22">
        <f>BU30+BV28-BV29</f>
        <v/>
      </c>
      <c r="BW30" s="22">
        <f>BV30+BW28-BW29</f>
        <v/>
      </c>
      <c r="BX30" s="22">
        <f>BW30+BX28-BX29</f>
        <v/>
      </c>
      <c r="BY30" s="22">
        <f>BX30+BY28-BY29</f>
        <v/>
      </c>
      <c r="BZ30" s="22">
        <f>BY30+BZ28-BZ29</f>
        <v/>
      </c>
      <c r="CA30" s="22">
        <f>BZ30+CA28-CA29</f>
        <v/>
      </c>
      <c r="CB30" s="22">
        <f>CA30+CB28-CB29</f>
        <v/>
      </c>
      <c r="CC30" s="22">
        <f>CB30+CC28-CC29</f>
        <v/>
      </c>
      <c r="CD30" s="22">
        <f>CC30+CD28-CD29</f>
        <v/>
      </c>
      <c r="CE30" s="22">
        <f>CD30+CE28-CE29</f>
        <v/>
      </c>
      <c r="CF30" s="22">
        <f>CE30+CF28-CF29</f>
        <v/>
      </c>
      <c r="CG30" s="22">
        <f>CF30+CG28-CG29</f>
        <v/>
      </c>
      <c r="CH30" s="22">
        <f>CG30+CH28-CH29</f>
        <v/>
      </c>
    </row>
    <row r="32">
      <c r="A32" s="4" t="inlineStr">
        <is>
          <t>Plano Clínica</t>
        </is>
      </c>
      <c r="B32" s="5" t="n"/>
    </row>
    <row r="33">
      <c r="A33" s="3" t="inlineStr">
        <is>
          <t>Participação nos novos</t>
        </is>
      </c>
      <c r="C33" s="27">
        <f>IF(C2&gt;=13,Premissas!$F$63,0)</f>
        <v/>
      </c>
      <c r="D33" s="27">
        <f>IF(D2&gt;=13,Premissas!$F$63,0)</f>
        <v/>
      </c>
      <c r="E33" s="27">
        <f>IF(E2&gt;=13,Premissas!$F$63,0)</f>
        <v/>
      </c>
      <c r="F33" s="27">
        <f>IF(F2&gt;=13,Premissas!$F$63,0)</f>
        <v/>
      </c>
      <c r="G33" s="27">
        <f>IF(G2&gt;=13,Premissas!$F$63,0)</f>
        <v/>
      </c>
      <c r="H33" s="27">
        <f>IF(H2&gt;=13,Premissas!$F$63,0)</f>
        <v/>
      </c>
      <c r="I33" s="27">
        <f>IF(I2&gt;=13,Premissas!$F$63,0)</f>
        <v/>
      </c>
      <c r="J33" s="27">
        <f>IF(J2&gt;=13,Premissas!$F$63,0)</f>
        <v/>
      </c>
      <c r="K33" s="27">
        <f>IF(K2&gt;=13,Premissas!$F$63,0)</f>
        <v/>
      </c>
      <c r="L33" s="27">
        <f>IF(L2&gt;=13,Premissas!$F$63,0)</f>
        <v/>
      </c>
      <c r="M33" s="27">
        <f>IF(M2&gt;=13,Premissas!$F$63,0)</f>
        <v/>
      </c>
      <c r="N33" s="27">
        <f>IF(N2&gt;=13,Premissas!$F$63,0)</f>
        <v/>
      </c>
      <c r="O33" s="27">
        <f>IF(O2&gt;=13,Premissas!$F$63,0)</f>
        <v/>
      </c>
      <c r="P33" s="27">
        <f>IF(P2&gt;=13,Premissas!$F$63,0)</f>
        <v/>
      </c>
      <c r="Q33" s="27">
        <f>IF(Q2&gt;=13,Premissas!$F$63,0)</f>
        <v/>
      </c>
      <c r="R33" s="27">
        <f>IF(R2&gt;=13,Premissas!$F$63,0)</f>
        <v/>
      </c>
      <c r="S33" s="27">
        <f>IF(S2&gt;=13,Premissas!$F$63,0)</f>
        <v/>
      </c>
      <c r="T33" s="27">
        <f>IF(T2&gt;=13,Premissas!$F$63,0)</f>
        <v/>
      </c>
      <c r="U33" s="27">
        <f>IF(U2&gt;=13,Premissas!$F$63,0)</f>
        <v/>
      </c>
      <c r="V33" s="27">
        <f>IF(V2&gt;=13,Premissas!$F$63,0)</f>
        <v/>
      </c>
      <c r="W33" s="27">
        <f>IF(W2&gt;=13,Premissas!$F$63,0)</f>
        <v/>
      </c>
      <c r="X33" s="27">
        <f>IF(X2&gt;=13,Premissas!$F$63,0)</f>
        <v/>
      </c>
      <c r="Y33" s="27">
        <f>IF(Y2&gt;=13,Premissas!$F$63,0)</f>
        <v/>
      </c>
      <c r="Z33" s="27">
        <f>IF(Z2&gt;=13,Premissas!$F$63,0)</f>
        <v/>
      </c>
      <c r="AA33" s="27">
        <f>IF(AA2&gt;=13,Premissas!$F$63,0)</f>
        <v/>
      </c>
      <c r="AB33" s="27">
        <f>IF(AB2&gt;=13,Premissas!$F$63,0)</f>
        <v/>
      </c>
      <c r="AC33" s="27">
        <f>IF(AC2&gt;=13,Premissas!$F$63,0)</f>
        <v/>
      </c>
      <c r="AD33" s="27">
        <f>IF(AD2&gt;=13,Premissas!$F$63,0)</f>
        <v/>
      </c>
      <c r="AE33" s="27">
        <f>IF(AE2&gt;=13,Premissas!$F$63,0)</f>
        <v/>
      </c>
      <c r="AF33" s="27">
        <f>IF(AF2&gt;=13,Premissas!$F$63,0)</f>
        <v/>
      </c>
      <c r="AG33" s="27">
        <f>IF(AG2&gt;=13,Premissas!$F$63,0)</f>
        <v/>
      </c>
      <c r="AH33" s="27">
        <f>IF(AH2&gt;=13,Premissas!$F$63,0)</f>
        <v/>
      </c>
      <c r="AI33" s="27">
        <f>IF(AI2&gt;=13,Premissas!$F$63,0)</f>
        <v/>
      </c>
      <c r="AJ33" s="27">
        <f>IF(AJ2&gt;=13,Premissas!$F$63,0)</f>
        <v/>
      </c>
      <c r="AK33" s="27">
        <f>IF(AK2&gt;=13,Premissas!$F$63,0)</f>
        <v/>
      </c>
      <c r="AL33" s="27">
        <f>IF(AL2&gt;=13,Premissas!$F$63,0)</f>
        <v/>
      </c>
      <c r="AM33" s="27">
        <f>IF(AM2&gt;=13,Premissas!$F$63,0)</f>
        <v/>
      </c>
      <c r="AN33" s="27">
        <f>IF(AN2&gt;=13,Premissas!$F$63,0)</f>
        <v/>
      </c>
      <c r="AO33" s="27">
        <f>IF(AO2&gt;=13,Premissas!$F$63,0)</f>
        <v/>
      </c>
      <c r="AP33" s="27">
        <f>IF(AP2&gt;=13,Premissas!$F$63,0)</f>
        <v/>
      </c>
      <c r="AQ33" s="27">
        <f>IF(AQ2&gt;=13,Premissas!$F$63,0)</f>
        <v/>
      </c>
      <c r="AR33" s="27">
        <f>IF(AR2&gt;=13,Premissas!$F$63,0)</f>
        <v/>
      </c>
      <c r="AS33" s="27">
        <f>IF(AS2&gt;=13,Premissas!$F$63,0)</f>
        <v/>
      </c>
      <c r="AT33" s="27">
        <f>IF(AT2&gt;=13,Premissas!$F$63,0)</f>
        <v/>
      </c>
      <c r="AU33" s="27">
        <f>IF(AU2&gt;=13,Premissas!$F$63,0)</f>
        <v/>
      </c>
      <c r="AV33" s="27">
        <f>IF(AV2&gt;=13,Premissas!$F$63,0)</f>
        <v/>
      </c>
      <c r="AW33" s="27">
        <f>IF(AW2&gt;=13,Premissas!$F$63,0)</f>
        <v/>
      </c>
      <c r="AX33" s="27">
        <f>IF(AX2&gt;=13,Premissas!$F$63,0)</f>
        <v/>
      </c>
      <c r="AY33" s="27">
        <f>IF(AY2&gt;=13,Premissas!$F$63,0)</f>
        <v/>
      </c>
      <c r="AZ33" s="27">
        <f>IF(AZ2&gt;=13,Premissas!$F$63,0)</f>
        <v/>
      </c>
      <c r="BA33" s="27">
        <f>IF(BA2&gt;=13,Premissas!$F$63,0)</f>
        <v/>
      </c>
      <c r="BB33" s="27">
        <f>IF(BB2&gt;=13,Premissas!$F$63,0)</f>
        <v/>
      </c>
      <c r="BC33" s="27">
        <f>IF(BC2&gt;=13,Premissas!$F$63,0)</f>
        <v/>
      </c>
      <c r="BD33" s="27">
        <f>IF(BD2&gt;=13,Premissas!$F$63,0)</f>
        <v/>
      </c>
      <c r="BE33" s="27">
        <f>IF(BE2&gt;=13,Premissas!$F$63,0)</f>
        <v/>
      </c>
      <c r="BF33" s="27">
        <f>IF(BF2&gt;=13,Premissas!$F$63,0)</f>
        <v/>
      </c>
      <c r="BG33" s="27">
        <f>IF(BG2&gt;=13,Premissas!$F$63,0)</f>
        <v/>
      </c>
      <c r="BH33" s="27">
        <f>IF(BH2&gt;=13,Premissas!$F$63,0)</f>
        <v/>
      </c>
      <c r="BI33" s="27">
        <f>IF(BI2&gt;=13,Premissas!$F$63,0)</f>
        <v/>
      </c>
      <c r="BJ33" s="27">
        <f>IF(BJ2&gt;=13,Premissas!$F$63,0)</f>
        <v/>
      </c>
      <c r="BK33" s="27">
        <f>IF(BK2&gt;=13,Premissas!$F$63,0)</f>
        <v/>
      </c>
      <c r="BL33" s="27">
        <f>IF(BL2&gt;=13,Premissas!$F$63,0)</f>
        <v/>
      </c>
      <c r="BM33" s="27">
        <f>IF(BM2&gt;=13,Premissas!$F$63,0)</f>
        <v/>
      </c>
      <c r="BN33" s="27">
        <f>IF(BN2&gt;=13,Premissas!$F$63,0)</f>
        <v/>
      </c>
      <c r="BO33" s="27">
        <f>IF(BO2&gt;=13,Premissas!$F$63,0)</f>
        <v/>
      </c>
      <c r="BP33" s="27">
        <f>IF(BP2&gt;=13,Premissas!$F$63,0)</f>
        <v/>
      </c>
      <c r="BQ33" s="27">
        <f>IF(BQ2&gt;=13,Premissas!$F$63,0)</f>
        <v/>
      </c>
      <c r="BR33" s="27">
        <f>IF(BR2&gt;=13,Premissas!$F$63,0)</f>
        <v/>
      </c>
      <c r="BS33" s="27">
        <f>IF(BS2&gt;=13,Premissas!$F$63,0)</f>
        <v/>
      </c>
      <c r="BT33" s="27">
        <f>IF(BT2&gt;=13,Premissas!$F$63,0)</f>
        <v/>
      </c>
      <c r="BU33" s="27">
        <f>IF(BU2&gt;=13,Premissas!$F$63,0)</f>
        <v/>
      </c>
      <c r="BV33" s="27">
        <f>IF(BV2&gt;=13,Premissas!$F$63,0)</f>
        <v/>
      </c>
      <c r="BW33" s="27">
        <f>IF(BW2&gt;=13,Premissas!$F$63,0)</f>
        <v/>
      </c>
      <c r="BX33" s="27">
        <f>IF(BX2&gt;=13,Premissas!$F$63,0)</f>
        <v/>
      </c>
      <c r="BY33" s="27">
        <f>IF(BY2&gt;=13,Premissas!$F$63,0)</f>
        <v/>
      </c>
      <c r="BZ33" s="27">
        <f>IF(BZ2&gt;=13,Premissas!$F$63,0)</f>
        <v/>
      </c>
      <c r="CA33" s="27">
        <f>IF(CA2&gt;=13,Premissas!$F$63,0)</f>
        <v/>
      </c>
      <c r="CB33" s="27">
        <f>IF(CB2&gt;=13,Premissas!$F$63,0)</f>
        <v/>
      </c>
      <c r="CC33" s="27">
        <f>IF(CC2&gt;=13,Premissas!$F$63,0)</f>
        <v/>
      </c>
      <c r="CD33" s="27">
        <f>IF(CD2&gt;=13,Premissas!$F$63,0)</f>
        <v/>
      </c>
      <c r="CE33" s="27">
        <f>IF(CE2&gt;=13,Premissas!$F$63,0)</f>
        <v/>
      </c>
      <c r="CF33" s="27">
        <f>IF(CF2&gt;=13,Premissas!$F$63,0)</f>
        <v/>
      </c>
      <c r="CG33" s="27">
        <f>IF(CG2&gt;=13,Premissas!$F$63,0)</f>
        <v/>
      </c>
      <c r="CH33" s="27">
        <f>IF(CH2&gt;=13,Premissas!$F$63,0)</f>
        <v/>
      </c>
    </row>
    <row r="34">
      <c r="A34" s="3" t="inlineStr">
        <is>
          <t>Novos</t>
        </is>
      </c>
      <c r="C34" s="12">
        <f>C12*C33</f>
        <v/>
      </c>
      <c r="D34" s="12">
        <f>D12*D33</f>
        <v/>
      </c>
      <c r="E34" s="12">
        <f>E12*E33</f>
        <v/>
      </c>
      <c r="F34" s="12">
        <f>F12*F33</f>
        <v/>
      </c>
      <c r="G34" s="12">
        <f>G12*G33</f>
        <v/>
      </c>
      <c r="H34" s="12">
        <f>H12*H33</f>
        <v/>
      </c>
      <c r="I34" s="12">
        <f>I12*I33</f>
        <v/>
      </c>
      <c r="J34" s="12">
        <f>J12*J33</f>
        <v/>
      </c>
      <c r="K34" s="12">
        <f>K12*K33</f>
        <v/>
      </c>
      <c r="L34" s="12">
        <f>L12*L33</f>
        <v/>
      </c>
      <c r="M34" s="12">
        <f>M12*M33</f>
        <v/>
      </c>
      <c r="N34" s="12">
        <f>N12*N33</f>
        <v/>
      </c>
      <c r="O34" s="12">
        <f>O12*O33</f>
        <v/>
      </c>
      <c r="P34" s="12">
        <f>P12*P33</f>
        <v/>
      </c>
      <c r="Q34" s="12">
        <f>Q12*Q33</f>
        <v/>
      </c>
      <c r="R34" s="12">
        <f>R12*R33</f>
        <v/>
      </c>
      <c r="S34" s="12">
        <f>S12*S33</f>
        <v/>
      </c>
      <c r="T34" s="12">
        <f>T12*T33</f>
        <v/>
      </c>
      <c r="U34" s="12">
        <f>U12*U33</f>
        <v/>
      </c>
      <c r="V34" s="12">
        <f>V12*V33</f>
        <v/>
      </c>
      <c r="W34" s="12">
        <f>W12*W33</f>
        <v/>
      </c>
      <c r="X34" s="12">
        <f>X12*X33</f>
        <v/>
      </c>
      <c r="Y34" s="12">
        <f>Y12*Y33</f>
        <v/>
      </c>
      <c r="Z34" s="12">
        <f>Z12*Z33</f>
        <v/>
      </c>
      <c r="AA34" s="12">
        <f>AA12*AA33</f>
        <v/>
      </c>
      <c r="AB34" s="12">
        <f>AB12*AB33</f>
        <v/>
      </c>
      <c r="AC34" s="12">
        <f>AC12*AC33</f>
        <v/>
      </c>
      <c r="AD34" s="12">
        <f>AD12*AD33</f>
        <v/>
      </c>
      <c r="AE34" s="12">
        <f>AE12*AE33</f>
        <v/>
      </c>
      <c r="AF34" s="12">
        <f>AF12*AF33</f>
        <v/>
      </c>
      <c r="AG34" s="12">
        <f>AG12*AG33</f>
        <v/>
      </c>
      <c r="AH34" s="12">
        <f>AH12*AH33</f>
        <v/>
      </c>
      <c r="AI34" s="12">
        <f>AI12*AI33</f>
        <v/>
      </c>
      <c r="AJ34" s="12">
        <f>AJ12*AJ33</f>
        <v/>
      </c>
      <c r="AK34" s="12">
        <f>AK12*AK33</f>
        <v/>
      </c>
      <c r="AL34" s="12">
        <f>AL12*AL33</f>
        <v/>
      </c>
      <c r="AM34" s="12">
        <f>AM12*AM33</f>
        <v/>
      </c>
      <c r="AN34" s="12">
        <f>AN12*AN33</f>
        <v/>
      </c>
      <c r="AO34" s="12">
        <f>AO12*AO33</f>
        <v/>
      </c>
      <c r="AP34" s="12">
        <f>AP12*AP33</f>
        <v/>
      </c>
      <c r="AQ34" s="12">
        <f>AQ12*AQ33</f>
        <v/>
      </c>
      <c r="AR34" s="12">
        <f>AR12*AR33</f>
        <v/>
      </c>
      <c r="AS34" s="12">
        <f>AS12*AS33</f>
        <v/>
      </c>
      <c r="AT34" s="12">
        <f>AT12*AT33</f>
        <v/>
      </c>
      <c r="AU34" s="12">
        <f>AU12*AU33</f>
        <v/>
      </c>
      <c r="AV34" s="12">
        <f>AV12*AV33</f>
        <v/>
      </c>
      <c r="AW34" s="12">
        <f>AW12*AW33</f>
        <v/>
      </c>
      <c r="AX34" s="12">
        <f>AX12*AX33</f>
        <v/>
      </c>
      <c r="AY34" s="12">
        <f>AY12*AY33</f>
        <v/>
      </c>
      <c r="AZ34" s="12">
        <f>AZ12*AZ33</f>
        <v/>
      </c>
      <c r="BA34" s="12">
        <f>BA12*BA33</f>
        <v/>
      </c>
      <c r="BB34" s="12">
        <f>BB12*BB33</f>
        <v/>
      </c>
      <c r="BC34" s="12">
        <f>BC12*BC33</f>
        <v/>
      </c>
      <c r="BD34" s="12">
        <f>BD12*BD33</f>
        <v/>
      </c>
      <c r="BE34" s="12">
        <f>BE12*BE33</f>
        <v/>
      </c>
      <c r="BF34" s="12">
        <f>BF12*BF33</f>
        <v/>
      </c>
      <c r="BG34" s="12">
        <f>BG12*BG33</f>
        <v/>
      </c>
      <c r="BH34" s="12">
        <f>BH12*BH33</f>
        <v/>
      </c>
      <c r="BI34" s="12">
        <f>BI12*BI33</f>
        <v/>
      </c>
      <c r="BJ34" s="12">
        <f>BJ12*BJ33</f>
        <v/>
      </c>
      <c r="BK34" s="12">
        <f>BK12*BK33</f>
        <v/>
      </c>
      <c r="BL34" s="12">
        <f>BL12*BL33</f>
        <v/>
      </c>
      <c r="BM34" s="12">
        <f>BM12*BM33</f>
        <v/>
      </c>
      <c r="BN34" s="12">
        <f>BN12*BN33</f>
        <v/>
      </c>
      <c r="BO34" s="12">
        <f>BO12*BO33</f>
        <v/>
      </c>
      <c r="BP34" s="12">
        <f>BP12*BP33</f>
        <v/>
      </c>
      <c r="BQ34" s="12">
        <f>BQ12*BQ33</f>
        <v/>
      </c>
      <c r="BR34" s="12">
        <f>BR12*BR33</f>
        <v/>
      </c>
      <c r="BS34" s="12">
        <f>BS12*BS33</f>
        <v/>
      </c>
      <c r="BT34" s="12">
        <f>BT12*BT33</f>
        <v/>
      </c>
      <c r="BU34" s="12">
        <f>BU12*BU33</f>
        <v/>
      </c>
      <c r="BV34" s="12">
        <f>BV12*BV33</f>
        <v/>
      </c>
      <c r="BW34" s="12">
        <f>BW12*BW33</f>
        <v/>
      </c>
      <c r="BX34" s="12">
        <f>BX12*BX33</f>
        <v/>
      </c>
      <c r="BY34" s="12">
        <f>BY12*BY33</f>
        <v/>
      </c>
      <c r="BZ34" s="12">
        <f>BZ12*BZ33</f>
        <v/>
      </c>
      <c r="CA34" s="12">
        <f>CA12*CA33</f>
        <v/>
      </c>
      <c r="CB34" s="12">
        <f>CB12*CB33</f>
        <v/>
      </c>
      <c r="CC34" s="12">
        <f>CC12*CC33</f>
        <v/>
      </c>
      <c r="CD34" s="12">
        <f>CD12*CD33</f>
        <v/>
      </c>
      <c r="CE34" s="12">
        <f>CE12*CE33</f>
        <v/>
      </c>
      <c r="CF34" s="12">
        <f>CF12*CF33</f>
        <v/>
      </c>
      <c r="CG34" s="12">
        <f>CG12*CG33</f>
        <v/>
      </c>
      <c r="CH34" s="12">
        <f>CH12*CH33</f>
        <v/>
      </c>
    </row>
    <row r="35">
      <c r="A35" s="3" t="inlineStr">
        <is>
          <t>Cancelados</t>
        </is>
      </c>
      <c r="C35" s="12">
        <f>0*Premissas!$F$64</f>
        <v/>
      </c>
      <c r="D35" s="12">
        <f>C36*Premissas!$F$64</f>
        <v/>
      </c>
      <c r="E35" s="12">
        <f>D36*Premissas!$F$64</f>
        <v/>
      </c>
      <c r="F35" s="12">
        <f>E36*Premissas!$F$64</f>
        <v/>
      </c>
      <c r="G35" s="12">
        <f>F36*Premissas!$F$64</f>
        <v/>
      </c>
      <c r="H35" s="12">
        <f>G36*Premissas!$F$64</f>
        <v/>
      </c>
      <c r="I35" s="12">
        <f>H36*Premissas!$F$64</f>
        <v/>
      </c>
      <c r="J35" s="12">
        <f>I36*Premissas!$F$64</f>
        <v/>
      </c>
      <c r="K35" s="12">
        <f>J36*Premissas!$F$64</f>
        <v/>
      </c>
      <c r="L35" s="12">
        <f>K36*Premissas!$F$64</f>
        <v/>
      </c>
      <c r="M35" s="12">
        <f>L36*Premissas!$F$64</f>
        <v/>
      </c>
      <c r="N35" s="12">
        <f>M36*Premissas!$F$64</f>
        <v/>
      </c>
      <c r="O35" s="12">
        <f>N36*Premissas!$F$64</f>
        <v/>
      </c>
      <c r="P35" s="12">
        <f>O36*Premissas!$F$64</f>
        <v/>
      </c>
      <c r="Q35" s="12">
        <f>P36*Premissas!$F$64</f>
        <v/>
      </c>
      <c r="R35" s="12">
        <f>Q36*Premissas!$F$64</f>
        <v/>
      </c>
      <c r="S35" s="12">
        <f>R36*Premissas!$F$64</f>
        <v/>
      </c>
      <c r="T35" s="12">
        <f>S36*Premissas!$F$64</f>
        <v/>
      </c>
      <c r="U35" s="12">
        <f>T36*Premissas!$F$64</f>
        <v/>
      </c>
      <c r="V35" s="12">
        <f>U36*Premissas!$F$64</f>
        <v/>
      </c>
      <c r="W35" s="12">
        <f>V36*Premissas!$F$64</f>
        <v/>
      </c>
      <c r="X35" s="12">
        <f>W36*Premissas!$F$64</f>
        <v/>
      </c>
      <c r="Y35" s="12">
        <f>X36*Premissas!$F$64</f>
        <v/>
      </c>
      <c r="Z35" s="12">
        <f>Y36*Premissas!$F$64</f>
        <v/>
      </c>
      <c r="AA35" s="12">
        <f>Z36*Premissas!$F$64</f>
        <v/>
      </c>
      <c r="AB35" s="12">
        <f>AA36*Premissas!$F$64</f>
        <v/>
      </c>
      <c r="AC35" s="12">
        <f>AB36*Premissas!$F$64</f>
        <v/>
      </c>
      <c r="AD35" s="12">
        <f>AC36*Premissas!$F$64</f>
        <v/>
      </c>
      <c r="AE35" s="12">
        <f>AD36*Premissas!$F$64</f>
        <v/>
      </c>
      <c r="AF35" s="12">
        <f>AE36*Premissas!$F$64</f>
        <v/>
      </c>
      <c r="AG35" s="12">
        <f>AF36*Premissas!$F$64</f>
        <v/>
      </c>
      <c r="AH35" s="12">
        <f>AG36*Premissas!$F$64</f>
        <v/>
      </c>
      <c r="AI35" s="12">
        <f>AH36*Premissas!$F$64</f>
        <v/>
      </c>
      <c r="AJ35" s="12">
        <f>AI36*Premissas!$F$64</f>
        <v/>
      </c>
      <c r="AK35" s="12">
        <f>AJ36*Premissas!$F$64</f>
        <v/>
      </c>
      <c r="AL35" s="12">
        <f>AK36*Premissas!$F$64</f>
        <v/>
      </c>
      <c r="AM35" s="12">
        <f>AL36*Premissas!$F$64</f>
        <v/>
      </c>
      <c r="AN35" s="12">
        <f>AM36*Premissas!$F$64</f>
        <v/>
      </c>
      <c r="AO35" s="12">
        <f>AN36*Premissas!$F$64</f>
        <v/>
      </c>
      <c r="AP35" s="12">
        <f>AO36*Premissas!$F$64</f>
        <v/>
      </c>
      <c r="AQ35" s="12">
        <f>AP36*Premissas!$F$64</f>
        <v/>
      </c>
      <c r="AR35" s="12">
        <f>AQ36*Premissas!$F$64</f>
        <v/>
      </c>
      <c r="AS35" s="12">
        <f>AR36*Premissas!$F$64</f>
        <v/>
      </c>
      <c r="AT35" s="12">
        <f>AS36*Premissas!$F$64</f>
        <v/>
      </c>
      <c r="AU35" s="12">
        <f>AT36*Premissas!$F$64</f>
        <v/>
      </c>
      <c r="AV35" s="12">
        <f>AU36*Premissas!$F$64</f>
        <v/>
      </c>
      <c r="AW35" s="12">
        <f>AV36*Premissas!$F$64</f>
        <v/>
      </c>
      <c r="AX35" s="12">
        <f>AW36*Premissas!$F$64</f>
        <v/>
      </c>
      <c r="AY35" s="12">
        <f>AX36*Premissas!$F$64</f>
        <v/>
      </c>
      <c r="AZ35" s="12">
        <f>AY36*Premissas!$F$64</f>
        <v/>
      </c>
      <c r="BA35" s="12">
        <f>AZ36*Premissas!$F$64</f>
        <v/>
      </c>
      <c r="BB35" s="12">
        <f>BA36*Premissas!$F$64</f>
        <v/>
      </c>
      <c r="BC35" s="12">
        <f>BB36*Premissas!$F$64</f>
        <v/>
      </c>
      <c r="BD35" s="12">
        <f>BC36*Premissas!$F$64</f>
        <v/>
      </c>
      <c r="BE35" s="12">
        <f>BD36*Premissas!$F$64</f>
        <v/>
      </c>
      <c r="BF35" s="12">
        <f>BE36*Premissas!$F$64</f>
        <v/>
      </c>
      <c r="BG35" s="12">
        <f>BF36*Premissas!$F$64</f>
        <v/>
      </c>
      <c r="BH35" s="12">
        <f>BG36*Premissas!$F$64</f>
        <v/>
      </c>
      <c r="BI35" s="12">
        <f>BH36*Premissas!$F$64</f>
        <v/>
      </c>
      <c r="BJ35" s="12">
        <f>BI36*Premissas!$F$64</f>
        <v/>
      </c>
      <c r="BK35" s="12">
        <f>BJ36*Premissas!$F$64</f>
        <v/>
      </c>
      <c r="BL35" s="12">
        <f>BK36*Premissas!$F$64</f>
        <v/>
      </c>
      <c r="BM35" s="12">
        <f>BL36*Premissas!$F$64</f>
        <v/>
      </c>
      <c r="BN35" s="12">
        <f>BM36*Premissas!$F$64</f>
        <v/>
      </c>
      <c r="BO35" s="12">
        <f>BN36*Premissas!$F$64</f>
        <v/>
      </c>
      <c r="BP35" s="12">
        <f>BO36*Premissas!$F$64</f>
        <v/>
      </c>
      <c r="BQ35" s="12">
        <f>BP36*Premissas!$F$64</f>
        <v/>
      </c>
      <c r="BR35" s="12">
        <f>BQ36*Premissas!$F$64</f>
        <v/>
      </c>
      <c r="BS35" s="12">
        <f>BR36*Premissas!$F$64</f>
        <v/>
      </c>
      <c r="BT35" s="12">
        <f>BS36*Premissas!$F$64</f>
        <v/>
      </c>
      <c r="BU35" s="12">
        <f>BT36*Premissas!$F$64</f>
        <v/>
      </c>
      <c r="BV35" s="12">
        <f>BU36*Premissas!$F$64</f>
        <v/>
      </c>
      <c r="BW35" s="12">
        <f>BV36*Premissas!$F$64</f>
        <v/>
      </c>
      <c r="BX35" s="12">
        <f>BW36*Premissas!$F$64</f>
        <v/>
      </c>
      <c r="BY35" s="12">
        <f>BX36*Premissas!$F$64</f>
        <v/>
      </c>
      <c r="BZ35" s="12">
        <f>BY36*Premissas!$F$64</f>
        <v/>
      </c>
      <c r="CA35" s="12">
        <f>BZ36*Premissas!$F$64</f>
        <v/>
      </c>
      <c r="CB35" s="12">
        <f>CA36*Premissas!$F$64</f>
        <v/>
      </c>
      <c r="CC35" s="12">
        <f>CB36*Premissas!$F$64</f>
        <v/>
      </c>
      <c r="CD35" s="12">
        <f>CC36*Premissas!$F$64</f>
        <v/>
      </c>
      <c r="CE35" s="12">
        <f>CD36*Premissas!$F$64</f>
        <v/>
      </c>
      <c r="CF35" s="12">
        <f>CE36*Premissas!$F$64</f>
        <v/>
      </c>
      <c r="CG35" s="12">
        <f>CF36*Premissas!$F$64</f>
        <v/>
      </c>
      <c r="CH35" s="12">
        <f>CG36*Premissas!$F$64</f>
        <v/>
      </c>
    </row>
    <row r="36">
      <c r="A36" s="2" t="inlineStr">
        <is>
          <t>Ativos no fim do mês</t>
        </is>
      </c>
      <c r="C36" s="22">
        <f>0+C34-C35</f>
        <v/>
      </c>
      <c r="D36" s="22">
        <f>C36+D34-D35</f>
        <v/>
      </c>
      <c r="E36" s="22">
        <f>D36+E34-E35</f>
        <v/>
      </c>
      <c r="F36" s="22">
        <f>E36+F34-F35</f>
        <v/>
      </c>
      <c r="G36" s="22">
        <f>F36+G34-G35</f>
        <v/>
      </c>
      <c r="H36" s="22">
        <f>G36+H34-H35</f>
        <v/>
      </c>
      <c r="I36" s="22">
        <f>H36+I34-I35</f>
        <v/>
      </c>
      <c r="J36" s="22">
        <f>I36+J34-J35</f>
        <v/>
      </c>
      <c r="K36" s="22">
        <f>J36+K34-K35</f>
        <v/>
      </c>
      <c r="L36" s="22">
        <f>K36+L34-L35</f>
        <v/>
      </c>
      <c r="M36" s="22">
        <f>L36+M34-M35</f>
        <v/>
      </c>
      <c r="N36" s="22">
        <f>M36+N34-N35</f>
        <v/>
      </c>
      <c r="O36" s="22">
        <f>N36+O34-O35</f>
        <v/>
      </c>
      <c r="P36" s="22">
        <f>O36+P34-P35</f>
        <v/>
      </c>
      <c r="Q36" s="22">
        <f>P36+Q34-Q35</f>
        <v/>
      </c>
      <c r="R36" s="22">
        <f>Q36+R34-R35</f>
        <v/>
      </c>
      <c r="S36" s="22">
        <f>R36+S34-S35</f>
        <v/>
      </c>
      <c r="T36" s="22">
        <f>S36+T34-T35</f>
        <v/>
      </c>
      <c r="U36" s="22">
        <f>T36+U34-U35</f>
        <v/>
      </c>
      <c r="V36" s="22">
        <f>U36+V34-V35</f>
        <v/>
      </c>
      <c r="W36" s="22">
        <f>V36+W34-W35</f>
        <v/>
      </c>
      <c r="X36" s="22">
        <f>W36+X34-X35</f>
        <v/>
      </c>
      <c r="Y36" s="22">
        <f>X36+Y34-Y35</f>
        <v/>
      </c>
      <c r="Z36" s="22">
        <f>Y36+Z34-Z35</f>
        <v/>
      </c>
      <c r="AA36" s="22">
        <f>Z36+AA34-AA35</f>
        <v/>
      </c>
      <c r="AB36" s="22">
        <f>AA36+AB34-AB35</f>
        <v/>
      </c>
      <c r="AC36" s="22">
        <f>AB36+AC34-AC35</f>
        <v/>
      </c>
      <c r="AD36" s="22">
        <f>AC36+AD34-AD35</f>
        <v/>
      </c>
      <c r="AE36" s="22">
        <f>AD36+AE34-AE35</f>
        <v/>
      </c>
      <c r="AF36" s="22">
        <f>AE36+AF34-AF35</f>
        <v/>
      </c>
      <c r="AG36" s="22">
        <f>AF36+AG34-AG35</f>
        <v/>
      </c>
      <c r="AH36" s="22">
        <f>AG36+AH34-AH35</f>
        <v/>
      </c>
      <c r="AI36" s="22">
        <f>AH36+AI34-AI35</f>
        <v/>
      </c>
      <c r="AJ36" s="22">
        <f>AI36+AJ34-AJ35</f>
        <v/>
      </c>
      <c r="AK36" s="22">
        <f>AJ36+AK34-AK35</f>
        <v/>
      </c>
      <c r="AL36" s="22">
        <f>AK36+AL34-AL35</f>
        <v/>
      </c>
      <c r="AM36" s="22">
        <f>AL36+AM34-AM35</f>
        <v/>
      </c>
      <c r="AN36" s="22">
        <f>AM36+AN34-AN35</f>
        <v/>
      </c>
      <c r="AO36" s="22">
        <f>AN36+AO34-AO35</f>
        <v/>
      </c>
      <c r="AP36" s="22">
        <f>AO36+AP34-AP35</f>
        <v/>
      </c>
      <c r="AQ36" s="22">
        <f>AP36+AQ34-AQ35</f>
        <v/>
      </c>
      <c r="AR36" s="22">
        <f>AQ36+AR34-AR35</f>
        <v/>
      </c>
      <c r="AS36" s="22">
        <f>AR36+AS34-AS35</f>
        <v/>
      </c>
      <c r="AT36" s="22">
        <f>AS36+AT34-AT35</f>
        <v/>
      </c>
      <c r="AU36" s="22">
        <f>AT36+AU34-AU35</f>
        <v/>
      </c>
      <c r="AV36" s="22">
        <f>AU36+AV34-AV35</f>
        <v/>
      </c>
      <c r="AW36" s="22">
        <f>AV36+AW34-AW35</f>
        <v/>
      </c>
      <c r="AX36" s="22">
        <f>AW36+AX34-AX35</f>
        <v/>
      </c>
      <c r="AY36" s="22">
        <f>AX36+AY34-AY35</f>
        <v/>
      </c>
      <c r="AZ36" s="22">
        <f>AY36+AZ34-AZ35</f>
        <v/>
      </c>
      <c r="BA36" s="22">
        <f>AZ36+BA34-BA35</f>
        <v/>
      </c>
      <c r="BB36" s="22">
        <f>BA36+BB34-BB35</f>
        <v/>
      </c>
      <c r="BC36" s="22">
        <f>BB36+BC34-BC35</f>
        <v/>
      </c>
      <c r="BD36" s="22">
        <f>BC36+BD34-BD35</f>
        <v/>
      </c>
      <c r="BE36" s="22">
        <f>BD36+BE34-BE35</f>
        <v/>
      </c>
      <c r="BF36" s="22">
        <f>BE36+BF34-BF35</f>
        <v/>
      </c>
      <c r="BG36" s="22">
        <f>BF36+BG34-BG35</f>
        <v/>
      </c>
      <c r="BH36" s="22">
        <f>BG36+BH34-BH35</f>
        <v/>
      </c>
      <c r="BI36" s="22">
        <f>BH36+BI34-BI35</f>
        <v/>
      </c>
      <c r="BJ36" s="22">
        <f>BI36+BJ34-BJ35</f>
        <v/>
      </c>
      <c r="BK36" s="22">
        <f>BJ36+BK34-BK35</f>
        <v/>
      </c>
      <c r="BL36" s="22">
        <f>BK36+BL34-BL35</f>
        <v/>
      </c>
      <c r="BM36" s="22">
        <f>BL36+BM34-BM35</f>
        <v/>
      </c>
      <c r="BN36" s="22">
        <f>BM36+BN34-BN35</f>
        <v/>
      </c>
      <c r="BO36" s="22">
        <f>BN36+BO34-BO35</f>
        <v/>
      </c>
      <c r="BP36" s="22">
        <f>BO36+BP34-BP35</f>
        <v/>
      </c>
      <c r="BQ36" s="22">
        <f>BP36+BQ34-BQ35</f>
        <v/>
      </c>
      <c r="BR36" s="22">
        <f>BQ36+BR34-BR35</f>
        <v/>
      </c>
      <c r="BS36" s="22">
        <f>BR36+BS34-BS35</f>
        <v/>
      </c>
      <c r="BT36" s="22">
        <f>BS36+BT34-BT35</f>
        <v/>
      </c>
      <c r="BU36" s="22">
        <f>BT36+BU34-BU35</f>
        <v/>
      </c>
      <c r="BV36" s="22">
        <f>BU36+BV34-BV35</f>
        <v/>
      </c>
      <c r="BW36" s="22">
        <f>BV36+BW34-BW35</f>
        <v/>
      </c>
      <c r="BX36" s="22">
        <f>BW36+BX34-BX35</f>
        <v/>
      </c>
      <c r="BY36" s="22">
        <f>BX36+BY34-BY35</f>
        <v/>
      </c>
      <c r="BZ36" s="22">
        <f>BY36+BZ34-BZ35</f>
        <v/>
      </c>
      <c r="CA36" s="22">
        <f>BZ36+CA34-CA35</f>
        <v/>
      </c>
      <c r="CB36" s="22">
        <f>CA36+CB34-CB35</f>
        <v/>
      </c>
      <c r="CC36" s="22">
        <f>CB36+CC34-CC35</f>
        <v/>
      </c>
      <c r="CD36" s="22">
        <f>CC36+CD34-CD35</f>
        <v/>
      </c>
      <c r="CE36" s="22">
        <f>CD36+CE34-CE35</f>
        <v/>
      </c>
      <c r="CF36" s="22">
        <f>CE36+CF34-CF35</f>
        <v/>
      </c>
      <c r="CG36" s="22">
        <f>CF36+CG34-CG35</f>
        <v/>
      </c>
      <c r="CH36" s="22">
        <f>CG36+CH34-CH35</f>
        <v/>
      </c>
    </row>
    <row r="38">
      <c r="A38" s="4" t="inlineStr">
        <is>
          <t>Clientes e receita</t>
        </is>
      </c>
      <c r="B38" s="5" t="n"/>
    </row>
    <row r="39">
      <c r="A39" s="2" t="inlineStr">
        <is>
          <t>Clientes ativos</t>
        </is>
      </c>
      <c r="C39" s="21">
        <f>C18+C24+C30+C36</f>
        <v/>
      </c>
      <c r="D39" s="21">
        <f>D18+D24+D30+D36</f>
        <v/>
      </c>
      <c r="E39" s="21">
        <f>E18+E24+E30+E36</f>
        <v/>
      </c>
      <c r="F39" s="21">
        <f>F18+F24+F30+F36</f>
        <v/>
      </c>
      <c r="G39" s="21">
        <f>G18+G24+G30+G36</f>
        <v/>
      </c>
      <c r="H39" s="21">
        <f>H18+H24+H30+H36</f>
        <v/>
      </c>
      <c r="I39" s="21">
        <f>I18+I24+I30+I36</f>
        <v/>
      </c>
      <c r="J39" s="21">
        <f>J18+J24+J30+J36</f>
        <v/>
      </c>
      <c r="K39" s="21">
        <f>K18+K24+K30+K36</f>
        <v/>
      </c>
      <c r="L39" s="21">
        <f>L18+L24+L30+L36</f>
        <v/>
      </c>
      <c r="M39" s="21">
        <f>M18+M24+M30+M36</f>
        <v/>
      </c>
      <c r="N39" s="21">
        <f>N18+N24+N30+N36</f>
        <v/>
      </c>
      <c r="O39" s="21">
        <f>O18+O24+O30+O36</f>
        <v/>
      </c>
      <c r="P39" s="21">
        <f>P18+P24+P30+P36</f>
        <v/>
      </c>
      <c r="Q39" s="21">
        <f>Q18+Q24+Q30+Q36</f>
        <v/>
      </c>
      <c r="R39" s="21">
        <f>R18+R24+R30+R36</f>
        <v/>
      </c>
      <c r="S39" s="21">
        <f>S18+S24+S30+S36</f>
        <v/>
      </c>
      <c r="T39" s="21">
        <f>T18+T24+T30+T36</f>
        <v/>
      </c>
      <c r="U39" s="21">
        <f>U18+U24+U30+U36</f>
        <v/>
      </c>
      <c r="V39" s="21">
        <f>V18+V24+V30+V36</f>
        <v/>
      </c>
      <c r="W39" s="21">
        <f>W18+W24+W30+W36</f>
        <v/>
      </c>
      <c r="X39" s="21">
        <f>X18+X24+X30+X36</f>
        <v/>
      </c>
      <c r="Y39" s="21">
        <f>Y18+Y24+Y30+Y36</f>
        <v/>
      </c>
      <c r="Z39" s="21">
        <f>Z18+Z24+Z30+Z36</f>
        <v/>
      </c>
      <c r="AA39" s="21">
        <f>AA18+AA24+AA30+AA36</f>
        <v/>
      </c>
      <c r="AB39" s="21">
        <f>AB18+AB24+AB30+AB36</f>
        <v/>
      </c>
      <c r="AC39" s="21">
        <f>AC18+AC24+AC30+AC36</f>
        <v/>
      </c>
      <c r="AD39" s="21">
        <f>AD18+AD24+AD30+AD36</f>
        <v/>
      </c>
      <c r="AE39" s="21">
        <f>AE18+AE24+AE30+AE36</f>
        <v/>
      </c>
      <c r="AF39" s="21">
        <f>AF18+AF24+AF30+AF36</f>
        <v/>
      </c>
      <c r="AG39" s="21">
        <f>AG18+AG24+AG30+AG36</f>
        <v/>
      </c>
      <c r="AH39" s="21">
        <f>AH18+AH24+AH30+AH36</f>
        <v/>
      </c>
      <c r="AI39" s="21">
        <f>AI18+AI24+AI30+AI36</f>
        <v/>
      </c>
      <c r="AJ39" s="21">
        <f>AJ18+AJ24+AJ30+AJ36</f>
        <v/>
      </c>
      <c r="AK39" s="21">
        <f>AK18+AK24+AK30+AK36</f>
        <v/>
      </c>
      <c r="AL39" s="21">
        <f>AL18+AL24+AL30+AL36</f>
        <v/>
      </c>
      <c r="AM39" s="21">
        <f>AM18+AM24+AM30+AM36</f>
        <v/>
      </c>
      <c r="AN39" s="21">
        <f>AN18+AN24+AN30+AN36</f>
        <v/>
      </c>
      <c r="AO39" s="21">
        <f>AO18+AO24+AO30+AO36</f>
        <v/>
      </c>
      <c r="AP39" s="21">
        <f>AP18+AP24+AP30+AP36</f>
        <v/>
      </c>
      <c r="AQ39" s="21">
        <f>AQ18+AQ24+AQ30+AQ36</f>
        <v/>
      </c>
      <c r="AR39" s="21">
        <f>AR18+AR24+AR30+AR36</f>
        <v/>
      </c>
      <c r="AS39" s="21">
        <f>AS18+AS24+AS30+AS36</f>
        <v/>
      </c>
      <c r="AT39" s="21">
        <f>AT18+AT24+AT30+AT36</f>
        <v/>
      </c>
      <c r="AU39" s="21">
        <f>AU18+AU24+AU30+AU36</f>
        <v/>
      </c>
      <c r="AV39" s="21">
        <f>AV18+AV24+AV30+AV36</f>
        <v/>
      </c>
      <c r="AW39" s="21">
        <f>AW18+AW24+AW30+AW36</f>
        <v/>
      </c>
      <c r="AX39" s="21">
        <f>AX18+AX24+AX30+AX36</f>
        <v/>
      </c>
      <c r="AY39" s="21">
        <f>AY18+AY24+AY30+AY36</f>
        <v/>
      </c>
      <c r="AZ39" s="21">
        <f>AZ18+AZ24+AZ30+AZ36</f>
        <v/>
      </c>
      <c r="BA39" s="21">
        <f>BA18+BA24+BA30+BA36</f>
        <v/>
      </c>
      <c r="BB39" s="21">
        <f>BB18+BB24+BB30+BB36</f>
        <v/>
      </c>
      <c r="BC39" s="21">
        <f>BC18+BC24+BC30+BC36</f>
        <v/>
      </c>
      <c r="BD39" s="21">
        <f>BD18+BD24+BD30+BD36</f>
        <v/>
      </c>
      <c r="BE39" s="21">
        <f>BE18+BE24+BE30+BE36</f>
        <v/>
      </c>
      <c r="BF39" s="21">
        <f>BF18+BF24+BF30+BF36</f>
        <v/>
      </c>
      <c r="BG39" s="21">
        <f>BG18+BG24+BG30+BG36</f>
        <v/>
      </c>
      <c r="BH39" s="21">
        <f>BH18+BH24+BH30+BH36</f>
        <v/>
      </c>
      <c r="BI39" s="21">
        <f>BI18+BI24+BI30+BI36</f>
        <v/>
      </c>
      <c r="BJ39" s="21">
        <f>BJ18+BJ24+BJ30+BJ36</f>
        <v/>
      </c>
      <c r="BK39" s="21">
        <f>BK18+BK24+BK30+BK36</f>
        <v/>
      </c>
      <c r="BL39" s="21">
        <f>BL18+BL24+BL30+BL36</f>
        <v/>
      </c>
      <c r="BM39" s="21">
        <f>BM18+BM24+BM30+BM36</f>
        <v/>
      </c>
      <c r="BN39" s="21">
        <f>BN18+BN24+BN30+BN36</f>
        <v/>
      </c>
      <c r="BO39" s="21">
        <f>BO18+BO24+BO30+BO36</f>
        <v/>
      </c>
      <c r="BP39" s="21">
        <f>BP18+BP24+BP30+BP36</f>
        <v/>
      </c>
      <c r="BQ39" s="21">
        <f>BQ18+BQ24+BQ30+BQ36</f>
        <v/>
      </c>
      <c r="BR39" s="21">
        <f>BR18+BR24+BR30+BR36</f>
        <v/>
      </c>
      <c r="BS39" s="21">
        <f>BS18+BS24+BS30+BS36</f>
        <v/>
      </c>
      <c r="BT39" s="21">
        <f>BT18+BT24+BT30+BT36</f>
        <v/>
      </c>
      <c r="BU39" s="21">
        <f>BU18+BU24+BU30+BU36</f>
        <v/>
      </c>
      <c r="BV39" s="21">
        <f>BV18+BV24+BV30+BV36</f>
        <v/>
      </c>
      <c r="BW39" s="21">
        <f>BW18+BW24+BW30+BW36</f>
        <v/>
      </c>
      <c r="BX39" s="21">
        <f>BX18+BX24+BX30+BX36</f>
        <v/>
      </c>
      <c r="BY39" s="21">
        <f>BY18+BY24+BY30+BY36</f>
        <v/>
      </c>
      <c r="BZ39" s="21">
        <f>BZ18+BZ24+BZ30+BZ36</f>
        <v/>
      </c>
      <c r="CA39" s="21">
        <f>CA18+CA24+CA30+CA36</f>
        <v/>
      </c>
      <c r="CB39" s="21">
        <f>CB18+CB24+CB30+CB36</f>
        <v/>
      </c>
      <c r="CC39" s="21">
        <f>CC18+CC24+CC30+CC36</f>
        <v/>
      </c>
      <c r="CD39" s="21">
        <f>CD18+CD24+CD30+CD36</f>
        <v/>
      </c>
      <c r="CE39" s="21">
        <f>CE18+CE24+CE30+CE36</f>
        <v/>
      </c>
      <c r="CF39" s="21">
        <f>CF18+CF24+CF30+CF36</f>
        <v/>
      </c>
      <c r="CG39" s="21">
        <f>CG18+CG24+CG30+CG36</f>
        <v/>
      </c>
      <c r="CH39" s="21">
        <f>CH18+CH24+CH30+CH36</f>
        <v/>
      </c>
    </row>
    <row r="40">
      <c r="A40" s="3" t="inlineStr">
        <is>
          <t>Mercado endereçável no mês</t>
        </is>
      </c>
      <c r="C40" s="8">
        <f>Premissas!$F$12+IF(C2&gt;=Premissas!$F$13,Premissas!$F$15,0)</f>
        <v/>
      </c>
      <c r="D40" s="8">
        <f>Premissas!$F$12+IF(D2&gt;=Premissas!$F$13,Premissas!$F$15,0)</f>
        <v/>
      </c>
      <c r="E40" s="8">
        <f>Premissas!$F$12+IF(E2&gt;=Premissas!$F$13,Premissas!$F$15,0)</f>
        <v/>
      </c>
      <c r="F40" s="8">
        <f>Premissas!$F$12+IF(F2&gt;=Premissas!$F$13,Premissas!$F$15,0)</f>
        <v/>
      </c>
      <c r="G40" s="8">
        <f>Premissas!$F$12+IF(G2&gt;=Premissas!$F$13,Premissas!$F$15,0)</f>
        <v/>
      </c>
      <c r="H40" s="8">
        <f>Premissas!$F$12+IF(H2&gt;=Premissas!$F$13,Premissas!$F$15,0)</f>
        <v/>
      </c>
      <c r="I40" s="8">
        <f>Premissas!$F$12+IF(I2&gt;=Premissas!$F$13,Premissas!$F$15,0)</f>
        <v/>
      </c>
      <c r="J40" s="8">
        <f>Premissas!$F$12+IF(J2&gt;=Premissas!$F$13,Premissas!$F$15,0)</f>
        <v/>
      </c>
      <c r="K40" s="8">
        <f>Premissas!$F$12+IF(K2&gt;=Premissas!$F$13,Premissas!$F$15,0)</f>
        <v/>
      </c>
      <c r="L40" s="8">
        <f>Premissas!$F$12+IF(L2&gt;=Premissas!$F$13,Premissas!$F$15,0)</f>
        <v/>
      </c>
      <c r="M40" s="8">
        <f>Premissas!$F$12+IF(M2&gt;=Premissas!$F$13,Premissas!$F$15,0)</f>
        <v/>
      </c>
      <c r="N40" s="8">
        <f>Premissas!$F$12+IF(N2&gt;=Premissas!$F$13,Premissas!$F$15,0)</f>
        <v/>
      </c>
      <c r="O40" s="8">
        <f>Premissas!$F$12+IF(O2&gt;=Premissas!$F$13,Premissas!$F$15,0)</f>
        <v/>
      </c>
      <c r="P40" s="8">
        <f>Premissas!$F$12+IF(P2&gt;=Premissas!$F$13,Premissas!$F$15,0)</f>
        <v/>
      </c>
      <c r="Q40" s="8">
        <f>Premissas!$F$12+IF(Q2&gt;=Premissas!$F$13,Premissas!$F$15,0)</f>
        <v/>
      </c>
      <c r="R40" s="8">
        <f>Premissas!$F$12+IF(R2&gt;=Premissas!$F$13,Premissas!$F$15,0)</f>
        <v/>
      </c>
      <c r="S40" s="8">
        <f>Premissas!$F$12+IF(S2&gt;=Premissas!$F$13,Premissas!$F$15,0)</f>
        <v/>
      </c>
      <c r="T40" s="8">
        <f>Premissas!$F$12+IF(T2&gt;=Premissas!$F$13,Premissas!$F$15,0)</f>
        <v/>
      </c>
      <c r="U40" s="8">
        <f>Premissas!$F$12+IF(U2&gt;=Premissas!$F$13,Premissas!$F$15,0)</f>
        <v/>
      </c>
      <c r="V40" s="8">
        <f>Premissas!$F$12+IF(V2&gt;=Premissas!$F$13,Premissas!$F$15,0)</f>
        <v/>
      </c>
      <c r="W40" s="8">
        <f>Premissas!$F$12+IF(W2&gt;=Premissas!$F$13,Premissas!$F$15,0)</f>
        <v/>
      </c>
      <c r="X40" s="8">
        <f>Premissas!$F$12+IF(X2&gt;=Premissas!$F$13,Premissas!$F$15,0)</f>
        <v/>
      </c>
      <c r="Y40" s="8">
        <f>Premissas!$F$12+IF(Y2&gt;=Premissas!$F$13,Premissas!$F$15,0)</f>
        <v/>
      </c>
      <c r="Z40" s="8">
        <f>Premissas!$F$12+IF(Z2&gt;=Premissas!$F$13,Premissas!$F$15,0)</f>
        <v/>
      </c>
      <c r="AA40" s="8">
        <f>Premissas!$F$12+IF(AA2&gt;=Premissas!$F$13,Premissas!$F$15,0)</f>
        <v/>
      </c>
      <c r="AB40" s="8">
        <f>Premissas!$F$12+IF(AB2&gt;=Premissas!$F$13,Premissas!$F$15,0)</f>
        <v/>
      </c>
      <c r="AC40" s="8">
        <f>Premissas!$F$12+IF(AC2&gt;=Premissas!$F$13,Premissas!$F$15,0)</f>
        <v/>
      </c>
      <c r="AD40" s="8">
        <f>Premissas!$F$12+IF(AD2&gt;=Premissas!$F$13,Premissas!$F$15,0)</f>
        <v/>
      </c>
      <c r="AE40" s="8">
        <f>Premissas!$F$12+IF(AE2&gt;=Premissas!$F$13,Premissas!$F$15,0)</f>
        <v/>
      </c>
      <c r="AF40" s="8">
        <f>Premissas!$F$12+IF(AF2&gt;=Premissas!$F$13,Premissas!$F$15,0)</f>
        <v/>
      </c>
      <c r="AG40" s="8">
        <f>Premissas!$F$12+IF(AG2&gt;=Premissas!$F$13,Premissas!$F$15,0)</f>
        <v/>
      </c>
      <c r="AH40" s="8">
        <f>Premissas!$F$12+IF(AH2&gt;=Premissas!$F$13,Premissas!$F$15,0)</f>
        <v/>
      </c>
      <c r="AI40" s="8">
        <f>Premissas!$F$12+IF(AI2&gt;=Premissas!$F$13,Premissas!$F$15,0)</f>
        <v/>
      </c>
      <c r="AJ40" s="8">
        <f>Premissas!$F$12+IF(AJ2&gt;=Premissas!$F$13,Premissas!$F$15,0)</f>
        <v/>
      </c>
      <c r="AK40" s="8">
        <f>Premissas!$F$12+IF(AK2&gt;=Premissas!$F$13,Premissas!$F$15,0)</f>
        <v/>
      </c>
      <c r="AL40" s="8">
        <f>Premissas!$F$12+IF(AL2&gt;=Premissas!$F$13,Premissas!$F$15,0)</f>
        <v/>
      </c>
      <c r="AM40" s="8">
        <f>Premissas!$F$12+IF(AM2&gt;=Premissas!$F$13,Premissas!$F$15,0)</f>
        <v/>
      </c>
      <c r="AN40" s="8">
        <f>Premissas!$F$12+IF(AN2&gt;=Premissas!$F$13,Premissas!$F$15,0)</f>
        <v/>
      </c>
      <c r="AO40" s="8">
        <f>Premissas!$F$12+IF(AO2&gt;=Premissas!$F$13,Premissas!$F$15,0)</f>
        <v/>
      </c>
      <c r="AP40" s="8">
        <f>Premissas!$F$12+IF(AP2&gt;=Premissas!$F$13,Premissas!$F$15,0)</f>
        <v/>
      </c>
      <c r="AQ40" s="8">
        <f>Premissas!$F$12+IF(AQ2&gt;=Premissas!$F$13,Premissas!$F$15,0)</f>
        <v/>
      </c>
      <c r="AR40" s="8">
        <f>Premissas!$F$12+IF(AR2&gt;=Premissas!$F$13,Premissas!$F$15,0)</f>
        <v/>
      </c>
      <c r="AS40" s="8">
        <f>Premissas!$F$12+IF(AS2&gt;=Premissas!$F$13,Premissas!$F$15,0)</f>
        <v/>
      </c>
      <c r="AT40" s="8">
        <f>Premissas!$F$12+IF(AT2&gt;=Premissas!$F$13,Premissas!$F$15,0)</f>
        <v/>
      </c>
      <c r="AU40" s="8">
        <f>Premissas!$F$12+IF(AU2&gt;=Premissas!$F$13,Premissas!$F$15,0)</f>
        <v/>
      </c>
      <c r="AV40" s="8">
        <f>Premissas!$F$12+IF(AV2&gt;=Premissas!$F$13,Premissas!$F$15,0)</f>
        <v/>
      </c>
      <c r="AW40" s="8">
        <f>Premissas!$F$12+IF(AW2&gt;=Premissas!$F$13,Premissas!$F$15,0)</f>
        <v/>
      </c>
      <c r="AX40" s="8">
        <f>Premissas!$F$12+IF(AX2&gt;=Premissas!$F$13,Premissas!$F$15,0)</f>
        <v/>
      </c>
      <c r="AY40" s="8">
        <f>Premissas!$F$12+IF(AY2&gt;=Premissas!$F$13,Premissas!$F$15,0)</f>
        <v/>
      </c>
      <c r="AZ40" s="8">
        <f>Premissas!$F$12+IF(AZ2&gt;=Premissas!$F$13,Premissas!$F$15,0)</f>
        <v/>
      </c>
      <c r="BA40" s="8">
        <f>Premissas!$F$12+IF(BA2&gt;=Premissas!$F$13,Premissas!$F$15,0)</f>
        <v/>
      </c>
      <c r="BB40" s="8">
        <f>Premissas!$F$12+IF(BB2&gt;=Premissas!$F$13,Premissas!$F$15,0)</f>
        <v/>
      </c>
      <c r="BC40" s="8">
        <f>Premissas!$F$12+IF(BC2&gt;=Premissas!$F$13,Premissas!$F$15,0)</f>
        <v/>
      </c>
      <c r="BD40" s="8">
        <f>Premissas!$F$12+IF(BD2&gt;=Premissas!$F$13,Premissas!$F$15,0)</f>
        <v/>
      </c>
      <c r="BE40" s="8">
        <f>Premissas!$F$12+IF(BE2&gt;=Premissas!$F$13,Premissas!$F$15,0)</f>
        <v/>
      </c>
      <c r="BF40" s="8">
        <f>Premissas!$F$12+IF(BF2&gt;=Premissas!$F$13,Premissas!$F$15,0)</f>
        <v/>
      </c>
      <c r="BG40" s="8">
        <f>Premissas!$F$12+IF(BG2&gt;=Premissas!$F$13,Premissas!$F$15,0)</f>
        <v/>
      </c>
      <c r="BH40" s="8">
        <f>Premissas!$F$12+IF(BH2&gt;=Premissas!$F$13,Premissas!$F$15,0)</f>
        <v/>
      </c>
      <c r="BI40" s="8">
        <f>Premissas!$F$12+IF(BI2&gt;=Premissas!$F$13,Premissas!$F$15,0)</f>
        <v/>
      </c>
      <c r="BJ40" s="8">
        <f>Premissas!$F$12+IF(BJ2&gt;=Premissas!$F$13,Premissas!$F$15,0)</f>
        <v/>
      </c>
      <c r="BK40" s="8">
        <f>Premissas!$F$12+IF(BK2&gt;=Premissas!$F$13,Premissas!$F$15,0)</f>
        <v/>
      </c>
      <c r="BL40" s="8">
        <f>Premissas!$F$12+IF(BL2&gt;=Premissas!$F$13,Premissas!$F$15,0)</f>
        <v/>
      </c>
      <c r="BM40" s="8">
        <f>Premissas!$F$12+IF(BM2&gt;=Premissas!$F$13,Premissas!$F$15,0)</f>
        <v/>
      </c>
      <c r="BN40" s="8">
        <f>Premissas!$F$12+IF(BN2&gt;=Premissas!$F$13,Premissas!$F$15,0)</f>
        <v/>
      </c>
      <c r="BO40" s="8">
        <f>Premissas!$F$12+IF(BO2&gt;=Premissas!$F$13,Premissas!$F$15,0)</f>
        <v/>
      </c>
      <c r="BP40" s="8">
        <f>Premissas!$F$12+IF(BP2&gt;=Premissas!$F$13,Premissas!$F$15,0)</f>
        <v/>
      </c>
      <c r="BQ40" s="8">
        <f>Premissas!$F$12+IF(BQ2&gt;=Premissas!$F$13,Premissas!$F$15,0)</f>
        <v/>
      </c>
      <c r="BR40" s="8">
        <f>Premissas!$F$12+IF(BR2&gt;=Premissas!$F$13,Premissas!$F$15,0)</f>
        <v/>
      </c>
      <c r="BS40" s="8">
        <f>Premissas!$F$12+IF(BS2&gt;=Premissas!$F$13,Premissas!$F$15,0)</f>
        <v/>
      </c>
      <c r="BT40" s="8">
        <f>Premissas!$F$12+IF(BT2&gt;=Premissas!$F$13,Premissas!$F$15,0)</f>
        <v/>
      </c>
      <c r="BU40" s="8">
        <f>Premissas!$F$12+IF(BU2&gt;=Premissas!$F$13,Premissas!$F$15,0)</f>
        <v/>
      </c>
      <c r="BV40" s="8">
        <f>Premissas!$F$12+IF(BV2&gt;=Premissas!$F$13,Premissas!$F$15,0)</f>
        <v/>
      </c>
      <c r="BW40" s="8">
        <f>Premissas!$F$12+IF(BW2&gt;=Premissas!$F$13,Premissas!$F$15,0)</f>
        <v/>
      </c>
      <c r="BX40" s="8">
        <f>Premissas!$F$12+IF(BX2&gt;=Premissas!$F$13,Premissas!$F$15,0)</f>
        <v/>
      </c>
      <c r="BY40" s="8">
        <f>Premissas!$F$12+IF(BY2&gt;=Premissas!$F$13,Premissas!$F$15,0)</f>
        <v/>
      </c>
      <c r="BZ40" s="8">
        <f>Premissas!$F$12+IF(BZ2&gt;=Premissas!$F$13,Premissas!$F$15,0)</f>
        <v/>
      </c>
      <c r="CA40" s="8">
        <f>Premissas!$F$12+IF(CA2&gt;=Premissas!$F$13,Premissas!$F$15,0)</f>
        <v/>
      </c>
      <c r="CB40" s="8">
        <f>Premissas!$F$12+IF(CB2&gt;=Premissas!$F$13,Premissas!$F$15,0)</f>
        <v/>
      </c>
      <c r="CC40" s="8">
        <f>Premissas!$F$12+IF(CC2&gt;=Premissas!$F$13,Premissas!$F$15,0)</f>
        <v/>
      </c>
      <c r="CD40" s="8">
        <f>Premissas!$F$12+IF(CD2&gt;=Premissas!$F$13,Premissas!$F$15,0)</f>
        <v/>
      </c>
      <c r="CE40" s="8">
        <f>Premissas!$F$12+IF(CE2&gt;=Premissas!$F$13,Premissas!$F$15,0)</f>
        <v/>
      </c>
      <c r="CF40" s="8">
        <f>Premissas!$F$12+IF(CF2&gt;=Premissas!$F$13,Premissas!$F$15,0)</f>
        <v/>
      </c>
      <c r="CG40" s="8">
        <f>Premissas!$F$12+IF(CG2&gt;=Premissas!$F$13,Premissas!$F$15,0)</f>
        <v/>
      </c>
      <c r="CH40" s="8">
        <f>Premissas!$F$12+IF(CH2&gt;=Premissas!$F$13,Premissas!$F$15,0)</f>
        <v/>
      </c>
    </row>
    <row r="41">
      <c r="A41" s="3" t="inlineStr">
        <is>
          <t>Participação no mercado endereçável</t>
        </is>
      </c>
      <c r="C41" s="27">
        <f>C39/C40</f>
        <v/>
      </c>
      <c r="D41" s="27">
        <f>D39/D40</f>
        <v/>
      </c>
      <c r="E41" s="27">
        <f>E39/E40</f>
        <v/>
      </c>
      <c r="F41" s="27">
        <f>F39/F40</f>
        <v/>
      </c>
      <c r="G41" s="27">
        <f>G39/G40</f>
        <v/>
      </c>
      <c r="H41" s="27">
        <f>H39/H40</f>
        <v/>
      </c>
      <c r="I41" s="27">
        <f>I39/I40</f>
        <v/>
      </c>
      <c r="J41" s="27">
        <f>J39/J40</f>
        <v/>
      </c>
      <c r="K41" s="27">
        <f>K39/K40</f>
        <v/>
      </c>
      <c r="L41" s="27">
        <f>L39/L40</f>
        <v/>
      </c>
      <c r="M41" s="27">
        <f>M39/M40</f>
        <v/>
      </c>
      <c r="N41" s="27">
        <f>N39/N40</f>
        <v/>
      </c>
      <c r="O41" s="27">
        <f>O39/O40</f>
        <v/>
      </c>
      <c r="P41" s="27">
        <f>P39/P40</f>
        <v/>
      </c>
      <c r="Q41" s="27">
        <f>Q39/Q40</f>
        <v/>
      </c>
      <c r="R41" s="27">
        <f>R39/R40</f>
        <v/>
      </c>
      <c r="S41" s="27">
        <f>S39/S40</f>
        <v/>
      </c>
      <c r="T41" s="27">
        <f>T39/T40</f>
        <v/>
      </c>
      <c r="U41" s="27">
        <f>U39/U40</f>
        <v/>
      </c>
      <c r="V41" s="27">
        <f>V39/V40</f>
        <v/>
      </c>
      <c r="W41" s="27">
        <f>W39/W40</f>
        <v/>
      </c>
      <c r="X41" s="27">
        <f>X39/X40</f>
        <v/>
      </c>
      <c r="Y41" s="27">
        <f>Y39/Y40</f>
        <v/>
      </c>
      <c r="Z41" s="27">
        <f>Z39/Z40</f>
        <v/>
      </c>
      <c r="AA41" s="27">
        <f>AA39/AA40</f>
        <v/>
      </c>
      <c r="AB41" s="27">
        <f>AB39/AB40</f>
        <v/>
      </c>
      <c r="AC41" s="27">
        <f>AC39/AC40</f>
        <v/>
      </c>
      <c r="AD41" s="27">
        <f>AD39/AD40</f>
        <v/>
      </c>
      <c r="AE41" s="27">
        <f>AE39/AE40</f>
        <v/>
      </c>
      <c r="AF41" s="27">
        <f>AF39/AF40</f>
        <v/>
      </c>
      <c r="AG41" s="27">
        <f>AG39/AG40</f>
        <v/>
      </c>
      <c r="AH41" s="27">
        <f>AH39/AH40</f>
        <v/>
      </c>
      <c r="AI41" s="27">
        <f>AI39/AI40</f>
        <v/>
      </c>
      <c r="AJ41" s="27">
        <f>AJ39/AJ40</f>
        <v/>
      </c>
      <c r="AK41" s="27">
        <f>AK39/AK40</f>
        <v/>
      </c>
      <c r="AL41" s="27">
        <f>AL39/AL40</f>
        <v/>
      </c>
      <c r="AM41" s="27">
        <f>AM39/AM40</f>
        <v/>
      </c>
      <c r="AN41" s="27">
        <f>AN39/AN40</f>
        <v/>
      </c>
      <c r="AO41" s="27">
        <f>AO39/AO40</f>
        <v/>
      </c>
      <c r="AP41" s="27">
        <f>AP39/AP40</f>
        <v/>
      </c>
      <c r="AQ41" s="27">
        <f>AQ39/AQ40</f>
        <v/>
      </c>
      <c r="AR41" s="27">
        <f>AR39/AR40</f>
        <v/>
      </c>
      <c r="AS41" s="27">
        <f>AS39/AS40</f>
        <v/>
      </c>
      <c r="AT41" s="27">
        <f>AT39/AT40</f>
        <v/>
      </c>
      <c r="AU41" s="27">
        <f>AU39/AU40</f>
        <v/>
      </c>
      <c r="AV41" s="27">
        <f>AV39/AV40</f>
        <v/>
      </c>
      <c r="AW41" s="27">
        <f>AW39/AW40</f>
        <v/>
      </c>
      <c r="AX41" s="27">
        <f>AX39/AX40</f>
        <v/>
      </c>
      <c r="AY41" s="27">
        <f>AY39/AY40</f>
        <v/>
      </c>
      <c r="AZ41" s="27">
        <f>AZ39/AZ40</f>
        <v/>
      </c>
      <c r="BA41" s="27">
        <f>BA39/BA40</f>
        <v/>
      </c>
      <c r="BB41" s="27">
        <f>BB39/BB40</f>
        <v/>
      </c>
      <c r="BC41" s="27">
        <f>BC39/BC40</f>
        <v/>
      </c>
      <c r="BD41" s="27">
        <f>BD39/BD40</f>
        <v/>
      </c>
      <c r="BE41" s="27">
        <f>BE39/BE40</f>
        <v/>
      </c>
      <c r="BF41" s="27">
        <f>BF39/BF40</f>
        <v/>
      </c>
      <c r="BG41" s="27">
        <f>BG39/BG40</f>
        <v/>
      </c>
      <c r="BH41" s="27">
        <f>BH39/BH40</f>
        <v/>
      </c>
      <c r="BI41" s="27">
        <f>BI39/BI40</f>
        <v/>
      </c>
      <c r="BJ41" s="27">
        <f>BJ39/BJ40</f>
        <v/>
      </c>
      <c r="BK41" s="27">
        <f>BK39/BK40</f>
        <v/>
      </c>
      <c r="BL41" s="27">
        <f>BL39/BL40</f>
        <v/>
      </c>
      <c r="BM41" s="27">
        <f>BM39/BM40</f>
        <v/>
      </c>
      <c r="BN41" s="27">
        <f>BN39/BN40</f>
        <v/>
      </c>
      <c r="BO41" s="27">
        <f>BO39/BO40</f>
        <v/>
      </c>
      <c r="BP41" s="27">
        <f>BP39/BP40</f>
        <v/>
      </c>
      <c r="BQ41" s="27">
        <f>BQ39/BQ40</f>
        <v/>
      </c>
      <c r="BR41" s="27">
        <f>BR39/BR40</f>
        <v/>
      </c>
      <c r="BS41" s="27">
        <f>BS39/BS40</f>
        <v/>
      </c>
      <c r="BT41" s="27">
        <f>BT39/BT40</f>
        <v/>
      </c>
      <c r="BU41" s="27">
        <f>BU39/BU40</f>
        <v/>
      </c>
      <c r="BV41" s="27">
        <f>BV39/BV40</f>
        <v/>
      </c>
      <c r="BW41" s="27">
        <f>BW39/BW40</f>
        <v/>
      </c>
      <c r="BX41" s="27">
        <f>BX39/BX40</f>
        <v/>
      </c>
      <c r="BY41" s="27">
        <f>BY39/BY40</f>
        <v/>
      </c>
      <c r="BZ41" s="27">
        <f>BZ39/BZ40</f>
        <v/>
      </c>
      <c r="CA41" s="27">
        <f>CA39/CA40</f>
        <v/>
      </c>
      <c r="CB41" s="27">
        <f>CB39/CB40</f>
        <v/>
      </c>
      <c r="CC41" s="27">
        <f>CC39/CC40</f>
        <v/>
      </c>
      <c r="CD41" s="27">
        <f>CD39/CD40</f>
        <v/>
      </c>
      <c r="CE41" s="27">
        <f>CE39/CE40</f>
        <v/>
      </c>
      <c r="CF41" s="27">
        <f>CF39/CF40</f>
        <v/>
      </c>
      <c r="CG41" s="27">
        <f>CG39/CG40</f>
        <v/>
      </c>
      <c r="CH41" s="27">
        <f>CH39/CH40</f>
        <v/>
      </c>
    </row>
    <row r="42">
      <c r="A42" s="3" t="inlineStr">
        <is>
          <t>Receita de mensalidades</t>
        </is>
      </c>
      <c r="C42" s="26">
        <f>C18*Premissas!$F$45+C24*Premissas!$F$50+C30*Premissas!$F$55+C36*Premissas!$F$61</f>
        <v/>
      </c>
      <c r="D42" s="26">
        <f>D18*Premissas!$F$45+D24*Premissas!$F$50+D30*Premissas!$F$55+D36*Premissas!$F$61</f>
        <v/>
      </c>
      <c r="E42" s="26">
        <f>E18*Premissas!$F$45+E24*Premissas!$F$50+E30*Premissas!$F$55+E36*Premissas!$F$61</f>
        <v/>
      </c>
      <c r="F42" s="26">
        <f>F18*Premissas!$F$45+F24*Premissas!$F$50+F30*Premissas!$F$55+F36*Premissas!$F$61</f>
        <v/>
      </c>
      <c r="G42" s="26">
        <f>G18*Premissas!$F$45+G24*Premissas!$F$50+G30*Premissas!$F$55+G36*Premissas!$F$61</f>
        <v/>
      </c>
      <c r="H42" s="26">
        <f>H18*Premissas!$F$45+H24*Premissas!$F$50+H30*Premissas!$F$55+H36*Premissas!$F$61</f>
        <v/>
      </c>
      <c r="I42" s="26">
        <f>I18*Premissas!$F$45+I24*Premissas!$F$50+I30*Premissas!$F$55+I36*Premissas!$F$61</f>
        <v/>
      </c>
      <c r="J42" s="26">
        <f>J18*Premissas!$F$45+J24*Premissas!$F$50+J30*Premissas!$F$55+J36*Premissas!$F$61</f>
        <v/>
      </c>
      <c r="K42" s="26">
        <f>K18*Premissas!$F$45+K24*Premissas!$F$50+K30*Premissas!$F$55+K36*Premissas!$F$61</f>
        <v/>
      </c>
      <c r="L42" s="26">
        <f>L18*Premissas!$F$45+L24*Premissas!$F$50+L30*Premissas!$F$55+L36*Premissas!$F$61</f>
        <v/>
      </c>
      <c r="M42" s="26">
        <f>M18*Premissas!$F$45+M24*Premissas!$F$50+M30*Premissas!$F$55+M36*Premissas!$F$61</f>
        <v/>
      </c>
      <c r="N42" s="26">
        <f>N18*Premissas!$F$45+N24*Premissas!$F$50+N30*Premissas!$F$55+N36*Premissas!$F$61</f>
        <v/>
      </c>
      <c r="O42" s="26">
        <f>O18*Premissas!$F$45+O24*Premissas!$F$50+O30*Premissas!$F$55+O36*Premissas!$F$61</f>
        <v/>
      </c>
      <c r="P42" s="26">
        <f>P18*Premissas!$F$45+P24*Premissas!$F$50+P30*Premissas!$F$55+P36*Premissas!$F$61</f>
        <v/>
      </c>
      <c r="Q42" s="26">
        <f>Q18*Premissas!$F$45+Q24*Premissas!$F$50+Q30*Premissas!$F$55+Q36*Premissas!$F$61</f>
        <v/>
      </c>
      <c r="R42" s="26">
        <f>R18*Premissas!$F$45+R24*Premissas!$F$50+R30*Premissas!$F$55+R36*Premissas!$F$61</f>
        <v/>
      </c>
      <c r="S42" s="26">
        <f>S18*Premissas!$F$45+S24*Premissas!$F$50+S30*Premissas!$F$55+S36*Premissas!$F$61</f>
        <v/>
      </c>
      <c r="T42" s="26">
        <f>T18*Premissas!$F$45+T24*Premissas!$F$50+T30*Premissas!$F$55+T36*Premissas!$F$61</f>
        <v/>
      </c>
      <c r="U42" s="26">
        <f>U18*Premissas!$F$45+U24*Premissas!$F$50+U30*Premissas!$F$55+U36*Premissas!$F$61</f>
        <v/>
      </c>
      <c r="V42" s="26">
        <f>V18*Premissas!$F$45+V24*Premissas!$F$50+V30*Premissas!$F$55+V36*Premissas!$F$61</f>
        <v/>
      </c>
      <c r="W42" s="26">
        <f>W18*Premissas!$F$45+W24*Premissas!$F$50+W30*Premissas!$F$55+W36*Premissas!$F$61</f>
        <v/>
      </c>
      <c r="X42" s="26">
        <f>X18*Premissas!$F$45+X24*Premissas!$F$50+X30*Premissas!$F$55+X36*Premissas!$F$61</f>
        <v/>
      </c>
      <c r="Y42" s="26">
        <f>Y18*Premissas!$F$45+Y24*Premissas!$F$50+Y30*Premissas!$F$55+Y36*Premissas!$F$61</f>
        <v/>
      </c>
      <c r="Z42" s="26">
        <f>Z18*Premissas!$F$45+Z24*Premissas!$F$50+Z30*Premissas!$F$55+Z36*Premissas!$F$61</f>
        <v/>
      </c>
      <c r="AA42" s="26">
        <f>AA18*Premissas!$F$45+AA24*Premissas!$F$50+AA30*Premissas!$F$55+AA36*Premissas!$F$61</f>
        <v/>
      </c>
      <c r="AB42" s="26">
        <f>AB18*Premissas!$F$45+AB24*Premissas!$F$50+AB30*Premissas!$F$55+AB36*Premissas!$F$61</f>
        <v/>
      </c>
      <c r="AC42" s="26">
        <f>AC18*Premissas!$F$45+AC24*Premissas!$F$50+AC30*Premissas!$F$55+AC36*Premissas!$F$61</f>
        <v/>
      </c>
      <c r="AD42" s="26">
        <f>AD18*Premissas!$F$45+AD24*Premissas!$F$50+AD30*Premissas!$F$55+AD36*Premissas!$F$61</f>
        <v/>
      </c>
      <c r="AE42" s="26">
        <f>AE18*Premissas!$F$45+AE24*Premissas!$F$50+AE30*Premissas!$F$55+AE36*Premissas!$F$61</f>
        <v/>
      </c>
      <c r="AF42" s="26">
        <f>AF18*Premissas!$F$45+AF24*Premissas!$F$50+AF30*Premissas!$F$55+AF36*Premissas!$F$61</f>
        <v/>
      </c>
      <c r="AG42" s="26">
        <f>AG18*Premissas!$F$45+AG24*Premissas!$F$50+AG30*Premissas!$F$55+AG36*Premissas!$F$61</f>
        <v/>
      </c>
      <c r="AH42" s="26">
        <f>AH18*Premissas!$F$45+AH24*Premissas!$F$50+AH30*Premissas!$F$55+AH36*Premissas!$F$61</f>
        <v/>
      </c>
      <c r="AI42" s="26">
        <f>AI18*Premissas!$F$45+AI24*Premissas!$F$50+AI30*Premissas!$F$55+AI36*Premissas!$F$61</f>
        <v/>
      </c>
      <c r="AJ42" s="26">
        <f>AJ18*Premissas!$F$45+AJ24*Premissas!$F$50+AJ30*Premissas!$F$55+AJ36*Premissas!$F$61</f>
        <v/>
      </c>
      <c r="AK42" s="26">
        <f>AK18*Premissas!$F$45+AK24*Premissas!$F$50+AK30*Premissas!$F$55+AK36*Premissas!$F$61</f>
        <v/>
      </c>
      <c r="AL42" s="26">
        <f>AL18*Premissas!$F$45+AL24*Premissas!$F$50+AL30*Premissas!$F$55+AL36*Premissas!$F$61</f>
        <v/>
      </c>
      <c r="AM42" s="26">
        <f>AM18*Premissas!$F$45+AM24*Premissas!$F$50+AM30*Premissas!$F$55+AM36*Premissas!$F$61</f>
        <v/>
      </c>
      <c r="AN42" s="26">
        <f>AN18*Premissas!$F$45+AN24*Premissas!$F$50+AN30*Premissas!$F$55+AN36*Premissas!$F$61</f>
        <v/>
      </c>
      <c r="AO42" s="26">
        <f>AO18*Premissas!$F$45+AO24*Premissas!$F$50+AO30*Premissas!$F$55+AO36*Premissas!$F$61</f>
        <v/>
      </c>
      <c r="AP42" s="26">
        <f>AP18*Premissas!$F$45+AP24*Premissas!$F$50+AP30*Premissas!$F$55+AP36*Premissas!$F$61</f>
        <v/>
      </c>
      <c r="AQ42" s="26">
        <f>AQ18*Premissas!$F$45+AQ24*Premissas!$F$50+AQ30*Premissas!$F$55+AQ36*Premissas!$F$61</f>
        <v/>
      </c>
      <c r="AR42" s="26">
        <f>AR18*Premissas!$F$45+AR24*Premissas!$F$50+AR30*Premissas!$F$55+AR36*Premissas!$F$61</f>
        <v/>
      </c>
      <c r="AS42" s="26">
        <f>AS18*Premissas!$F$45+AS24*Premissas!$F$50+AS30*Premissas!$F$55+AS36*Premissas!$F$61</f>
        <v/>
      </c>
      <c r="AT42" s="26">
        <f>AT18*Premissas!$F$45+AT24*Premissas!$F$50+AT30*Premissas!$F$55+AT36*Premissas!$F$61</f>
        <v/>
      </c>
      <c r="AU42" s="26">
        <f>AU18*Premissas!$F$45+AU24*Premissas!$F$50+AU30*Premissas!$F$55+AU36*Premissas!$F$61</f>
        <v/>
      </c>
      <c r="AV42" s="26">
        <f>AV18*Premissas!$F$45+AV24*Premissas!$F$50+AV30*Premissas!$F$55+AV36*Premissas!$F$61</f>
        <v/>
      </c>
      <c r="AW42" s="26">
        <f>AW18*Premissas!$F$45+AW24*Premissas!$F$50+AW30*Premissas!$F$55+AW36*Premissas!$F$61</f>
        <v/>
      </c>
      <c r="AX42" s="26">
        <f>AX18*Premissas!$F$45+AX24*Premissas!$F$50+AX30*Premissas!$F$55+AX36*Premissas!$F$61</f>
        <v/>
      </c>
      <c r="AY42" s="26">
        <f>AY18*Premissas!$F$45+AY24*Premissas!$F$50+AY30*Premissas!$F$55+AY36*Premissas!$F$61</f>
        <v/>
      </c>
      <c r="AZ42" s="26">
        <f>AZ18*Premissas!$F$45+AZ24*Premissas!$F$50+AZ30*Premissas!$F$55+AZ36*Premissas!$F$61</f>
        <v/>
      </c>
      <c r="BA42" s="26">
        <f>BA18*Premissas!$F$45+BA24*Premissas!$F$50+BA30*Premissas!$F$55+BA36*Premissas!$F$61</f>
        <v/>
      </c>
      <c r="BB42" s="26">
        <f>BB18*Premissas!$F$45+BB24*Premissas!$F$50+BB30*Premissas!$F$55+BB36*Premissas!$F$61</f>
        <v/>
      </c>
      <c r="BC42" s="26">
        <f>BC18*Premissas!$F$45+BC24*Premissas!$F$50+BC30*Premissas!$F$55+BC36*Premissas!$F$61</f>
        <v/>
      </c>
      <c r="BD42" s="26">
        <f>BD18*Premissas!$F$45+BD24*Premissas!$F$50+BD30*Premissas!$F$55+BD36*Premissas!$F$61</f>
        <v/>
      </c>
      <c r="BE42" s="26">
        <f>BE18*Premissas!$F$45+BE24*Premissas!$F$50+BE30*Premissas!$F$55+BE36*Premissas!$F$61</f>
        <v/>
      </c>
      <c r="BF42" s="26">
        <f>BF18*Premissas!$F$45+BF24*Premissas!$F$50+BF30*Premissas!$F$55+BF36*Premissas!$F$61</f>
        <v/>
      </c>
      <c r="BG42" s="26">
        <f>BG18*Premissas!$F$45+BG24*Premissas!$F$50+BG30*Premissas!$F$55+BG36*Premissas!$F$61</f>
        <v/>
      </c>
      <c r="BH42" s="26">
        <f>BH18*Premissas!$F$45+BH24*Premissas!$F$50+BH30*Premissas!$F$55+BH36*Premissas!$F$61</f>
        <v/>
      </c>
      <c r="BI42" s="26">
        <f>BI18*Premissas!$F$45+BI24*Premissas!$F$50+BI30*Premissas!$F$55+BI36*Premissas!$F$61</f>
        <v/>
      </c>
      <c r="BJ42" s="26">
        <f>BJ18*Premissas!$F$45+BJ24*Premissas!$F$50+BJ30*Premissas!$F$55+BJ36*Premissas!$F$61</f>
        <v/>
      </c>
      <c r="BK42" s="26">
        <f>BK18*Premissas!$F$45+BK24*Premissas!$F$50+BK30*Premissas!$F$55+BK36*Premissas!$F$61</f>
        <v/>
      </c>
      <c r="BL42" s="26">
        <f>BL18*Premissas!$F$45+BL24*Premissas!$F$50+BL30*Premissas!$F$55+BL36*Premissas!$F$61</f>
        <v/>
      </c>
      <c r="BM42" s="26">
        <f>BM18*Premissas!$F$45+BM24*Premissas!$F$50+BM30*Premissas!$F$55+BM36*Premissas!$F$61</f>
        <v/>
      </c>
      <c r="BN42" s="26">
        <f>BN18*Premissas!$F$45+BN24*Premissas!$F$50+BN30*Premissas!$F$55+BN36*Premissas!$F$61</f>
        <v/>
      </c>
      <c r="BO42" s="26">
        <f>BO18*Premissas!$F$45+BO24*Premissas!$F$50+BO30*Premissas!$F$55+BO36*Premissas!$F$61</f>
        <v/>
      </c>
      <c r="BP42" s="26">
        <f>BP18*Premissas!$F$45+BP24*Premissas!$F$50+BP30*Premissas!$F$55+BP36*Premissas!$F$61</f>
        <v/>
      </c>
      <c r="BQ42" s="26">
        <f>BQ18*Premissas!$F$45+BQ24*Premissas!$F$50+BQ30*Premissas!$F$55+BQ36*Premissas!$F$61</f>
        <v/>
      </c>
      <c r="BR42" s="26">
        <f>BR18*Premissas!$F$45+BR24*Premissas!$F$50+BR30*Premissas!$F$55+BR36*Premissas!$F$61</f>
        <v/>
      </c>
      <c r="BS42" s="26">
        <f>BS18*Premissas!$F$45+BS24*Premissas!$F$50+BS30*Premissas!$F$55+BS36*Premissas!$F$61</f>
        <v/>
      </c>
      <c r="BT42" s="26">
        <f>BT18*Premissas!$F$45+BT24*Premissas!$F$50+BT30*Premissas!$F$55+BT36*Premissas!$F$61</f>
        <v/>
      </c>
      <c r="BU42" s="26">
        <f>BU18*Premissas!$F$45+BU24*Premissas!$F$50+BU30*Premissas!$F$55+BU36*Premissas!$F$61</f>
        <v/>
      </c>
      <c r="BV42" s="26">
        <f>BV18*Premissas!$F$45+BV24*Premissas!$F$50+BV30*Premissas!$F$55+BV36*Premissas!$F$61</f>
        <v/>
      </c>
      <c r="BW42" s="26">
        <f>BW18*Premissas!$F$45+BW24*Premissas!$F$50+BW30*Premissas!$F$55+BW36*Premissas!$F$61</f>
        <v/>
      </c>
      <c r="BX42" s="26">
        <f>BX18*Premissas!$F$45+BX24*Premissas!$F$50+BX30*Premissas!$F$55+BX36*Premissas!$F$61</f>
        <v/>
      </c>
      <c r="BY42" s="26">
        <f>BY18*Premissas!$F$45+BY24*Premissas!$F$50+BY30*Premissas!$F$55+BY36*Premissas!$F$61</f>
        <v/>
      </c>
      <c r="BZ42" s="26">
        <f>BZ18*Premissas!$F$45+BZ24*Premissas!$F$50+BZ30*Premissas!$F$55+BZ36*Premissas!$F$61</f>
        <v/>
      </c>
      <c r="CA42" s="26">
        <f>CA18*Premissas!$F$45+CA24*Premissas!$F$50+CA30*Premissas!$F$55+CA36*Premissas!$F$61</f>
        <v/>
      </c>
      <c r="CB42" s="26">
        <f>CB18*Premissas!$F$45+CB24*Premissas!$F$50+CB30*Premissas!$F$55+CB36*Premissas!$F$61</f>
        <v/>
      </c>
      <c r="CC42" s="26">
        <f>CC18*Premissas!$F$45+CC24*Premissas!$F$50+CC30*Premissas!$F$55+CC36*Premissas!$F$61</f>
        <v/>
      </c>
      <c r="CD42" s="26">
        <f>CD18*Premissas!$F$45+CD24*Premissas!$F$50+CD30*Premissas!$F$55+CD36*Premissas!$F$61</f>
        <v/>
      </c>
      <c r="CE42" s="26">
        <f>CE18*Premissas!$F$45+CE24*Premissas!$F$50+CE30*Premissas!$F$55+CE36*Premissas!$F$61</f>
        <v/>
      </c>
      <c r="CF42" s="26">
        <f>CF18*Premissas!$F$45+CF24*Premissas!$F$50+CF30*Premissas!$F$55+CF36*Premissas!$F$61</f>
        <v/>
      </c>
      <c r="CG42" s="26">
        <f>CG18*Premissas!$F$45+CG24*Premissas!$F$50+CG30*Premissas!$F$55+CG36*Premissas!$F$61</f>
        <v/>
      </c>
      <c r="CH42" s="26">
        <f>CH18*Premissas!$F$45+CH24*Premissas!$F$50+CH30*Premissas!$F$55+CH36*Premissas!$F$61</f>
        <v/>
      </c>
    </row>
    <row r="43">
      <c r="A43" s="3" t="inlineStr">
        <is>
          <t>Receita de implantação</t>
        </is>
      </c>
      <c r="C43" s="26">
        <f>C16*Premissas!$F$46+C22*Premissas!$F$51+C28*Premissas!$F$56+C34*Premissas!$F$62</f>
        <v/>
      </c>
      <c r="D43" s="26">
        <f>D16*Premissas!$F$46+D22*Premissas!$F$51+D28*Premissas!$F$56+D34*Premissas!$F$62</f>
        <v/>
      </c>
      <c r="E43" s="26">
        <f>E16*Premissas!$F$46+E22*Premissas!$F$51+E28*Premissas!$F$56+E34*Premissas!$F$62</f>
        <v/>
      </c>
      <c r="F43" s="26">
        <f>F16*Premissas!$F$46+F22*Premissas!$F$51+F28*Premissas!$F$56+F34*Premissas!$F$62</f>
        <v/>
      </c>
      <c r="G43" s="26">
        <f>G16*Premissas!$F$46+G22*Premissas!$F$51+G28*Premissas!$F$56+G34*Premissas!$F$62</f>
        <v/>
      </c>
      <c r="H43" s="26">
        <f>H16*Premissas!$F$46+H22*Premissas!$F$51+H28*Premissas!$F$56+H34*Premissas!$F$62</f>
        <v/>
      </c>
      <c r="I43" s="26">
        <f>I16*Premissas!$F$46+I22*Premissas!$F$51+I28*Premissas!$F$56+I34*Premissas!$F$62</f>
        <v/>
      </c>
      <c r="J43" s="26">
        <f>J16*Premissas!$F$46+J22*Premissas!$F$51+J28*Premissas!$F$56+J34*Premissas!$F$62</f>
        <v/>
      </c>
      <c r="K43" s="26">
        <f>K16*Premissas!$F$46+K22*Premissas!$F$51+K28*Premissas!$F$56+K34*Premissas!$F$62</f>
        <v/>
      </c>
      <c r="L43" s="26">
        <f>L16*Premissas!$F$46+L22*Premissas!$F$51+L28*Premissas!$F$56+L34*Premissas!$F$62</f>
        <v/>
      </c>
      <c r="M43" s="26">
        <f>M16*Premissas!$F$46+M22*Premissas!$F$51+M28*Premissas!$F$56+M34*Premissas!$F$62</f>
        <v/>
      </c>
      <c r="N43" s="26">
        <f>N16*Premissas!$F$46+N22*Premissas!$F$51+N28*Premissas!$F$56+N34*Premissas!$F$62</f>
        <v/>
      </c>
      <c r="O43" s="26">
        <f>O16*Premissas!$F$46+O22*Premissas!$F$51+O28*Premissas!$F$56+O34*Premissas!$F$62</f>
        <v/>
      </c>
      <c r="P43" s="26">
        <f>P16*Premissas!$F$46+P22*Premissas!$F$51+P28*Premissas!$F$56+P34*Premissas!$F$62</f>
        <v/>
      </c>
      <c r="Q43" s="26">
        <f>Q16*Premissas!$F$46+Q22*Premissas!$F$51+Q28*Premissas!$F$56+Q34*Premissas!$F$62</f>
        <v/>
      </c>
      <c r="R43" s="26">
        <f>R16*Premissas!$F$46+R22*Premissas!$F$51+R28*Premissas!$F$56+R34*Premissas!$F$62</f>
        <v/>
      </c>
      <c r="S43" s="26">
        <f>S16*Premissas!$F$46+S22*Premissas!$F$51+S28*Premissas!$F$56+S34*Premissas!$F$62</f>
        <v/>
      </c>
      <c r="T43" s="26">
        <f>T16*Premissas!$F$46+T22*Premissas!$F$51+T28*Premissas!$F$56+T34*Premissas!$F$62</f>
        <v/>
      </c>
      <c r="U43" s="26">
        <f>U16*Premissas!$F$46+U22*Premissas!$F$51+U28*Premissas!$F$56+U34*Premissas!$F$62</f>
        <v/>
      </c>
      <c r="V43" s="26">
        <f>V16*Premissas!$F$46+V22*Premissas!$F$51+V28*Premissas!$F$56+V34*Premissas!$F$62</f>
        <v/>
      </c>
      <c r="W43" s="26">
        <f>W16*Premissas!$F$46+W22*Premissas!$F$51+W28*Premissas!$F$56+W34*Premissas!$F$62</f>
        <v/>
      </c>
      <c r="X43" s="26">
        <f>X16*Premissas!$F$46+X22*Premissas!$F$51+X28*Premissas!$F$56+X34*Premissas!$F$62</f>
        <v/>
      </c>
      <c r="Y43" s="26">
        <f>Y16*Premissas!$F$46+Y22*Premissas!$F$51+Y28*Premissas!$F$56+Y34*Premissas!$F$62</f>
        <v/>
      </c>
      <c r="Z43" s="26">
        <f>Z16*Premissas!$F$46+Z22*Premissas!$F$51+Z28*Premissas!$F$56+Z34*Premissas!$F$62</f>
        <v/>
      </c>
      <c r="AA43" s="26">
        <f>AA16*Premissas!$F$46+AA22*Premissas!$F$51+AA28*Premissas!$F$56+AA34*Premissas!$F$62</f>
        <v/>
      </c>
      <c r="AB43" s="26">
        <f>AB16*Premissas!$F$46+AB22*Premissas!$F$51+AB28*Premissas!$F$56+AB34*Premissas!$F$62</f>
        <v/>
      </c>
      <c r="AC43" s="26">
        <f>AC16*Premissas!$F$46+AC22*Premissas!$F$51+AC28*Premissas!$F$56+AC34*Premissas!$F$62</f>
        <v/>
      </c>
      <c r="AD43" s="26">
        <f>AD16*Premissas!$F$46+AD22*Premissas!$F$51+AD28*Premissas!$F$56+AD34*Premissas!$F$62</f>
        <v/>
      </c>
      <c r="AE43" s="26">
        <f>AE16*Premissas!$F$46+AE22*Premissas!$F$51+AE28*Premissas!$F$56+AE34*Premissas!$F$62</f>
        <v/>
      </c>
      <c r="AF43" s="26">
        <f>AF16*Premissas!$F$46+AF22*Premissas!$F$51+AF28*Premissas!$F$56+AF34*Premissas!$F$62</f>
        <v/>
      </c>
      <c r="AG43" s="26">
        <f>AG16*Premissas!$F$46+AG22*Premissas!$F$51+AG28*Premissas!$F$56+AG34*Premissas!$F$62</f>
        <v/>
      </c>
      <c r="AH43" s="26">
        <f>AH16*Premissas!$F$46+AH22*Premissas!$F$51+AH28*Premissas!$F$56+AH34*Premissas!$F$62</f>
        <v/>
      </c>
      <c r="AI43" s="26">
        <f>AI16*Premissas!$F$46+AI22*Premissas!$F$51+AI28*Premissas!$F$56+AI34*Premissas!$F$62</f>
        <v/>
      </c>
      <c r="AJ43" s="26">
        <f>AJ16*Premissas!$F$46+AJ22*Premissas!$F$51+AJ28*Premissas!$F$56+AJ34*Premissas!$F$62</f>
        <v/>
      </c>
      <c r="AK43" s="26">
        <f>AK16*Premissas!$F$46+AK22*Premissas!$F$51+AK28*Premissas!$F$56+AK34*Premissas!$F$62</f>
        <v/>
      </c>
      <c r="AL43" s="26">
        <f>AL16*Premissas!$F$46+AL22*Premissas!$F$51+AL28*Premissas!$F$56+AL34*Premissas!$F$62</f>
        <v/>
      </c>
      <c r="AM43" s="26">
        <f>AM16*Premissas!$F$46+AM22*Premissas!$F$51+AM28*Premissas!$F$56+AM34*Premissas!$F$62</f>
        <v/>
      </c>
      <c r="AN43" s="26">
        <f>AN16*Premissas!$F$46+AN22*Premissas!$F$51+AN28*Premissas!$F$56+AN34*Premissas!$F$62</f>
        <v/>
      </c>
      <c r="AO43" s="26">
        <f>AO16*Premissas!$F$46+AO22*Premissas!$F$51+AO28*Premissas!$F$56+AO34*Premissas!$F$62</f>
        <v/>
      </c>
      <c r="AP43" s="26">
        <f>AP16*Premissas!$F$46+AP22*Premissas!$F$51+AP28*Premissas!$F$56+AP34*Premissas!$F$62</f>
        <v/>
      </c>
      <c r="AQ43" s="26">
        <f>AQ16*Premissas!$F$46+AQ22*Premissas!$F$51+AQ28*Premissas!$F$56+AQ34*Premissas!$F$62</f>
        <v/>
      </c>
      <c r="AR43" s="26">
        <f>AR16*Premissas!$F$46+AR22*Premissas!$F$51+AR28*Premissas!$F$56+AR34*Premissas!$F$62</f>
        <v/>
      </c>
      <c r="AS43" s="26">
        <f>AS16*Premissas!$F$46+AS22*Premissas!$F$51+AS28*Premissas!$F$56+AS34*Premissas!$F$62</f>
        <v/>
      </c>
      <c r="AT43" s="26">
        <f>AT16*Premissas!$F$46+AT22*Premissas!$F$51+AT28*Premissas!$F$56+AT34*Premissas!$F$62</f>
        <v/>
      </c>
      <c r="AU43" s="26">
        <f>AU16*Premissas!$F$46+AU22*Premissas!$F$51+AU28*Premissas!$F$56+AU34*Premissas!$F$62</f>
        <v/>
      </c>
      <c r="AV43" s="26">
        <f>AV16*Premissas!$F$46+AV22*Premissas!$F$51+AV28*Premissas!$F$56+AV34*Premissas!$F$62</f>
        <v/>
      </c>
      <c r="AW43" s="26">
        <f>AW16*Premissas!$F$46+AW22*Premissas!$F$51+AW28*Premissas!$F$56+AW34*Premissas!$F$62</f>
        <v/>
      </c>
      <c r="AX43" s="26">
        <f>AX16*Premissas!$F$46+AX22*Premissas!$F$51+AX28*Premissas!$F$56+AX34*Premissas!$F$62</f>
        <v/>
      </c>
      <c r="AY43" s="26">
        <f>AY16*Premissas!$F$46+AY22*Premissas!$F$51+AY28*Premissas!$F$56+AY34*Premissas!$F$62</f>
        <v/>
      </c>
      <c r="AZ43" s="26">
        <f>AZ16*Premissas!$F$46+AZ22*Premissas!$F$51+AZ28*Premissas!$F$56+AZ34*Premissas!$F$62</f>
        <v/>
      </c>
      <c r="BA43" s="26">
        <f>BA16*Premissas!$F$46+BA22*Premissas!$F$51+BA28*Premissas!$F$56+BA34*Premissas!$F$62</f>
        <v/>
      </c>
      <c r="BB43" s="26">
        <f>BB16*Premissas!$F$46+BB22*Premissas!$F$51+BB28*Premissas!$F$56+BB34*Premissas!$F$62</f>
        <v/>
      </c>
      <c r="BC43" s="26">
        <f>BC16*Premissas!$F$46+BC22*Premissas!$F$51+BC28*Premissas!$F$56+BC34*Premissas!$F$62</f>
        <v/>
      </c>
      <c r="BD43" s="26">
        <f>BD16*Premissas!$F$46+BD22*Premissas!$F$51+BD28*Premissas!$F$56+BD34*Premissas!$F$62</f>
        <v/>
      </c>
      <c r="BE43" s="26">
        <f>BE16*Premissas!$F$46+BE22*Premissas!$F$51+BE28*Premissas!$F$56+BE34*Premissas!$F$62</f>
        <v/>
      </c>
      <c r="BF43" s="26">
        <f>BF16*Premissas!$F$46+BF22*Premissas!$F$51+BF28*Premissas!$F$56+BF34*Premissas!$F$62</f>
        <v/>
      </c>
      <c r="BG43" s="26">
        <f>BG16*Premissas!$F$46+BG22*Premissas!$F$51+BG28*Premissas!$F$56+BG34*Premissas!$F$62</f>
        <v/>
      </c>
      <c r="BH43" s="26">
        <f>BH16*Premissas!$F$46+BH22*Premissas!$F$51+BH28*Premissas!$F$56+BH34*Premissas!$F$62</f>
        <v/>
      </c>
      <c r="BI43" s="26">
        <f>BI16*Premissas!$F$46+BI22*Premissas!$F$51+BI28*Premissas!$F$56+BI34*Premissas!$F$62</f>
        <v/>
      </c>
      <c r="BJ43" s="26">
        <f>BJ16*Premissas!$F$46+BJ22*Premissas!$F$51+BJ28*Premissas!$F$56+BJ34*Premissas!$F$62</f>
        <v/>
      </c>
      <c r="BK43" s="26">
        <f>BK16*Premissas!$F$46+BK22*Premissas!$F$51+BK28*Premissas!$F$56+BK34*Premissas!$F$62</f>
        <v/>
      </c>
      <c r="BL43" s="26">
        <f>BL16*Premissas!$F$46+BL22*Premissas!$F$51+BL28*Premissas!$F$56+BL34*Premissas!$F$62</f>
        <v/>
      </c>
      <c r="BM43" s="26">
        <f>BM16*Premissas!$F$46+BM22*Premissas!$F$51+BM28*Premissas!$F$56+BM34*Premissas!$F$62</f>
        <v/>
      </c>
      <c r="BN43" s="26">
        <f>BN16*Premissas!$F$46+BN22*Premissas!$F$51+BN28*Premissas!$F$56+BN34*Premissas!$F$62</f>
        <v/>
      </c>
      <c r="BO43" s="26">
        <f>BO16*Premissas!$F$46+BO22*Premissas!$F$51+BO28*Premissas!$F$56+BO34*Premissas!$F$62</f>
        <v/>
      </c>
      <c r="BP43" s="26">
        <f>BP16*Premissas!$F$46+BP22*Premissas!$F$51+BP28*Premissas!$F$56+BP34*Premissas!$F$62</f>
        <v/>
      </c>
      <c r="BQ43" s="26">
        <f>BQ16*Premissas!$F$46+BQ22*Premissas!$F$51+BQ28*Premissas!$F$56+BQ34*Premissas!$F$62</f>
        <v/>
      </c>
      <c r="BR43" s="26">
        <f>BR16*Premissas!$F$46+BR22*Premissas!$F$51+BR28*Premissas!$F$56+BR34*Premissas!$F$62</f>
        <v/>
      </c>
      <c r="BS43" s="26">
        <f>BS16*Premissas!$F$46+BS22*Premissas!$F$51+BS28*Premissas!$F$56+BS34*Premissas!$F$62</f>
        <v/>
      </c>
      <c r="BT43" s="26">
        <f>BT16*Premissas!$F$46+BT22*Premissas!$F$51+BT28*Premissas!$F$56+BT34*Premissas!$F$62</f>
        <v/>
      </c>
      <c r="BU43" s="26">
        <f>BU16*Premissas!$F$46+BU22*Premissas!$F$51+BU28*Premissas!$F$56+BU34*Premissas!$F$62</f>
        <v/>
      </c>
      <c r="BV43" s="26">
        <f>BV16*Premissas!$F$46+BV22*Premissas!$F$51+BV28*Premissas!$F$56+BV34*Premissas!$F$62</f>
        <v/>
      </c>
      <c r="BW43" s="26">
        <f>BW16*Premissas!$F$46+BW22*Premissas!$F$51+BW28*Premissas!$F$56+BW34*Premissas!$F$62</f>
        <v/>
      </c>
      <c r="BX43" s="26">
        <f>BX16*Premissas!$F$46+BX22*Premissas!$F$51+BX28*Premissas!$F$56+BX34*Premissas!$F$62</f>
        <v/>
      </c>
      <c r="BY43" s="26">
        <f>BY16*Premissas!$F$46+BY22*Premissas!$F$51+BY28*Premissas!$F$56+BY34*Premissas!$F$62</f>
        <v/>
      </c>
      <c r="BZ43" s="26">
        <f>BZ16*Premissas!$F$46+BZ22*Premissas!$F$51+BZ28*Premissas!$F$56+BZ34*Premissas!$F$62</f>
        <v/>
      </c>
      <c r="CA43" s="26">
        <f>CA16*Premissas!$F$46+CA22*Premissas!$F$51+CA28*Premissas!$F$56+CA34*Premissas!$F$62</f>
        <v/>
      </c>
      <c r="CB43" s="26">
        <f>CB16*Premissas!$F$46+CB22*Premissas!$F$51+CB28*Premissas!$F$56+CB34*Premissas!$F$62</f>
        <v/>
      </c>
      <c r="CC43" s="26">
        <f>CC16*Premissas!$F$46+CC22*Premissas!$F$51+CC28*Premissas!$F$56+CC34*Premissas!$F$62</f>
        <v/>
      </c>
      <c r="CD43" s="26">
        <f>CD16*Premissas!$F$46+CD22*Premissas!$F$51+CD28*Premissas!$F$56+CD34*Premissas!$F$62</f>
        <v/>
      </c>
      <c r="CE43" s="26">
        <f>CE16*Premissas!$F$46+CE22*Premissas!$F$51+CE28*Premissas!$F$56+CE34*Premissas!$F$62</f>
        <v/>
      </c>
      <c r="CF43" s="26">
        <f>CF16*Premissas!$F$46+CF22*Premissas!$F$51+CF28*Premissas!$F$56+CF34*Premissas!$F$62</f>
        <v/>
      </c>
      <c r="CG43" s="26">
        <f>CG16*Premissas!$F$46+CG22*Premissas!$F$51+CG28*Premissas!$F$56+CG34*Premissas!$F$62</f>
        <v/>
      </c>
      <c r="CH43" s="26">
        <f>CH16*Premissas!$F$46+CH22*Premissas!$F$51+CH28*Premissas!$F$56+CH34*Premissas!$F$62</f>
        <v/>
      </c>
    </row>
    <row r="44">
      <c r="A44" s="3" t="inlineStr">
        <is>
          <t>Receita por consulta agendada</t>
        </is>
      </c>
      <c r="C44" s="26">
        <f>0</f>
        <v/>
      </c>
      <c r="D44" s="26">
        <f>0</f>
        <v/>
      </c>
      <c r="E44" s="26">
        <f>0</f>
        <v/>
      </c>
      <c r="F44" s="26">
        <f>0</f>
        <v/>
      </c>
      <c r="G44" s="26">
        <f>0</f>
        <v/>
      </c>
      <c r="H44" s="26">
        <f>0</f>
        <v/>
      </c>
      <c r="I44" s="26">
        <f>0</f>
        <v/>
      </c>
      <c r="J44" s="26">
        <f>0</f>
        <v/>
      </c>
      <c r="K44" s="26">
        <f>0</f>
        <v/>
      </c>
      <c r="L44" s="26">
        <f>0</f>
        <v/>
      </c>
      <c r="M44" s="26">
        <f>0</f>
        <v/>
      </c>
      <c r="N44" s="26">
        <f>0</f>
        <v/>
      </c>
      <c r="O44" s="26">
        <f>0</f>
        <v/>
      </c>
      <c r="P44" s="26">
        <f>0</f>
        <v/>
      </c>
      <c r="Q44" s="26">
        <f>0</f>
        <v/>
      </c>
      <c r="R44" s="26">
        <f>0</f>
        <v/>
      </c>
      <c r="S44" s="26">
        <f>0</f>
        <v/>
      </c>
      <c r="T44" s="26">
        <f>0</f>
        <v/>
      </c>
      <c r="U44" s="26">
        <f>0</f>
        <v/>
      </c>
      <c r="V44" s="26">
        <f>0</f>
        <v/>
      </c>
      <c r="W44" s="26">
        <f>0</f>
        <v/>
      </c>
      <c r="X44" s="26">
        <f>0</f>
        <v/>
      </c>
      <c r="Y44" s="26">
        <f>0</f>
        <v/>
      </c>
      <c r="Z44" s="26">
        <f>0</f>
        <v/>
      </c>
      <c r="AA44" s="26">
        <f>0</f>
        <v/>
      </c>
      <c r="AB44" s="26">
        <f>0</f>
        <v/>
      </c>
      <c r="AC44" s="26">
        <f>0</f>
        <v/>
      </c>
      <c r="AD44" s="26">
        <f>0</f>
        <v/>
      </c>
      <c r="AE44" s="26">
        <f>0</f>
        <v/>
      </c>
      <c r="AF44" s="26">
        <f>0</f>
        <v/>
      </c>
      <c r="AG44" s="26">
        <f>0</f>
        <v/>
      </c>
      <c r="AH44" s="26">
        <f>0</f>
        <v/>
      </c>
      <c r="AI44" s="26">
        <f>0</f>
        <v/>
      </c>
      <c r="AJ44" s="26">
        <f>0</f>
        <v/>
      </c>
      <c r="AK44" s="26">
        <f>0</f>
        <v/>
      </c>
      <c r="AL44" s="26">
        <f>0</f>
        <v/>
      </c>
      <c r="AM44" s="26">
        <f>0</f>
        <v/>
      </c>
      <c r="AN44" s="26">
        <f>0</f>
        <v/>
      </c>
      <c r="AO44" s="26">
        <f>0</f>
        <v/>
      </c>
      <c r="AP44" s="26">
        <f>0</f>
        <v/>
      </c>
      <c r="AQ44" s="26">
        <f>0</f>
        <v/>
      </c>
      <c r="AR44" s="26">
        <f>0</f>
        <v/>
      </c>
      <c r="AS44" s="26">
        <f>0</f>
        <v/>
      </c>
      <c r="AT44" s="26">
        <f>0</f>
        <v/>
      </c>
      <c r="AU44" s="26">
        <f>0</f>
        <v/>
      </c>
      <c r="AV44" s="26">
        <f>0</f>
        <v/>
      </c>
      <c r="AW44" s="26">
        <f>0</f>
        <v/>
      </c>
      <c r="AX44" s="26">
        <f>0</f>
        <v/>
      </c>
      <c r="AY44" s="26">
        <f>0</f>
        <v/>
      </c>
      <c r="AZ44" s="26">
        <f>0</f>
        <v/>
      </c>
      <c r="BA44" s="26">
        <f>0</f>
        <v/>
      </c>
      <c r="BB44" s="26">
        <f>0</f>
        <v/>
      </c>
      <c r="BC44" s="26">
        <f>0</f>
        <v/>
      </c>
      <c r="BD44" s="26">
        <f>0</f>
        <v/>
      </c>
      <c r="BE44" s="26">
        <f>0</f>
        <v/>
      </c>
      <c r="BF44" s="26">
        <f>0</f>
        <v/>
      </c>
      <c r="BG44" s="26">
        <f>0</f>
        <v/>
      </c>
      <c r="BH44" s="26">
        <f>0</f>
        <v/>
      </c>
      <c r="BI44" s="26">
        <f>0</f>
        <v/>
      </c>
      <c r="BJ44" s="26">
        <f>0</f>
        <v/>
      </c>
      <c r="BK44" s="26">
        <f>0</f>
        <v/>
      </c>
      <c r="BL44" s="26">
        <f>0</f>
        <v/>
      </c>
      <c r="BM44" s="26">
        <f>0</f>
        <v/>
      </c>
      <c r="BN44" s="26">
        <f>0</f>
        <v/>
      </c>
      <c r="BO44" s="26">
        <f>0</f>
        <v/>
      </c>
      <c r="BP44" s="26">
        <f>0</f>
        <v/>
      </c>
      <c r="BQ44" s="26">
        <f>0</f>
        <v/>
      </c>
      <c r="BR44" s="26">
        <f>0</f>
        <v/>
      </c>
      <c r="BS44" s="26">
        <f>0</f>
        <v/>
      </c>
      <c r="BT44" s="26">
        <f>0</f>
        <v/>
      </c>
      <c r="BU44" s="26">
        <f>0</f>
        <v/>
      </c>
      <c r="BV44" s="26">
        <f>0</f>
        <v/>
      </c>
      <c r="BW44" s="26">
        <f>0</f>
        <v/>
      </c>
      <c r="BX44" s="26">
        <f>0</f>
        <v/>
      </c>
      <c r="BY44" s="26">
        <f>0</f>
        <v/>
      </c>
      <c r="BZ44" s="26">
        <f>0</f>
        <v/>
      </c>
      <c r="CA44" s="26">
        <f>0</f>
        <v/>
      </c>
      <c r="CB44" s="26">
        <f>0</f>
        <v/>
      </c>
      <c r="CC44" s="26">
        <f>0</f>
        <v/>
      </c>
      <c r="CD44" s="26">
        <f>0</f>
        <v/>
      </c>
      <c r="CE44" s="26">
        <f>0</f>
        <v/>
      </c>
      <c r="CF44" s="26">
        <f>0</f>
        <v/>
      </c>
      <c r="CG44" s="26">
        <f>0</f>
        <v/>
      </c>
      <c r="CH44" s="26">
        <f>0</f>
        <v/>
      </c>
    </row>
    <row r="45">
      <c r="A45" s="2" t="inlineStr">
        <is>
          <t>Receita bruta</t>
        </is>
      </c>
      <c r="C45" s="30">
        <f>C42+C43+C44</f>
        <v/>
      </c>
      <c r="D45" s="30">
        <f>D42+D43+D44</f>
        <v/>
      </c>
      <c r="E45" s="30">
        <f>E42+E43+E44</f>
        <v/>
      </c>
      <c r="F45" s="30">
        <f>F42+F43+F44</f>
        <v/>
      </c>
      <c r="G45" s="30">
        <f>G42+G43+G44</f>
        <v/>
      </c>
      <c r="H45" s="30">
        <f>H42+H43+H44</f>
        <v/>
      </c>
      <c r="I45" s="30">
        <f>I42+I43+I44</f>
        <v/>
      </c>
      <c r="J45" s="30">
        <f>J42+J43+J44</f>
        <v/>
      </c>
      <c r="K45" s="30">
        <f>K42+K43+K44</f>
        <v/>
      </c>
      <c r="L45" s="30">
        <f>L42+L43+L44</f>
        <v/>
      </c>
      <c r="M45" s="30">
        <f>M42+M43+M44</f>
        <v/>
      </c>
      <c r="N45" s="30">
        <f>N42+N43+N44</f>
        <v/>
      </c>
      <c r="O45" s="30">
        <f>O42+O43+O44</f>
        <v/>
      </c>
      <c r="P45" s="30">
        <f>P42+P43+P44</f>
        <v/>
      </c>
      <c r="Q45" s="30">
        <f>Q42+Q43+Q44</f>
        <v/>
      </c>
      <c r="R45" s="30">
        <f>R42+R43+R44</f>
        <v/>
      </c>
      <c r="S45" s="30">
        <f>S42+S43+S44</f>
        <v/>
      </c>
      <c r="T45" s="30">
        <f>T42+T43+T44</f>
        <v/>
      </c>
      <c r="U45" s="30">
        <f>U42+U43+U44</f>
        <v/>
      </c>
      <c r="V45" s="30">
        <f>V42+V43+V44</f>
        <v/>
      </c>
      <c r="W45" s="30">
        <f>W42+W43+W44</f>
        <v/>
      </c>
      <c r="X45" s="30">
        <f>X42+X43+X44</f>
        <v/>
      </c>
      <c r="Y45" s="30">
        <f>Y42+Y43+Y44</f>
        <v/>
      </c>
      <c r="Z45" s="30">
        <f>Z42+Z43+Z44</f>
        <v/>
      </c>
      <c r="AA45" s="30">
        <f>AA42+AA43+AA44</f>
        <v/>
      </c>
      <c r="AB45" s="30">
        <f>AB42+AB43+AB44</f>
        <v/>
      </c>
      <c r="AC45" s="30">
        <f>AC42+AC43+AC44</f>
        <v/>
      </c>
      <c r="AD45" s="30">
        <f>AD42+AD43+AD44</f>
        <v/>
      </c>
      <c r="AE45" s="30">
        <f>AE42+AE43+AE44</f>
        <v/>
      </c>
      <c r="AF45" s="30">
        <f>AF42+AF43+AF44</f>
        <v/>
      </c>
      <c r="AG45" s="30">
        <f>AG42+AG43+AG44</f>
        <v/>
      </c>
      <c r="AH45" s="30">
        <f>AH42+AH43+AH44</f>
        <v/>
      </c>
      <c r="AI45" s="30">
        <f>AI42+AI43+AI44</f>
        <v/>
      </c>
      <c r="AJ45" s="30">
        <f>AJ42+AJ43+AJ44</f>
        <v/>
      </c>
      <c r="AK45" s="30">
        <f>AK42+AK43+AK44</f>
        <v/>
      </c>
      <c r="AL45" s="30">
        <f>AL42+AL43+AL44</f>
        <v/>
      </c>
      <c r="AM45" s="30">
        <f>AM42+AM43+AM44</f>
        <v/>
      </c>
      <c r="AN45" s="30">
        <f>AN42+AN43+AN44</f>
        <v/>
      </c>
      <c r="AO45" s="30">
        <f>AO42+AO43+AO44</f>
        <v/>
      </c>
      <c r="AP45" s="30">
        <f>AP42+AP43+AP44</f>
        <v/>
      </c>
      <c r="AQ45" s="30">
        <f>AQ42+AQ43+AQ44</f>
        <v/>
      </c>
      <c r="AR45" s="30">
        <f>AR42+AR43+AR44</f>
        <v/>
      </c>
      <c r="AS45" s="30">
        <f>AS42+AS43+AS44</f>
        <v/>
      </c>
      <c r="AT45" s="30">
        <f>AT42+AT43+AT44</f>
        <v/>
      </c>
      <c r="AU45" s="30">
        <f>AU42+AU43+AU44</f>
        <v/>
      </c>
      <c r="AV45" s="30">
        <f>AV42+AV43+AV44</f>
        <v/>
      </c>
      <c r="AW45" s="30">
        <f>AW42+AW43+AW44</f>
        <v/>
      </c>
      <c r="AX45" s="30">
        <f>AX42+AX43+AX44</f>
        <v/>
      </c>
      <c r="AY45" s="30">
        <f>AY42+AY43+AY44</f>
        <v/>
      </c>
      <c r="AZ45" s="30">
        <f>AZ42+AZ43+AZ44</f>
        <v/>
      </c>
      <c r="BA45" s="30">
        <f>BA42+BA43+BA44</f>
        <v/>
      </c>
      <c r="BB45" s="30">
        <f>BB42+BB43+BB44</f>
        <v/>
      </c>
      <c r="BC45" s="30">
        <f>BC42+BC43+BC44</f>
        <v/>
      </c>
      <c r="BD45" s="30">
        <f>BD42+BD43+BD44</f>
        <v/>
      </c>
      <c r="BE45" s="30">
        <f>BE42+BE43+BE44</f>
        <v/>
      </c>
      <c r="BF45" s="30">
        <f>BF42+BF43+BF44</f>
        <v/>
      </c>
      <c r="BG45" s="30">
        <f>BG42+BG43+BG44</f>
        <v/>
      </c>
      <c r="BH45" s="30">
        <f>BH42+BH43+BH44</f>
        <v/>
      </c>
      <c r="BI45" s="30">
        <f>BI42+BI43+BI44</f>
        <v/>
      </c>
      <c r="BJ45" s="30">
        <f>BJ42+BJ43+BJ44</f>
        <v/>
      </c>
      <c r="BK45" s="30">
        <f>BK42+BK43+BK44</f>
        <v/>
      </c>
      <c r="BL45" s="30">
        <f>BL42+BL43+BL44</f>
        <v/>
      </c>
      <c r="BM45" s="30">
        <f>BM42+BM43+BM44</f>
        <v/>
      </c>
      <c r="BN45" s="30">
        <f>BN42+BN43+BN44</f>
        <v/>
      </c>
      <c r="BO45" s="30">
        <f>BO42+BO43+BO44</f>
        <v/>
      </c>
      <c r="BP45" s="30">
        <f>BP42+BP43+BP44</f>
        <v/>
      </c>
      <c r="BQ45" s="30">
        <f>BQ42+BQ43+BQ44</f>
        <v/>
      </c>
      <c r="BR45" s="30">
        <f>BR42+BR43+BR44</f>
        <v/>
      </c>
      <c r="BS45" s="30">
        <f>BS42+BS43+BS44</f>
        <v/>
      </c>
      <c r="BT45" s="30">
        <f>BT42+BT43+BT44</f>
        <v/>
      </c>
      <c r="BU45" s="30">
        <f>BU42+BU43+BU44</f>
        <v/>
      </c>
      <c r="BV45" s="30">
        <f>BV42+BV43+BV44</f>
        <v/>
      </c>
      <c r="BW45" s="30">
        <f>BW42+BW43+BW44</f>
        <v/>
      </c>
      <c r="BX45" s="30">
        <f>BX42+BX43+BX44</f>
        <v/>
      </c>
      <c r="BY45" s="30">
        <f>BY42+BY43+BY44</f>
        <v/>
      </c>
      <c r="BZ45" s="30">
        <f>BZ42+BZ43+BZ44</f>
        <v/>
      </c>
      <c r="CA45" s="30">
        <f>CA42+CA43+CA44</f>
        <v/>
      </c>
      <c r="CB45" s="30">
        <f>CB42+CB43+CB44</f>
        <v/>
      </c>
      <c r="CC45" s="30">
        <f>CC42+CC43+CC44</f>
        <v/>
      </c>
      <c r="CD45" s="30">
        <f>CD42+CD43+CD44</f>
        <v/>
      </c>
      <c r="CE45" s="30">
        <f>CE42+CE43+CE44</f>
        <v/>
      </c>
      <c r="CF45" s="30">
        <f>CF42+CF43+CF44</f>
        <v/>
      </c>
      <c r="CG45" s="30">
        <f>CG42+CG43+CG44</f>
        <v/>
      </c>
      <c r="CH45" s="30">
        <f>CH42+CH43+CH44</f>
        <v/>
      </c>
    </row>
    <row r="46">
      <c r="A46" s="3" t="inlineStr">
        <is>
          <t>Receita recorrente mensal (mensalidades + consultas)</t>
        </is>
      </c>
      <c r="C46" s="26">
        <f>C42+C44</f>
        <v/>
      </c>
      <c r="D46" s="26">
        <f>D42+D44</f>
        <v/>
      </c>
      <c r="E46" s="26">
        <f>E42+E44</f>
        <v/>
      </c>
      <c r="F46" s="26">
        <f>F42+F44</f>
        <v/>
      </c>
      <c r="G46" s="26">
        <f>G42+G44</f>
        <v/>
      </c>
      <c r="H46" s="26">
        <f>H42+H44</f>
        <v/>
      </c>
      <c r="I46" s="26">
        <f>I42+I44</f>
        <v/>
      </c>
      <c r="J46" s="26">
        <f>J42+J44</f>
        <v/>
      </c>
      <c r="K46" s="26">
        <f>K42+K44</f>
        <v/>
      </c>
      <c r="L46" s="26">
        <f>L42+L44</f>
        <v/>
      </c>
      <c r="M46" s="26">
        <f>M42+M44</f>
        <v/>
      </c>
      <c r="N46" s="26">
        <f>N42+N44</f>
        <v/>
      </c>
      <c r="O46" s="26">
        <f>O42+O44</f>
        <v/>
      </c>
      <c r="P46" s="26">
        <f>P42+P44</f>
        <v/>
      </c>
      <c r="Q46" s="26">
        <f>Q42+Q44</f>
        <v/>
      </c>
      <c r="R46" s="26">
        <f>R42+R44</f>
        <v/>
      </c>
      <c r="S46" s="26">
        <f>S42+S44</f>
        <v/>
      </c>
      <c r="T46" s="26">
        <f>T42+T44</f>
        <v/>
      </c>
      <c r="U46" s="26">
        <f>U42+U44</f>
        <v/>
      </c>
      <c r="V46" s="26">
        <f>V42+V44</f>
        <v/>
      </c>
      <c r="W46" s="26">
        <f>W42+W44</f>
        <v/>
      </c>
      <c r="X46" s="26">
        <f>X42+X44</f>
        <v/>
      </c>
      <c r="Y46" s="26">
        <f>Y42+Y44</f>
        <v/>
      </c>
      <c r="Z46" s="26">
        <f>Z42+Z44</f>
        <v/>
      </c>
      <c r="AA46" s="26">
        <f>AA42+AA44</f>
        <v/>
      </c>
      <c r="AB46" s="26">
        <f>AB42+AB44</f>
        <v/>
      </c>
      <c r="AC46" s="26">
        <f>AC42+AC44</f>
        <v/>
      </c>
      <c r="AD46" s="26">
        <f>AD42+AD44</f>
        <v/>
      </c>
      <c r="AE46" s="26">
        <f>AE42+AE44</f>
        <v/>
      </c>
      <c r="AF46" s="26">
        <f>AF42+AF44</f>
        <v/>
      </c>
      <c r="AG46" s="26">
        <f>AG42+AG44</f>
        <v/>
      </c>
      <c r="AH46" s="26">
        <f>AH42+AH44</f>
        <v/>
      </c>
      <c r="AI46" s="26">
        <f>AI42+AI44</f>
        <v/>
      </c>
      <c r="AJ46" s="26">
        <f>AJ42+AJ44</f>
        <v/>
      </c>
      <c r="AK46" s="26">
        <f>AK42+AK44</f>
        <v/>
      </c>
      <c r="AL46" s="26">
        <f>AL42+AL44</f>
        <v/>
      </c>
      <c r="AM46" s="26">
        <f>AM42+AM44</f>
        <v/>
      </c>
      <c r="AN46" s="26">
        <f>AN42+AN44</f>
        <v/>
      </c>
      <c r="AO46" s="26">
        <f>AO42+AO44</f>
        <v/>
      </c>
      <c r="AP46" s="26">
        <f>AP42+AP44</f>
        <v/>
      </c>
      <c r="AQ46" s="26">
        <f>AQ42+AQ44</f>
        <v/>
      </c>
      <c r="AR46" s="26">
        <f>AR42+AR44</f>
        <v/>
      </c>
      <c r="AS46" s="26">
        <f>AS42+AS44</f>
        <v/>
      </c>
      <c r="AT46" s="26">
        <f>AT42+AT44</f>
        <v/>
      </c>
      <c r="AU46" s="26">
        <f>AU42+AU44</f>
        <v/>
      </c>
      <c r="AV46" s="26">
        <f>AV42+AV44</f>
        <v/>
      </c>
      <c r="AW46" s="26">
        <f>AW42+AW44</f>
        <v/>
      </c>
      <c r="AX46" s="26">
        <f>AX42+AX44</f>
        <v/>
      </c>
      <c r="AY46" s="26">
        <f>AY42+AY44</f>
        <v/>
      </c>
      <c r="AZ46" s="26">
        <f>AZ42+AZ44</f>
        <v/>
      </c>
      <c r="BA46" s="26">
        <f>BA42+BA44</f>
        <v/>
      </c>
      <c r="BB46" s="26">
        <f>BB42+BB44</f>
        <v/>
      </c>
      <c r="BC46" s="26">
        <f>BC42+BC44</f>
        <v/>
      </c>
      <c r="BD46" s="26">
        <f>BD42+BD44</f>
        <v/>
      </c>
      <c r="BE46" s="26">
        <f>BE42+BE44</f>
        <v/>
      </c>
      <c r="BF46" s="26">
        <f>BF42+BF44</f>
        <v/>
      </c>
      <c r="BG46" s="26">
        <f>BG42+BG44</f>
        <v/>
      </c>
      <c r="BH46" s="26">
        <f>BH42+BH44</f>
        <v/>
      </c>
      <c r="BI46" s="26">
        <f>BI42+BI44</f>
        <v/>
      </c>
      <c r="BJ46" s="26">
        <f>BJ42+BJ44</f>
        <v/>
      </c>
      <c r="BK46" s="26">
        <f>BK42+BK44</f>
        <v/>
      </c>
      <c r="BL46" s="26">
        <f>BL42+BL44</f>
        <v/>
      </c>
      <c r="BM46" s="26">
        <f>BM42+BM44</f>
        <v/>
      </c>
      <c r="BN46" s="26">
        <f>BN42+BN44</f>
        <v/>
      </c>
      <c r="BO46" s="26">
        <f>BO42+BO44</f>
        <v/>
      </c>
      <c r="BP46" s="26">
        <f>BP42+BP44</f>
        <v/>
      </c>
      <c r="BQ46" s="26">
        <f>BQ42+BQ44</f>
        <v/>
      </c>
      <c r="BR46" s="26">
        <f>BR42+BR44</f>
        <v/>
      </c>
      <c r="BS46" s="26">
        <f>BS42+BS44</f>
        <v/>
      </c>
      <c r="BT46" s="26">
        <f>BT42+BT44</f>
        <v/>
      </c>
      <c r="BU46" s="26">
        <f>BU42+BU44</f>
        <v/>
      </c>
      <c r="BV46" s="26">
        <f>BV42+BV44</f>
        <v/>
      </c>
      <c r="BW46" s="26">
        <f>BW42+BW44</f>
        <v/>
      </c>
      <c r="BX46" s="26">
        <f>BX42+BX44</f>
        <v/>
      </c>
      <c r="BY46" s="26">
        <f>BY42+BY44</f>
        <v/>
      </c>
      <c r="BZ46" s="26">
        <f>BZ42+BZ44</f>
        <v/>
      </c>
      <c r="CA46" s="26">
        <f>CA42+CA44</f>
        <v/>
      </c>
      <c r="CB46" s="26">
        <f>CB42+CB44</f>
        <v/>
      </c>
      <c r="CC46" s="26">
        <f>CC42+CC44</f>
        <v/>
      </c>
      <c r="CD46" s="26">
        <f>CD42+CD44</f>
        <v/>
      </c>
      <c r="CE46" s="26">
        <f>CE42+CE44</f>
        <v/>
      </c>
      <c r="CF46" s="26">
        <f>CF42+CF44</f>
        <v/>
      </c>
      <c r="CG46" s="26">
        <f>CG42+CG44</f>
        <v/>
      </c>
      <c r="CH46" s="26">
        <f>CH42+CH44</f>
        <v/>
      </c>
    </row>
    <row r="47">
      <c r="A47" s="2" t="inlineStr">
        <is>
          <t>Receita recorrente anualizada (MRR × 12)</t>
        </is>
      </c>
      <c r="C47" s="30">
        <f>C46*12</f>
        <v/>
      </c>
      <c r="D47" s="30">
        <f>D46*12</f>
        <v/>
      </c>
      <c r="E47" s="30">
        <f>E46*12</f>
        <v/>
      </c>
      <c r="F47" s="30">
        <f>F46*12</f>
        <v/>
      </c>
      <c r="G47" s="30">
        <f>G46*12</f>
        <v/>
      </c>
      <c r="H47" s="30">
        <f>H46*12</f>
        <v/>
      </c>
      <c r="I47" s="30">
        <f>I46*12</f>
        <v/>
      </c>
      <c r="J47" s="30">
        <f>J46*12</f>
        <v/>
      </c>
      <c r="K47" s="30">
        <f>K46*12</f>
        <v/>
      </c>
      <c r="L47" s="30">
        <f>L46*12</f>
        <v/>
      </c>
      <c r="M47" s="30">
        <f>M46*12</f>
        <v/>
      </c>
      <c r="N47" s="30">
        <f>N46*12</f>
        <v/>
      </c>
      <c r="O47" s="30">
        <f>O46*12</f>
        <v/>
      </c>
      <c r="P47" s="30">
        <f>P46*12</f>
        <v/>
      </c>
      <c r="Q47" s="30">
        <f>Q46*12</f>
        <v/>
      </c>
      <c r="R47" s="30">
        <f>R46*12</f>
        <v/>
      </c>
      <c r="S47" s="30">
        <f>S46*12</f>
        <v/>
      </c>
      <c r="T47" s="30">
        <f>T46*12</f>
        <v/>
      </c>
      <c r="U47" s="30">
        <f>U46*12</f>
        <v/>
      </c>
      <c r="V47" s="30">
        <f>V46*12</f>
        <v/>
      </c>
      <c r="W47" s="30">
        <f>W46*12</f>
        <v/>
      </c>
      <c r="X47" s="30">
        <f>X46*12</f>
        <v/>
      </c>
      <c r="Y47" s="30">
        <f>Y46*12</f>
        <v/>
      </c>
      <c r="Z47" s="30">
        <f>Z46*12</f>
        <v/>
      </c>
      <c r="AA47" s="30">
        <f>AA46*12</f>
        <v/>
      </c>
      <c r="AB47" s="30">
        <f>AB46*12</f>
        <v/>
      </c>
      <c r="AC47" s="30">
        <f>AC46*12</f>
        <v/>
      </c>
      <c r="AD47" s="30">
        <f>AD46*12</f>
        <v/>
      </c>
      <c r="AE47" s="30">
        <f>AE46*12</f>
        <v/>
      </c>
      <c r="AF47" s="30">
        <f>AF46*12</f>
        <v/>
      </c>
      <c r="AG47" s="30">
        <f>AG46*12</f>
        <v/>
      </c>
      <c r="AH47" s="30">
        <f>AH46*12</f>
        <v/>
      </c>
      <c r="AI47" s="30">
        <f>AI46*12</f>
        <v/>
      </c>
      <c r="AJ47" s="30">
        <f>AJ46*12</f>
        <v/>
      </c>
      <c r="AK47" s="30">
        <f>AK46*12</f>
        <v/>
      </c>
      <c r="AL47" s="30">
        <f>AL46*12</f>
        <v/>
      </c>
      <c r="AM47" s="30">
        <f>AM46*12</f>
        <v/>
      </c>
      <c r="AN47" s="30">
        <f>AN46*12</f>
        <v/>
      </c>
      <c r="AO47" s="30">
        <f>AO46*12</f>
        <v/>
      </c>
      <c r="AP47" s="30">
        <f>AP46*12</f>
        <v/>
      </c>
      <c r="AQ47" s="30">
        <f>AQ46*12</f>
        <v/>
      </c>
      <c r="AR47" s="30">
        <f>AR46*12</f>
        <v/>
      </c>
      <c r="AS47" s="30">
        <f>AS46*12</f>
        <v/>
      </c>
      <c r="AT47" s="30">
        <f>AT46*12</f>
        <v/>
      </c>
      <c r="AU47" s="30">
        <f>AU46*12</f>
        <v/>
      </c>
      <c r="AV47" s="30">
        <f>AV46*12</f>
        <v/>
      </c>
      <c r="AW47" s="30">
        <f>AW46*12</f>
        <v/>
      </c>
      <c r="AX47" s="30">
        <f>AX46*12</f>
        <v/>
      </c>
      <c r="AY47" s="30">
        <f>AY46*12</f>
        <v/>
      </c>
      <c r="AZ47" s="30">
        <f>AZ46*12</f>
        <v/>
      </c>
      <c r="BA47" s="30">
        <f>BA46*12</f>
        <v/>
      </c>
      <c r="BB47" s="30">
        <f>BB46*12</f>
        <v/>
      </c>
      <c r="BC47" s="30">
        <f>BC46*12</f>
        <v/>
      </c>
      <c r="BD47" s="30">
        <f>BD46*12</f>
        <v/>
      </c>
      <c r="BE47" s="30">
        <f>BE46*12</f>
        <v/>
      </c>
      <c r="BF47" s="30">
        <f>BF46*12</f>
        <v/>
      </c>
      <c r="BG47" s="30">
        <f>BG46*12</f>
        <v/>
      </c>
      <c r="BH47" s="30">
        <f>BH46*12</f>
        <v/>
      </c>
      <c r="BI47" s="30">
        <f>BI46*12</f>
        <v/>
      </c>
      <c r="BJ47" s="30">
        <f>BJ46*12</f>
        <v/>
      </c>
      <c r="BK47" s="30">
        <f>BK46*12</f>
        <v/>
      </c>
      <c r="BL47" s="30">
        <f>BL46*12</f>
        <v/>
      </c>
      <c r="BM47" s="30">
        <f>BM46*12</f>
        <v/>
      </c>
      <c r="BN47" s="30">
        <f>BN46*12</f>
        <v/>
      </c>
      <c r="BO47" s="30">
        <f>BO46*12</f>
        <v/>
      </c>
      <c r="BP47" s="30">
        <f>BP46*12</f>
        <v/>
      </c>
      <c r="BQ47" s="30">
        <f>BQ46*12</f>
        <v/>
      </c>
      <c r="BR47" s="30">
        <f>BR46*12</f>
        <v/>
      </c>
      <c r="BS47" s="30">
        <f>BS46*12</f>
        <v/>
      </c>
      <c r="BT47" s="30">
        <f>BT46*12</f>
        <v/>
      </c>
      <c r="BU47" s="30">
        <f>BU46*12</f>
        <v/>
      </c>
      <c r="BV47" s="30">
        <f>BV46*12</f>
        <v/>
      </c>
      <c r="BW47" s="30">
        <f>BW46*12</f>
        <v/>
      </c>
      <c r="BX47" s="30">
        <f>BX46*12</f>
        <v/>
      </c>
      <c r="BY47" s="30">
        <f>BY46*12</f>
        <v/>
      </c>
      <c r="BZ47" s="30">
        <f>BZ46*12</f>
        <v/>
      </c>
      <c r="CA47" s="30">
        <f>CA46*12</f>
        <v/>
      </c>
      <c r="CB47" s="30">
        <f>CB46*12</f>
        <v/>
      </c>
      <c r="CC47" s="30">
        <f>CC46*12</f>
        <v/>
      </c>
      <c r="CD47" s="30">
        <f>CD46*12</f>
        <v/>
      </c>
      <c r="CE47" s="30">
        <f>CE46*12</f>
        <v/>
      </c>
      <c r="CF47" s="30">
        <f>CF46*12</f>
        <v/>
      </c>
      <c r="CG47" s="30">
        <f>CG46*12</f>
        <v/>
      </c>
      <c r="CH47" s="30">
        <f>CH46*12</f>
        <v/>
      </c>
    </row>
    <row r="48">
      <c r="A48" s="3" t="inlineStr">
        <is>
          <t>Impostos sobre a receita</t>
        </is>
      </c>
      <c r="C48" s="26">
        <f>C45*IF(SUMIFS($C$45:$CH$45,$C$2:$CH$2,"&gt;="&amp;(C2-12),$C$2:$CH$2,"&lt;"&amp;C2)&gt;4800000,Premissas!$F$10,Premissas!$F$9)</f>
        <v/>
      </c>
      <c r="D48" s="26">
        <f>D45*IF(SUMIFS($C$45:$CH$45,$C$2:$CH$2,"&gt;="&amp;(D2-12),$C$2:$CH$2,"&lt;"&amp;D2)&gt;4800000,Premissas!$F$10,Premissas!$F$9)</f>
        <v/>
      </c>
      <c r="E48" s="26">
        <f>E45*IF(SUMIFS($C$45:$CH$45,$C$2:$CH$2,"&gt;="&amp;(E2-12),$C$2:$CH$2,"&lt;"&amp;E2)&gt;4800000,Premissas!$F$10,Premissas!$F$9)</f>
        <v/>
      </c>
      <c r="F48" s="26">
        <f>F45*IF(SUMIFS($C$45:$CH$45,$C$2:$CH$2,"&gt;="&amp;(F2-12),$C$2:$CH$2,"&lt;"&amp;F2)&gt;4800000,Premissas!$F$10,Premissas!$F$9)</f>
        <v/>
      </c>
      <c r="G48" s="26">
        <f>G45*IF(SUMIFS($C$45:$CH$45,$C$2:$CH$2,"&gt;="&amp;(G2-12),$C$2:$CH$2,"&lt;"&amp;G2)&gt;4800000,Premissas!$F$10,Premissas!$F$9)</f>
        <v/>
      </c>
      <c r="H48" s="26">
        <f>H45*IF(SUMIFS($C$45:$CH$45,$C$2:$CH$2,"&gt;="&amp;(H2-12),$C$2:$CH$2,"&lt;"&amp;H2)&gt;4800000,Premissas!$F$10,Premissas!$F$9)</f>
        <v/>
      </c>
      <c r="I48" s="26">
        <f>I45*IF(SUMIFS($C$45:$CH$45,$C$2:$CH$2,"&gt;="&amp;(I2-12),$C$2:$CH$2,"&lt;"&amp;I2)&gt;4800000,Premissas!$F$10,Premissas!$F$9)</f>
        <v/>
      </c>
      <c r="J48" s="26">
        <f>J45*IF(SUMIFS($C$45:$CH$45,$C$2:$CH$2,"&gt;="&amp;(J2-12),$C$2:$CH$2,"&lt;"&amp;J2)&gt;4800000,Premissas!$F$10,Premissas!$F$9)</f>
        <v/>
      </c>
      <c r="K48" s="26">
        <f>K45*IF(SUMIFS($C$45:$CH$45,$C$2:$CH$2,"&gt;="&amp;(K2-12),$C$2:$CH$2,"&lt;"&amp;K2)&gt;4800000,Premissas!$F$10,Premissas!$F$9)</f>
        <v/>
      </c>
      <c r="L48" s="26">
        <f>L45*IF(SUMIFS($C$45:$CH$45,$C$2:$CH$2,"&gt;="&amp;(L2-12),$C$2:$CH$2,"&lt;"&amp;L2)&gt;4800000,Premissas!$F$10,Premissas!$F$9)</f>
        <v/>
      </c>
      <c r="M48" s="26">
        <f>M45*IF(SUMIFS($C$45:$CH$45,$C$2:$CH$2,"&gt;="&amp;(M2-12),$C$2:$CH$2,"&lt;"&amp;M2)&gt;4800000,Premissas!$F$10,Premissas!$F$9)</f>
        <v/>
      </c>
      <c r="N48" s="26">
        <f>N45*IF(SUMIFS($C$45:$CH$45,$C$2:$CH$2,"&gt;="&amp;(N2-12),$C$2:$CH$2,"&lt;"&amp;N2)&gt;4800000,Premissas!$F$10,Premissas!$F$9)</f>
        <v/>
      </c>
      <c r="O48" s="26">
        <f>O45*IF(SUMIFS($C$45:$CH$45,$C$2:$CH$2,"&gt;="&amp;(O2-12),$C$2:$CH$2,"&lt;"&amp;O2)&gt;4800000,Premissas!$F$10,Premissas!$F$9)</f>
        <v/>
      </c>
      <c r="P48" s="26">
        <f>P45*IF(SUMIFS($C$45:$CH$45,$C$2:$CH$2,"&gt;="&amp;(P2-12),$C$2:$CH$2,"&lt;"&amp;P2)&gt;4800000,Premissas!$F$10,Premissas!$F$9)</f>
        <v/>
      </c>
      <c r="Q48" s="26">
        <f>Q45*IF(SUMIFS($C$45:$CH$45,$C$2:$CH$2,"&gt;="&amp;(Q2-12),$C$2:$CH$2,"&lt;"&amp;Q2)&gt;4800000,Premissas!$F$10,Premissas!$F$9)</f>
        <v/>
      </c>
      <c r="R48" s="26">
        <f>R45*IF(SUMIFS($C$45:$CH$45,$C$2:$CH$2,"&gt;="&amp;(R2-12),$C$2:$CH$2,"&lt;"&amp;R2)&gt;4800000,Premissas!$F$10,Premissas!$F$9)</f>
        <v/>
      </c>
      <c r="S48" s="26">
        <f>S45*IF(SUMIFS($C$45:$CH$45,$C$2:$CH$2,"&gt;="&amp;(S2-12),$C$2:$CH$2,"&lt;"&amp;S2)&gt;4800000,Premissas!$F$10,Premissas!$F$9)</f>
        <v/>
      </c>
      <c r="T48" s="26">
        <f>T45*IF(SUMIFS($C$45:$CH$45,$C$2:$CH$2,"&gt;="&amp;(T2-12),$C$2:$CH$2,"&lt;"&amp;T2)&gt;4800000,Premissas!$F$10,Premissas!$F$9)</f>
        <v/>
      </c>
      <c r="U48" s="26">
        <f>U45*IF(SUMIFS($C$45:$CH$45,$C$2:$CH$2,"&gt;="&amp;(U2-12),$C$2:$CH$2,"&lt;"&amp;U2)&gt;4800000,Premissas!$F$10,Premissas!$F$9)</f>
        <v/>
      </c>
      <c r="V48" s="26">
        <f>V45*IF(SUMIFS($C$45:$CH$45,$C$2:$CH$2,"&gt;="&amp;(V2-12),$C$2:$CH$2,"&lt;"&amp;V2)&gt;4800000,Premissas!$F$10,Premissas!$F$9)</f>
        <v/>
      </c>
      <c r="W48" s="26">
        <f>W45*IF(SUMIFS($C$45:$CH$45,$C$2:$CH$2,"&gt;="&amp;(W2-12),$C$2:$CH$2,"&lt;"&amp;W2)&gt;4800000,Premissas!$F$10,Premissas!$F$9)</f>
        <v/>
      </c>
      <c r="X48" s="26">
        <f>X45*IF(SUMIFS($C$45:$CH$45,$C$2:$CH$2,"&gt;="&amp;(X2-12),$C$2:$CH$2,"&lt;"&amp;X2)&gt;4800000,Premissas!$F$10,Premissas!$F$9)</f>
        <v/>
      </c>
      <c r="Y48" s="26">
        <f>Y45*IF(SUMIFS($C$45:$CH$45,$C$2:$CH$2,"&gt;="&amp;(Y2-12),$C$2:$CH$2,"&lt;"&amp;Y2)&gt;4800000,Premissas!$F$10,Premissas!$F$9)</f>
        <v/>
      </c>
      <c r="Z48" s="26">
        <f>Z45*IF(SUMIFS($C$45:$CH$45,$C$2:$CH$2,"&gt;="&amp;(Z2-12),$C$2:$CH$2,"&lt;"&amp;Z2)&gt;4800000,Premissas!$F$10,Premissas!$F$9)</f>
        <v/>
      </c>
      <c r="AA48" s="26">
        <f>AA45*IF(SUMIFS($C$45:$CH$45,$C$2:$CH$2,"&gt;="&amp;(AA2-12),$C$2:$CH$2,"&lt;"&amp;AA2)&gt;4800000,Premissas!$F$10,Premissas!$F$9)</f>
        <v/>
      </c>
      <c r="AB48" s="26">
        <f>AB45*IF(SUMIFS($C$45:$CH$45,$C$2:$CH$2,"&gt;="&amp;(AB2-12),$C$2:$CH$2,"&lt;"&amp;AB2)&gt;4800000,Premissas!$F$10,Premissas!$F$9)</f>
        <v/>
      </c>
      <c r="AC48" s="26">
        <f>AC45*IF(SUMIFS($C$45:$CH$45,$C$2:$CH$2,"&gt;="&amp;(AC2-12),$C$2:$CH$2,"&lt;"&amp;AC2)&gt;4800000,Premissas!$F$10,Premissas!$F$9)</f>
        <v/>
      </c>
      <c r="AD48" s="26">
        <f>AD45*IF(SUMIFS($C$45:$CH$45,$C$2:$CH$2,"&gt;="&amp;(AD2-12),$C$2:$CH$2,"&lt;"&amp;AD2)&gt;4800000,Premissas!$F$10,Premissas!$F$9)</f>
        <v/>
      </c>
      <c r="AE48" s="26">
        <f>AE45*IF(SUMIFS($C$45:$CH$45,$C$2:$CH$2,"&gt;="&amp;(AE2-12),$C$2:$CH$2,"&lt;"&amp;AE2)&gt;4800000,Premissas!$F$10,Premissas!$F$9)</f>
        <v/>
      </c>
      <c r="AF48" s="26">
        <f>AF45*IF(SUMIFS($C$45:$CH$45,$C$2:$CH$2,"&gt;="&amp;(AF2-12),$C$2:$CH$2,"&lt;"&amp;AF2)&gt;4800000,Premissas!$F$10,Premissas!$F$9)</f>
        <v/>
      </c>
      <c r="AG48" s="26">
        <f>AG45*IF(SUMIFS($C$45:$CH$45,$C$2:$CH$2,"&gt;="&amp;(AG2-12),$C$2:$CH$2,"&lt;"&amp;AG2)&gt;4800000,Premissas!$F$10,Premissas!$F$9)</f>
        <v/>
      </c>
      <c r="AH48" s="26">
        <f>AH45*IF(SUMIFS($C$45:$CH$45,$C$2:$CH$2,"&gt;="&amp;(AH2-12),$C$2:$CH$2,"&lt;"&amp;AH2)&gt;4800000,Premissas!$F$10,Premissas!$F$9)</f>
        <v/>
      </c>
      <c r="AI48" s="26">
        <f>AI45*IF(SUMIFS($C$45:$CH$45,$C$2:$CH$2,"&gt;="&amp;(AI2-12),$C$2:$CH$2,"&lt;"&amp;AI2)&gt;4800000,Premissas!$F$10,Premissas!$F$9)</f>
        <v/>
      </c>
      <c r="AJ48" s="26">
        <f>AJ45*IF(SUMIFS($C$45:$CH$45,$C$2:$CH$2,"&gt;="&amp;(AJ2-12),$C$2:$CH$2,"&lt;"&amp;AJ2)&gt;4800000,Premissas!$F$10,Premissas!$F$9)</f>
        <v/>
      </c>
      <c r="AK48" s="26">
        <f>AK45*IF(SUMIFS($C$45:$CH$45,$C$2:$CH$2,"&gt;="&amp;(AK2-12),$C$2:$CH$2,"&lt;"&amp;AK2)&gt;4800000,Premissas!$F$10,Premissas!$F$9)</f>
        <v/>
      </c>
      <c r="AL48" s="26">
        <f>AL45*IF(SUMIFS($C$45:$CH$45,$C$2:$CH$2,"&gt;="&amp;(AL2-12),$C$2:$CH$2,"&lt;"&amp;AL2)&gt;4800000,Premissas!$F$10,Premissas!$F$9)</f>
        <v/>
      </c>
      <c r="AM48" s="26">
        <f>AM45*IF(SUMIFS($C$45:$CH$45,$C$2:$CH$2,"&gt;="&amp;(AM2-12),$C$2:$CH$2,"&lt;"&amp;AM2)&gt;4800000,Premissas!$F$10,Premissas!$F$9)</f>
        <v/>
      </c>
      <c r="AN48" s="26">
        <f>AN45*IF(SUMIFS($C$45:$CH$45,$C$2:$CH$2,"&gt;="&amp;(AN2-12),$C$2:$CH$2,"&lt;"&amp;AN2)&gt;4800000,Premissas!$F$10,Premissas!$F$9)</f>
        <v/>
      </c>
      <c r="AO48" s="26">
        <f>AO45*IF(SUMIFS($C$45:$CH$45,$C$2:$CH$2,"&gt;="&amp;(AO2-12),$C$2:$CH$2,"&lt;"&amp;AO2)&gt;4800000,Premissas!$F$10,Premissas!$F$9)</f>
        <v/>
      </c>
      <c r="AP48" s="26">
        <f>AP45*IF(SUMIFS($C$45:$CH$45,$C$2:$CH$2,"&gt;="&amp;(AP2-12),$C$2:$CH$2,"&lt;"&amp;AP2)&gt;4800000,Premissas!$F$10,Premissas!$F$9)</f>
        <v/>
      </c>
      <c r="AQ48" s="26">
        <f>AQ45*IF(SUMIFS($C$45:$CH$45,$C$2:$CH$2,"&gt;="&amp;(AQ2-12),$C$2:$CH$2,"&lt;"&amp;AQ2)&gt;4800000,Premissas!$F$10,Premissas!$F$9)</f>
        <v/>
      </c>
      <c r="AR48" s="26">
        <f>AR45*IF(SUMIFS($C$45:$CH$45,$C$2:$CH$2,"&gt;="&amp;(AR2-12),$C$2:$CH$2,"&lt;"&amp;AR2)&gt;4800000,Premissas!$F$10,Premissas!$F$9)</f>
        <v/>
      </c>
      <c r="AS48" s="26">
        <f>AS45*IF(SUMIFS($C$45:$CH$45,$C$2:$CH$2,"&gt;="&amp;(AS2-12),$C$2:$CH$2,"&lt;"&amp;AS2)&gt;4800000,Premissas!$F$10,Premissas!$F$9)</f>
        <v/>
      </c>
      <c r="AT48" s="26">
        <f>AT45*IF(SUMIFS($C$45:$CH$45,$C$2:$CH$2,"&gt;="&amp;(AT2-12),$C$2:$CH$2,"&lt;"&amp;AT2)&gt;4800000,Premissas!$F$10,Premissas!$F$9)</f>
        <v/>
      </c>
      <c r="AU48" s="26">
        <f>AU45*IF(SUMIFS($C$45:$CH$45,$C$2:$CH$2,"&gt;="&amp;(AU2-12),$C$2:$CH$2,"&lt;"&amp;AU2)&gt;4800000,Premissas!$F$10,Premissas!$F$9)</f>
        <v/>
      </c>
      <c r="AV48" s="26">
        <f>AV45*IF(SUMIFS($C$45:$CH$45,$C$2:$CH$2,"&gt;="&amp;(AV2-12),$C$2:$CH$2,"&lt;"&amp;AV2)&gt;4800000,Premissas!$F$10,Premissas!$F$9)</f>
        <v/>
      </c>
      <c r="AW48" s="26">
        <f>AW45*IF(SUMIFS($C$45:$CH$45,$C$2:$CH$2,"&gt;="&amp;(AW2-12),$C$2:$CH$2,"&lt;"&amp;AW2)&gt;4800000,Premissas!$F$10,Premissas!$F$9)</f>
        <v/>
      </c>
      <c r="AX48" s="26">
        <f>AX45*IF(SUMIFS($C$45:$CH$45,$C$2:$CH$2,"&gt;="&amp;(AX2-12),$C$2:$CH$2,"&lt;"&amp;AX2)&gt;4800000,Premissas!$F$10,Premissas!$F$9)</f>
        <v/>
      </c>
      <c r="AY48" s="26">
        <f>AY45*IF(SUMIFS($C$45:$CH$45,$C$2:$CH$2,"&gt;="&amp;(AY2-12),$C$2:$CH$2,"&lt;"&amp;AY2)&gt;4800000,Premissas!$F$10,Premissas!$F$9)</f>
        <v/>
      </c>
      <c r="AZ48" s="26">
        <f>AZ45*IF(SUMIFS($C$45:$CH$45,$C$2:$CH$2,"&gt;="&amp;(AZ2-12),$C$2:$CH$2,"&lt;"&amp;AZ2)&gt;4800000,Premissas!$F$10,Premissas!$F$9)</f>
        <v/>
      </c>
      <c r="BA48" s="26">
        <f>BA45*IF(SUMIFS($C$45:$CH$45,$C$2:$CH$2,"&gt;="&amp;(BA2-12),$C$2:$CH$2,"&lt;"&amp;BA2)&gt;4800000,Premissas!$F$10,Premissas!$F$9)</f>
        <v/>
      </c>
      <c r="BB48" s="26">
        <f>BB45*IF(SUMIFS($C$45:$CH$45,$C$2:$CH$2,"&gt;="&amp;(BB2-12),$C$2:$CH$2,"&lt;"&amp;BB2)&gt;4800000,Premissas!$F$10,Premissas!$F$9)</f>
        <v/>
      </c>
      <c r="BC48" s="26">
        <f>BC45*IF(SUMIFS($C$45:$CH$45,$C$2:$CH$2,"&gt;="&amp;(BC2-12),$C$2:$CH$2,"&lt;"&amp;BC2)&gt;4800000,Premissas!$F$10,Premissas!$F$9)</f>
        <v/>
      </c>
      <c r="BD48" s="26">
        <f>BD45*IF(SUMIFS($C$45:$CH$45,$C$2:$CH$2,"&gt;="&amp;(BD2-12),$C$2:$CH$2,"&lt;"&amp;BD2)&gt;4800000,Premissas!$F$10,Premissas!$F$9)</f>
        <v/>
      </c>
      <c r="BE48" s="26">
        <f>BE45*IF(SUMIFS($C$45:$CH$45,$C$2:$CH$2,"&gt;="&amp;(BE2-12),$C$2:$CH$2,"&lt;"&amp;BE2)&gt;4800000,Premissas!$F$10,Premissas!$F$9)</f>
        <v/>
      </c>
      <c r="BF48" s="26">
        <f>BF45*IF(SUMIFS($C$45:$CH$45,$C$2:$CH$2,"&gt;="&amp;(BF2-12),$C$2:$CH$2,"&lt;"&amp;BF2)&gt;4800000,Premissas!$F$10,Premissas!$F$9)</f>
        <v/>
      </c>
      <c r="BG48" s="26">
        <f>BG45*IF(SUMIFS($C$45:$CH$45,$C$2:$CH$2,"&gt;="&amp;(BG2-12),$C$2:$CH$2,"&lt;"&amp;BG2)&gt;4800000,Premissas!$F$10,Premissas!$F$9)</f>
        <v/>
      </c>
      <c r="BH48" s="26">
        <f>BH45*IF(SUMIFS($C$45:$CH$45,$C$2:$CH$2,"&gt;="&amp;(BH2-12),$C$2:$CH$2,"&lt;"&amp;BH2)&gt;4800000,Premissas!$F$10,Premissas!$F$9)</f>
        <v/>
      </c>
      <c r="BI48" s="26">
        <f>BI45*IF(SUMIFS($C$45:$CH$45,$C$2:$CH$2,"&gt;="&amp;(BI2-12),$C$2:$CH$2,"&lt;"&amp;BI2)&gt;4800000,Premissas!$F$10,Premissas!$F$9)</f>
        <v/>
      </c>
      <c r="BJ48" s="26">
        <f>BJ45*IF(SUMIFS($C$45:$CH$45,$C$2:$CH$2,"&gt;="&amp;(BJ2-12),$C$2:$CH$2,"&lt;"&amp;BJ2)&gt;4800000,Premissas!$F$10,Premissas!$F$9)</f>
        <v/>
      </c>
      <c r="BK48" s="26">
        <f>BK45*IF(SUMIFS($C$45:$CH$45,$C$2:$CH$2,"&gt;="&amp;(BK2-12),$C$2:$CH$2,"&lt;"&amp;BK2)&gt;4800000,Premissas!$F$10,Premissas!$F$9)</f>
        <v/>
      </c>
      <c r="BL48" s="26">
        <f>BL45*IF(SUMIFS($C$45:$CH$45,$C$2:$CH$2,"&gt;="&amp;(BL2-12),$C$2:$CH$2,"&lt;"&amp;BL2)&gt;4800000,Premissas!$F$10,Premissas!$F$9)</f>
        <v/>
      </c>
      <c r="BM48" s="26">
        <f>BM45*IF(SUMIFS($C$45:$CH$45,$C$2:$CH$2,"&gt;="&amp;(BM2-12),$C$2:$CH$2,"&lt;"&amp;BM2)&gt;4800000,Premissas!$F$10,Premissas!$F$9)</f>
        <v/>
      </c>
      <c r="BN48" s="26">
        <f>BN45*IF(SUMIFS($C$45:$CH$45,$C$2:$CH$2,"&gt;="&amp;(BN2-12),$C$2:$CH$2,"&lt;"&amp;BN2)&gt;4800000,Premissas!$F$10,Premissas!$F$9)</f>
        <v/>
      </c>
      <c r="BO48" s="26">
        <f>BO45*IF(SUMIFS($C$45:$CH$45,$C$2:$CH$2,"&gt;="&amp;(BO2-12),$C$2:$CH$2,"&lt;"&amp;BO2)&gt;4800000,Premissas!$F$10,Premissas!$F$9)</f>
        <v/>
      </c>
      <c r="BP48" s="26">
        <f>BP45*IF(SUMIFS($C$45:$CH$45,$C$2:$CH$2,"&gt;="&amp;(BP2-12),$C$2:$CH$2,"&lt;"&amp;BP2)&gt;4800000,Premissas!$F$10,Premissas!$F$9)</f>
        <v/>
      </c>
      <c r="BQ48" s="26">
        <f>BQ45*IF(SUMIFS($C$45:$CH$45,$C$2:$CH$2,"&gt;="&amp;(BQ2-12),$C$2:$CH$2,"&lt;"&amp;BQ2)&gt;4800000,Premissas!$F$10,Premissas!$F$9)</f>
        <v/>
      </c>
      <c r="BR48" s="26">
        <f>BR45*IF(SUMIFS($C$45:$CH$45,$C$2:$CH$2,"&gt;="&amp;(BR2-12),$C$2:$CH$2,"&lt;"&amp;BR2)&gt;4800000,Premissas!$F$10,Premissas!$F$9)</f>
        <v/>
      </c>
      <c r="BS48" s="26">
        <f>BS45*IF(SUMIFS($C$45:$CH$45,$C$2:$CH$2,"&gt;="&amp;(BS2-12),$C$2:$CH$2,"&lt;"&amp;BS2)&gt;4800000,Premissas!$F$10,Premissas!$F$9)</f>
        <v/>
      </c>
      <c r="BT48" s="26">
        <f>BT45*IF(SUMIFS($C$45:$CH$45,$C$2:$CH$2,"&gt;="&amp;(BT2-12),$C$2:$CH$2,"&lt;"&amp;BT2)&gt;4800000,Premissas!$F$10,Premissas!$F$9)</f>
        <v/>
      </c>
      <c r="BU48" s="26">
        <f>BU45*IF(SUMIFS($C$45:$CH$45,$C$2:$CH$2,"&gt;="&amp;(BU2-12),$C$2:$CH$2,"&lt;"&amp;BU2)&gt;4800000,Premissas!$F$10,Premissas!$F$9)</f>
        <v/>
      </c>
      <c r="BV48" s="26">
        <f>BV45*IF(SUMIFS($C$45:$CH$45,$C$2:$CH$2,"&gt;="&amp;(BV2-12),$C$2:$CH$2,"&lt;"&amp;BV2)&gt;4800000,Premissas!$F$10,Premissas!$F$9)</f>
        <v/>
      </c>
      <c r="BW48" s="26">
        <f>BW45*IF(SUMIFS($C$45:$CH$45,$C$2:$CH$2,"&gt;="&amp;(BW2-12),$C$2:$CH$2,"&lt;"&amp;BW2)&gt;4800000,Premissas!$F$10,Premissas!$F$9)</f>
        <v/>
      </c>
      <c r="BX48" s="26">
        <f>BX45*IF(SUMIFS($C$45:$CH$45,$C$2:$CH$2,"&gt;="&amp;(BX2-12),$C$2:$CH$2,"&lt;"&amp;BX2)&gt;4800000,Premissas!$F$10,Premissas!$F$9)</f>
        <v/>
      </c>
      <c r="BY48" s="26">
        <f>BY45*IF(SUMIFS($C$45:$CH$45,$C$2:$CH$2,"&gt;="&amp;(BY2-12),$C$2:$CH$2,"&lt;"&amp;BY2)&gt;4800000,Premissas!$F$10,Premissas!$F$9)</f>
        <v/>
      </c>
      <c r="BZ48" s="26">
        <f>BZ45*IF(SUMIFS($C$45:$CH$45,$C$2:$CH$2,"&gt;="&amp;(BZ2-12),$C$2:$CH$2,"&lt;"&amp;BZ2)&gt;4800000,Premissas!$F$10,Premissas!$F$9)</f>
        <v/>
      </c>
      <c r="CA48" s="26">
        <f>CA45*IF(SUMIFS($C$45:$CH$45,$C$2:$CH$2,"&gt;="&amp;(CA2-12),$C$2:$CH$2,"&lt;"&amp;CA2)&gt;4800000,Premissas!$F$10,Premissas!$F$9)</f>
        <v/>
      </c>
      <c r="CB48" s="26">
        <f>CB45*IF(SUMIFS($C$45:$CH$45,$C$2:$CH$2,"&gt;="&amp;(CB2-12),$C$2:$CH$2,"&lt;"&amp;CB2)&gt;4800000,Premissas!$F$10,Premissas!$F$9)</f>
        <v/>
      </c>
      <c r="CC48" s="26">
        <f>CC45*IF(SUMIFS($C$45:$CH$45,$C$2:$CH$2,"&gt;="&amp;(CC2-12),$C$2:$CH$2,"&lt;"&amp;CC2)&gt;4800000,Premissas!$F$10,Premissas!$F$9)</f>
        <v/>
      </c>
      <c r="CD48" s="26">
        <f>CD45*IF(SUMIFS($C$45:$CH$45,$C$2:$CH$2,"&gt;="&amp;(CD2-12),$C$2:$CH$2,"&lt;"&amp;CD2)&gt;4800000,Premissas!$F$10,Premissas!$F$9)</f>
        <v/>
      </c>
      <c r="CE48" s="26">
        <f>CE45*IF(SUMIFS($C$45:$CH$45,$C$2:$CH$2,"&gt;="&amp;(CE2-12),$C$2:$CH$2,"&lt;"&amp;CE2)&gt;4800000,Premissas!$F$10,Premissas!$F$9)</f>
        <v/>
      </c>
      <c r="CF48" s="26">
        <f>CF45*IF(SUMIFS($C$45:$CH$45,$C$2:$CH$2,"&gt;="&amp;(CF2-12),$C$2:$CH$2,"&lt;"&amp;CF2)&gt;4800000,Premissas!$F$10,Premissas!$F$9)</f>
        <v/>
      </c>
      <c r="CG48" s="26">
        <f>CG45*IF(SUMIFS($C$45:$CH$45,$C$2:$CH$2,"&gt;="&amp;(CG2-12),$C$2:$CH$2,"&lt;"&amp;CG2)&gt;4800000,Premissas!$F$10,Premissas!$F$9)</f>
        <v/>
      </c>
      <c r="CH48" s="26">
        <f>CH45*IF(SUMIFS($C$45:$CH$45,$C$2:$CH$2,"&gt;="&amp;(CH2-12),$C$2:$CH$2,"&lt;"&amp;CH2)&gt;4800000,Premissas!$F$10,Premissas!$F$9)</f>
        <v/>
      </c>
    </row>
    <row r="49">
      <c r="A49" s="3" t="inlineStr">
        <is>
          <t>Meios de pagamento</t>
        </is>
      </c>
      <c r="C49" s="26">
        <f>C45*Premissas!$F$11</f>
        <v/>
      </c>
      <c r="D49" s="26">
        <f>D45*Premissas!$F$11</f>
        <v/>
      </c>
      <c r="E49" s="26">
        <f>E45*Premissas!$F$11</f>
        <v/>
      </c>
      <c r="F49" s="26">
        <f>F45*Premissas!$F$11</f>
        <v/>
      </c>
      <c r="G49" s="26">
        <f>G45*Premissas!$F$11</f>
        <v/>
      </c>
      <c r="H49" s="26">
        <f>H45*Premissas!$F$11</f>
        <v/>
      </c>
      <c r="I49" s="26">
        <f>I45*Premissas!$F$11</f>
        <v/>
      </c>
      <c r="J49" s="26">
        <f>J45*Premissas!$F$11</f>
        <v/>
      </c>
      <c r="K49" s="26">
        <f>K45*Premissas!$F$11</f>
        <v/>
      </c>
      <c r="L49" s="26">
        <f>L45*Premissas!$F$11</f>
        <v/>
      </c>
      <c r="M49" s="26">
        <f>M45*Premissas!$F$11</f>
        <v/>
      </c>
      <c r="N49" s="26">
        <f>N45*Premissas!$F$11</f>
        <v/>
      </c>
      <c r="O49" s="26">
        <f>O45*Premissas!$F$11</f>
        <v/>
      </c>
      <c r="P49" s="26">
        <f>P45*Premissas!$F$11</f>
        <v/>
      </c>
      <c r="Q49" s="26">
        <f>Q45*Premissas!$F$11</f>
        <v/>
      </c>
      <c r="R49" s="26">
        <f>R45*Premissas!$F$11</f>
        <v/>
      </c>
      <c r="S49" s="26">
        <f>S45*Premissas!$F$11</f>
        <v/>
      </c>
      <c r="T49" s="26">
        <f>T45*Premissas!$F$11</f>
        <v/>
      </c>
      <c r="U49" s="26">
        <f>U45*Premissas!$F$11</f>
        <v/>
      </c>
      <c r="V49" s="26">
        <f>V45*Premissas!$F$11</f>
        <v/>
      </c>
      <c r="W49" s="26">
        <f>W45*Premissas!$F$11</f>
        <v/>
      </c>
      <c r="X49" s="26">
        <f>X45*Premissas!$F$11</f>
        <v/>
      </c>
      <c r="Y49" s="26">
        <f>Y45*Premissas!$F$11</f>
        <v/>
      </c>
      <c r="Z49" s="26">
        <f>Z45*Premissas!$F$11</f>
        <v/>
      </c>
      <c r="AA49" s="26">
        <f>AA45*Premissas!$F$11</f>
        <v/>
      </c>
      <c r="AB49" s="26">
        <f>AB45*Premissas!$F$11</f>
        <v/>
      </c>
      <c r="AC49" s="26">
        <f>AC45*Premissas!$F$11</f>
        <v/>
      </c>
      <c r="AD49" s="26">
        <f>AD45*Premissas!$F$11</f>
        <v/>
      </c>
      <c r="AE49" s="26">
        <f>AE45*Premissas!$F$11</f>
        <v/>
      </c>
      <c r="AF49" s="26">
        <f>AF45*Premissas!$F$11</f>
        <v/>
      </c>
      <c r="AG49" s="26">
        <f>AG45*Premissas!$F$11</f>
        <v/>
      </c>
      <c r="AH49" s="26">
        <f>AH45*Premissas!$F$11</f>
        <v/>
      </c>
      <c r="AI49" s="26">
        <f>AI45*Premissas!$F$11</f>
        <v/>
      </c>
      <c r="AJ49" s="26">
        <f>AJ45*Premissas!$F$11</f>
        <v/>
      </c>
      <c r="AK49" s="26">
        <f>AK45*Premissas!$F$11</f>
        <v/>
      </c>
      <c r="AL49" s="26">
        <f>AL45*Premissas!$F$11</f>
        <v/>
      </c>
      <c r="AM49" s="26">
        <f>AM45*Premissas!$F$11</f>
        <v/>
      </c>
      <c r="AN49" s="26">
        <f>AN45*Premissas!$F$11</f>
        <v/>
      </c>
      <c r="AO49" s="26">
        <f>AO45*Premissas!$F$11</f>
        <v/>
      </c>
      <c r="AP49" s="26">
        <f>AP45*Premissas!$F$11</f>
        <v/>
      </c>
      <c r="AQ49" s="26">
        <f>AQ45*Premissas!$F$11</f>
        <v/>
      </c>
      <c r="AR49" s="26">
        <f>AR45*Premissas!$F$11</f>
        <v/>
      </c>
      <c r="AS49" s="26">
        <f>AS45*Premissas!$F$11</f>
        <v/>
      </c>
      <c r="AT49" s="26">
        <f>AT45*Premissas!$F$11</f>
        <v/>
      </c>
      <c r="AU49" s="26">
        <f>AU45*Premissas!$F$11</f>
        <v/>
      </c>
      <c r="AV49" s="26">
        <f>AV45*Premissas!$F$11</f>
        <v/>
      </c>
      <c r="AW49" s="26">
        <f>AW45*Premissas!$F$11</f>
        <v/>
      </c>
      <c r="AX49" s="26">
        <f>AX45*Premissas!$F$11</f>
        <v/>
      </c>
      <c r="AY49" s="26">
        <f>AY45*Premissas!$F$11</f>
        <v/>
      </c>
      <c r="AZ49" s="26">
        <f>AZ45*Premissas!$F$11</f>
        <v/>
      </c>
      <c r="BA49" s="26">
        <f>BA45*Premissas!$F$11</f>
        <v/>
      </c>
      <c r="BB49" s="26">
        <f>BB45*Premissas!$F$11</f>
        <v/>
      </c>
      <c r="BC49" s="26">
        <f>BC45*Premissas!$F$11</f>
        <v/>
      </c>
      <c r="BD49" s="26">
        <f>BD45*Premissas!$F$11</f>
        <v/>
      </c>
      <c r="BE49" s="26">
        <f>BE45*Premissas!$F$11</f>
        <v/>
      </c>
      <c r="BF49" s="26">
        <f>BF45*Premissas!$F$11</f>
        <v/>
      </c>
      <c r="BG49" s="26">
        <f>BG45*Premissas!$F$11</f>
        <v/>
      </c>
      <c r="BH49" s="26">
        <f>BH45*Premissas!$F$11</f>
        <v/>
      </c>
      <c r="BI49" s="26">
        <f>BI45*Premissas!$F$11</f>
        <v/>
      </c>
      <c r="BJ49" s="26">
        <f>BJ45*Premissas!$F$11</f>
        <v/>
      </c>
      <c r="BK49" s="26">
        <f>BK45*Premissas!$F$11</f>
        <v/>
      </c>
      <c r="BL49" s="26">
        <f>BL45*Premissas!$F$11</f>
        <v/>
      </c>
      <c r="BM49" s="26">
        <f>BM45*Premissas!$F$11</f>
        <v/>
      </c>
      <c r="BN49" s="26">
        <f>BN45*Premissas!$F$11</f>
        <v/>
      </c>
      <c r="BO49" s="26">
        <f>BO45*Premissas!$F$11</f>
        <v/>
      </c>
      <c r="BP49" s="26">
        <f>BP45*Premissas!$F$11</f>
        <v/>
      </c>
      <c r="BQ49" s="26">
        <f>BQ45*Premissas!$F$11</f>
        <v/>
      </c>
      <c r="BR49" s="26">
        <f>BR45*Premissas!$F$11</f>
        <v/>
      </c>
      <c r="BS49" s="26">
        <f>BS45*Premissas!$F$11</f>
        <v/>
      </c>
      <c r="BT49" s="26">
        <f>BT45*Premissas!$F$11</f>
        <v/>
      </c>
      <c r="BU49" s="26">
        <f>BU45*Premissas!$F$11</f>
        <v/>
      </c>
      <c r="BV49" s="26">
        <f>BV45*Premissas!$F$11</f>
        <v/>
      </c>
      <c r="BW49" s="26">
        <f>BW45*Premissas!$F$11</f>
        <v/>
      </c>
      <c r="BX49" s="26">
        <f>BX45*Premissas!$F$11</f>
        <v/>
      </c>
      <c r="BY49" s="26">
        <f>BY45*Premissas!$F$11</f>
        <v/>
      </c>
      <c r="BZ49" s="26">
        <f>BZ45*Premissas!$F$11</f>
        <v/>
      </c>
      <c r="CA49" s="26">
        <f>CA45*Premissas!$F$11</f>
        <v/>
      </c>
      <c r="CB49" s="26">
        <f>CB45*Premissas!$F$11</f>
        <v/>
      </c>
      <c r="CC49" s="26">
        <f>CC45*Premissas!$F$11</f>
        <v/>
      </c>
      <c r="CD49" s="26">
        <f>CD45*Premissas!$F$11</f>
        <v/>
      </c>
      <c r="CE49" s="26">
        <f>CE45*Premissas!$F$11</f>
        <v/>
      </c>
      <c r="CF49" s="26">
        <f>CF45*Premissas!$F$11</f>
        <v/>
      </c>
      <c r="CG49" s="26">
        <f>CG45*Premissas!$F$11</f>
        <v/>
      </c>
      <c r="CH49" s="26">
        <f>CH45*Premissas!$F$11</f>
        <v/>
      </c>
    </row>
    <row r="50">
      <c r="A50" s="2" t="inlineStr">
        <is>
          <t>Receita líquida</t>
        </is>
      </c>
      <c r="C50" s="30">
        <f>C45-C48-C49</f>
        <v/>
      </c>
      <c r="D50" s="30">
        <f>D45-D48-D49</f>
        <v/>
      </c>
      <c r="E50" s="30">
        <f>E45-E48-E49</f>
        <v/>
      </c>
      <c r="F50" s="30">
        <f>F45-F48-F49</f>
        <v/>
      </c>
      <c r="G50" s="30">
        <f>G45-G48-G49</f>
        <v/>
      </c>
      <c r="H50" s="30">
        <f>H45-H48-H49</f>
        <v/>
      </c>
      <c r="I50" s="30">
        <f>I45-I48-I49</f>
        <v/>
      </c>
      <c r="J50" s="30">
        <f>J45-J48-J49</f>
        <v/>
      </c>
      <c r="K50" s="30">
        <f>K45-K48-K49</f>
        <v/>
      </c>
      <c r="L50" s="30">
        <f>L45-L48-L49</f>
        <v/>
      </c>
      <c r="M50" s="30">
        <f>M45-M48-M49</f>
        <v/>
      </c>
      <c r="N50" s="30">
        <f>N45-N48-N49</f>
        <v/>
      </c>
      <c r="O50" s="30">
        <f>O45-O48-O49</f>
        <v/>
      </c>
      <c r="P50" s="30">
        <f>P45-P48-P49</f>
        <v/>
      </c>
      <c r="Q50" s="30">
        <f>Q45-Q48-Q49</f>
        <v/>
      </c>
      <c r="R50" s="30">
        <f>R45-R48-R49</f>
        <v/>
      </c>
      <c r="S50" s="30">
        <f>S45-S48-S49</f>
        <v/>
      </c>
      <c r="T50" s="30">
        <f>T45-T48-T49</f>
        <v/>
      </c>
      <c r="U50" s="30">
        <f>U45-U48-U49</f>
        <v/>
      </c>
      <c r="V50" s="30">
        <f>V45-V48-V49</f>
        <v/>
      </c>
      <c r="W50" s="30">
        <f>W45-W48-W49</f>
        <v/>
      </c>
      <c r="X50" s="30">
        <f>X45-X48-X49</f>
        <v/>
      </c>
      <c r="Y50" s="30">
        <f>Y45-Y48-Y49</f>
        <v/>
      </c>
      <c r="Z50" s="30">
        <f>Z45-Z48-Z49</f>
        <v/>
      </c>
      <c r="AA50" s="30">
        <f>AA45-AA48-AA49</f>
        <v/>
      </c>
      <c r="AB50" s="30">
        <f>AB45-AB48-AB49</f>
        <v/>
      </c>
      <c r="AC50" s="30">
        <f>AC45-AC48-AC49</f>
        <v/>
      </c>
      <c r="AD50" s="30">
        <f>AD45-AD48-AD49</f>
        <v/>
      </c>
      <c r="AE50" s="30">
        <f>AE45-AE48-AE49</f>
        <v/>
      </c>
      <c r="AF50" s="30">
        <f>AF45-AF48-AF49</f>
        <v/>
      </c>
      <c r="AG50" s="30">
        <f>AG45-AG48-AG49</f>
        <v/>
      </c>
      <c r="AH50" s="30">
        <f>AH45-AH48-AH49</f>
        <v/>
      </c>
      <c r="AI50" s="30">
        <f>AI45-AI48-AI49</f>
        <v/>
      </c>
      <c r="AJ50" s="30">
        <f>AJ45-AJ48-AJ49</f>
        <v/>
      </c>
      <c r="AK50" s="30">
        <f>AK45-AK48-AK49</f>
        <v/>
      </c>
      <c r="AL50" s="30">
        <f>AL45-AL48-AL49</f>
        <v/>
      </c>
      <c r="AM50" s="30">
        <f>AM45-AM48-AM49</f>
        <v/>
      </c>
      <c r="AN50" s="30">
        <f>AN45-AN48-AN49</f>
        <v/>
      </c>
      <c r="AO50" s="30">
        <f>AO45-AO48-AO49</f>
        <v/>
      </c>
      <c r="AP50" s="30">
        <f>AP45-AP48-AP49</f>
        <v/>
      </c>
      <c r="AQ50" s="30">
        <f>AQ45-AQ48-AQ49</f>
        <v/>
      </c>
      <c r="AR50" s="30">
        <f>AR45-AR48-AR49</f>
        <v/>
      </c>
      <c r="AS50" s="30">
        <f>AS45-AS48-AS49</f>
        <v/>
      </c>
      <c r="AT50" s="30">
        <f>AT45-AT48-AT49</f>
        <v/>
      </c>
      <c r="AU50" s="30">
        <f>AU45-AU48-AU49</f>
        <v/>
      </c>
      <c r="AV50" s="30">
        <f>AV45-AV48-AV49</f>
        <v/>
      </c>
      <c r="AW50" s="30">
        <f>AW45-AW48-AW49</f>
        <v/>
      </c>
      <c r="AX50" s="30">
        <f>AX45-AX48-AX49</f>
        <v/>
      </c>
      <c r="AY50" s="30">
        <f>AY45-AY48-AY49</f>
        <v/>
      </c>
      <c r="AZ50" s="30">
        <f>AZ45-AZ48-AZ49</f>
        <v/>
      </c>
      <c r="BA50" s="30">
        <f>BA45-BA48-BA49</f>
        <v/>
      </c>
      <c r="BB50" s="30">
        <f>BB45-BB48-BB49</f>
        <v/>
      </c>
      <c r="BC50" s="30">
        <f>BC45-BC48-BC49</f>
        <v/>
      </c>
      <c r="BD50" s="30">
        <f>BD45-BD48-BD49</f>
        <v/>
      </c>
      <c r="BE50" s="30">
        <f>BE45-BE48-BE49</f>
        <v/>
      </c>
      <c r="BF50" s="30">
        <f>BF45-BF48-BF49</f>
        <v/>
      </c>
      <c r="BG50" s="30">
        <f>BG45-BG48-BG49</f>
        <v/>
      </c>
      <c r="BH50" s="30">
        <f>BH45-BH48-BH49</f>
        <v/>
      </c>
      <c r="BI50" s="30">
        <f>BI45-BI48-BI49</f>
        <v/>
      </c>
      <c r="BJ50" s="30">
        <f>BJ45-BJ48-BJ49</f>
        <v/>
      </c>
      <c r="BK50" s="30">
        <f>BK45-BK48-BK49</f>
        <v/>
      </c>
      <c r="BL50" s="30">
        <f>BL45-BL48-BL49</f>
        <v/>
      </c>
      <c r="BM50" s="30">
        <f>BM45-BM48-BM49</f>
        <v/>
      </c>
      <c r="BN50" s="30">
        <f>BN45-BN48-BN49</f>
        <v/>
      </c>
      <c r="BO50" s="30">
        <f>BO45-BO48-BO49</f>
        <v/>
      </c>
      <c r="BP50" s="30">
        <f>BP45-BP48-BP49</f>
        <v/>
      </c>
      <c r="BQ50" s="30">
        <f>BQ45-BQ48-BQ49</f>
        <v/>
      </c>
      <c r="BR50" s="30">
        <f>BR45-BR48-BR49</f>
        <v/>
      </c>
      <c r="BS50" s="30">
        <f>BS45-BS48-BS49</f>
        <v/>
      </c>
      <c r="BT50" s="30">
        <f>BT45-BT48-BT49</f>
        <v/>
      </c>
      <c r="BU50" s="30">
        <f>BU45-BU48-BU49</f>
        <v/>
      </c>
      <c r="BV50" s="30">
        <f>BV45-BV48-BV49</f>
        <v/>
      </c>
      <c r="BW50" s="30">
        <f>BW45-BW48-BW49</f>
        <v/>
      </c>
      <c r="BX50" s="30">
        <f>BX45-BX48-BX49</f>
        <v/>
      </c>
      <c r="BY50" s="30">
        <f>BY45-BY48-BY49</f>
        <v/>
      </c>
      <c r="BZ50" s="30">
        <f>BZ45-BZ48-BZ49</f>
        <v/>
      </c>
      <c r="CA50" s="30">
        <f>CA45-CA48-CA49</f>
        <v/>
      </c>
      <c r="CB50" s="30">
        <f>CB45-CB48-CB49</f>
        <v/>
      </c>
      <c r="CC50" s="30">
        <f>CC45-CC48-CC49</f>
        <v/>
      </c>
      <c r="CD50" s="30">
        <f>CD45-CD48-CD49</f>
        <v/>
      </c>
      <c r="CE50" s="30">
        <f>CE45-CE48-CE49</f>
        <v/>
      </c>
      <c r="CF50" s="30">
        <f>CF45-CF48-CF49</f>
        <v/>
      </c>
      <c r="CG50" s="30">
        <f>CG45-CG48-CG49</f>
        <v/>
      </c>
      <c r="CH50" s="30">
        <f>CH45-CH48-CH49</f>
        <v/>
      </c>
    </row>
    <row r="52">
      <c r="A52" s="4" t="inlineStr">
        <is>
          <t>Custo do serviço</t>
        </is>
      </c>
      <c r="B52" s="5" t="n"/>
    </row>
    <row r="53">
      <c r="A53" s="3" t="inlineStr">
        <is>
          <t>Custo direto (IA, ferramentas, hospedagem, implantação)</t>
        </is>
      </c>
      <c r="C53" s="26">
        <f>C18*Premissas!$F$49+C24*Premissas!$F$54+C30*Premissas!$F$59+C36*Premissas!$F$65+C12*Premissas!$F$105</f>
        <v/>
      </c>
      <c r="D53" s="26">
        <f>D18*Premissas!$F$49+D24*Premissas!$F$54+D30*Premissas!$F$59+D36*Premissas!$F$65+D12*Premissas!$F$105</f>
        <v/>
      </c>
      <c r="E53" s="26">
        <f>E18*Premissas!$F$49+E24*Premissas!$F$54+E30*Premissas!$F$59+E36*Premissas!$F$65+E12*Premissas!$F$105</f>
        <v/>
      </c>
      <c r="F53" s="26">
        <f>F18*Premissas!$F$49+F24*Premissas!$F$54+F30*Premissas!$F$59+F36*Premissas!$F$65+F12*Premissas!$F$105</f>
        <v/>
      </c>
      <c r="G53" s="26">
        <f>G18*Premissas!$F$49+G24*Premissas!$F$54+G30*Premissas!$F$59+G36*Premissas!$F$65+G12*Premissas!$F$105</f>
        <v/>
      </c>
      <c r="H53" s="26">
        <f>H18*Premissas!$F$49+H24*Premissas!$F$54+H30*Premissas!$F$59+H36*Premissas!$F$65+H12*Premissas!$F$105</f>
        <v/>
      </c>
      <c r="I53" s="26">
        <f>I18*Premissas!$F$49+I24*Premissas!$F$54+I30*Premissas!$F$59+I36*Premissas!$F$65+I12*Premissas!$F$105</f>
        <v/>
      </c>
      <c r="J53" s="26">
        <f>J18*Premissas!$F$49+J24*Premissas!$F$54+J30*Premissas!$F$59+J36*Premissas!$F$65+J12*Premissas!$F$105</f>
        <v/>
      </c>
      <c r="K53" s="26">
        <f>K18*Premissas!$F$49+K24*Premissas!$F$54+K30*Premissas!$F$59+K36*Premissas!$F$65+K12*Premissas!$F$105</f>
        <v/>
      </c>
      <c r="L53" s="26">
        <f>L18*Premissas!$F$49+L24*Premissas!$F$54+L30*Premissas!$F$59+L36*Premissas!$F$65+L12*Premissas!$F$105</f>
        <v/>
      </c>
      <c r="M53" s="26">
        <f>M18*Premissas!$F$49+M24*Premissas!$F$54+M30*Premissas!$F$59+M36*Premissas!$F$65+M12*Premissas!$F$105</f>
        <v/>
      </c>
      <c r="N53" s="26">
        <f>N18*Premissas!$F$49+N24*Premissas!$F$54+N30*Premissas!$F$59+N36*Premissas!$F$65+N12*Premissas!$F$105</f>
        <v/>
      </c>
      <c r="O53" s="26">
        <f>O18*Premissas!$F$49+O24*Premissas!$F$54+O30*Premissas!$F$59+O36*Premissas!$F$65+O12*Premissas!$F$105</f>
        <v/>
      </c>
      <c r="P53" s="26">
        <f>P18*Premissas!$F$49+P24*Premissas!$F$54+P30*Premissas!$F$59+P36*Premissas!$F$65+P12*Premissas!$F$105</f>
        <v/>
      </c>
      <c r="Q53" s="26">
        <f>Q18*Premissas!$F$49+Q24*Premissas!$F$54+Q30*Premissas!$F$59+Q36*Premissas!$F$65+Q12*Premissas!$F$105</f>
        <v/>
      </c>
      <c r="R53" s="26">
        <f>R18*Premissas!$F$49+R24*Premissas!$F$54+R30*Premissas!$F$59+R36*Premissas!$F$65+R12*Premissas!$F$105</f>
        <v/>
      </c>
      <c r="S53" s="26">
        <f>S18*Premissas!$F$49+S24*Premissas!$F$54+S30*Premissas!$F$59+S36*Premissas!$F$65+S12*Premissas!$F$105</f>
        <v/>
      </c>
      <c r="T53" s="26">
        <f>T18*Premissas!$F$49+T24*Premissas!$F$54+T30*Premissas!$F$59+T36*Premissas!$F$65+T12*Premissas!$F$105</f>
        <v/>
      </c>
      <c r="U53" s="26">
        <f>U18*Premissas!$F$49+U24*Premissas!$F$54+U30*Premissas!$F$59+U36*Premissas!$F$65+U12*Premissas!$F$105</f>
        <v/>
      </c>
      <c r="V53" s="26">
        <f>V18*Premissas!$F$49+V24*Premissas!$F$54+V30*Premissas!$F$59+V36*Premissas!$F$65+V12*Premissas!$F$105</f>
        <v/>
      </c>
      <c r="W53" s="26">
        <f>W18*Premissas!$F$49+W24*Premissas!$F$54+W30*Premissas!$F$59+W36*Premissas!$F$65+W12*Premissas!$F$105</f>
        <v/>
      </c>
      <c r="X53" s="26">
        <f>X18*Premissas!$F$49+X24*Premissas!$F$54+X30*Premissas!$F$59+X36*Premissas!$F$65+X12*Premissas!$F$105</f>
        <v/>
      </c>
      <c r="Y53" s="26">
        <f>Y18*Premissas!$F$49+Y24*Premissas!$F$54+Y30*Premissas!$F$59+Y36*Premissas!$F$65+Y12*Premissas!$F$105</f>
        <v/>
      </c>
      <c r="Z53" s="26">
        <f>Z18*Premissas!$F$49+Z24*Premissas!$F$54+Z30*Premissas!$F$59+Z36*Premissas!$F$65+Z12*Premissas!$F$105</f>
        <v/>
      </c>
      <c r="AA53" s="26">
        <f>AA18*Premissas!$F$49+AA24*Premissas!$F$54+AA30*Premissas!$F$59+AA36*Premissas!$F$65+AA12*Premissas!$F$105</f>
        <v/>
      </c>
      <c r="AB53" s="26">
        <f>AB18*Premissas!$F$49+AB24*Premissas!$F$54+AB30*Premissas!$F$59+AB36*Premissas!$F$65+AB12*Premissas!$F$105</f>
        <v/>
      </c>
      <c r="AC53" s="26">
        <f>AC18*Premissas!$F$49+AC24*Premissas!$F$54+AC30*Premissas!$F$59+AC36*Premissas!$F$65+AC12*Premissas!$F$105</f>
        <v/>
      </c>
      <c r="AD53" s="26">
        <f>AD18*Premissas!$F$49+AD24*Premissas!$F$54+AD30*Premissas!$F$59+AD36*Premissas!$F$65+AD12*Premissas!$F$105</f>
        <v/>
      </c>
      <c r="AE53" s="26">
        <f>AE18*Premissas!$F$49+AE24*Premissas!$F$54+AE30*Premissas!$F$59+AE36*Premissas!$F$65+AE12*Premissas!$F$105</f>
        <v/>
      </c>
      <c r="AF53" s="26">
        <f>AF18*Premissas!$F$49+AF24*Premissas!$F$54+AF30*Premissas!$F$59+AF36*Premissas!$F$65+AF12*Premissas!$F$105</f>
        <v/>
      </c>
      <c r="AG53" s="26">
        <f>AG18*Premissas!$F$49+AG24*Premissas!$F$54+AG30*Premissas!$F$59+AG36*Premissas!$F$65+AG12*Premissas!$F$105</f>
        <v/>
      </c>
      <c r="AH53" s="26">
        <f>AH18*Premissas!$F$49+AH24*Premissas!$F$54+AH30*Premissas!$F$59+AH36*Premissas!$F$65+AH12*Premissas!$F$105</f>
        <v/>
      </c>
      <c r="AI53" s="26">
        <f>AI18*Premissas!$F$49+AI24*Premissas!$F$54+AI30*Premissas!$F$59+AI36*Premissas!$F$65+AI12*Premissas!$F$105</f>
        <v/>
      </c>
      <c r="AJ53" s="26">
        <f>AJ18*Premissas!$F$49+AJ24*Premissas!$F$54+AJ30*Premissas!$F$59+AJ36*Premissas!$F$65+AJ12*Premissas!$F$105</f>
        <v/>
      </c>
      <c r="AK53" s="26">
        <f>AK18*Premissas!$F$49+AK24*Premissas!$F$54+AK30*Premissas!$F$59+AK36*Premissas!$F$65+AK12*Premissas!$F$105</f>
        <v/>
      </c>
      <c r="AL53" s="26">
        <f>AL18*Premissas!$F$49+AL24*Premissas!$F$54+AL30*Premissas!$F$59+AL36*Premissas!$F$65+AL12*Premissas!$F$105</f>
        <v/>
      </c>
      <c r="AM53" s="26">
        <f>AM18*Premissas!$F$49+AM24*Premissas!$F$54+AM30*Premissas!$F$59+AM36*Premissas!$F$65+AM12*Premissas!$F$105</f>
        <v/>
      </c>
      <c r="AN53" s="26">
        <f>AN18*Premissas!$F$49+AN24*Premissas!$F$54+AN30*Premissas!$F$59+AN36*Premissas!$F$65+AN12*Premissas!$F$105</f>
        <v/>
      </c>
      <c r="AO53" s="26">
        <f>AO18*Premissas!$F$49+AO24*Premissas!$F$54+AO30*Premissas!$F$59+AO36*Premissas!$F$65+AO12*Premissas!$F$105</f>
        <v/>
      </c>
      <c r="AP53" s="26">
        <f>AP18*Premissas!$F$49+AP24*Premissas!$F$54+AP30*Premissas!$F$59+AP36*Premissas!$F$65+AP12*Premissas!$F$105</f>
        <v/>
      </c>
      <c r="AQ53" s="26">
        <f>AQ18*Premissas!$F$49+AQ24*Premissas!$F$54+AQ30*Premissas!$F$59+AQ36*Premissas!$F$65+AQ12*Premissas!$F$105</f>
        <v/>
      </c>
      <c r="AR53" s="26">
        <f>AR18*Premissas!$F$49+AR24*Premissas!$F$54+AR30*Premissas!$F$59+AR36*Premissas!$F$65+AR12*Premissas!$F$105</f>
        <v/>
      </c>
      <c r="AS53" s="26">
        <f>AS18*Premissas!$F$49+AS24*Premissas!$F$54+AS30*Premissas!$F$59+AS36*Premissas!$F$65+AS12*Premissas!$F$105</f>
        <v/>
      </c>
      <c r="AT53" s="26">
        <f>AT18*Premissas!$F$49+AT24*Premissas!$F$54+AT30*Premissas!$F$59+AT36*Premissas!$F$65+AT12*Premissas!$F$105</f>
        <v/>
      </c>
      <c r="AU53" s="26">
        <f>AU18*Premissas!$F$49+AU24*Premissas!$F$54+AU30*Premissas!$F$59+AU36*Premissas!$F$65+AU12*Premissas!$F$105</f>
        <v/>
      </c>
      <c r="AV53" s="26">
        <f>AV18*Premissas!$F$49+AV24*Premissas!$F$54+AV30*Premissas!$F$59+AV36*Premissas!$F$65+AV12*Premissas!$F$105</f>
        <v/>
      </c>
      <c r="AW53" s="26">
        <f>AW18*Premissas!$F$49+AW24*Premissas!$F$54+AW30*Premissas!$F$59+AW36*Premissas!$F$65+AW12*Premissas!$F$105</f>
        <v/>
      </c>
      <c r="AX53" s="26">
        <f>AX18*Premissas!$F$49+AX24*Premissas!$F$54+AX30*Premissas!$F$59+AX36*Premissas!$F$65+AX12*Premissas!$F$105</f>
        <v/>
      </c>
      <c r="AY53" s="26">
        <f>AY18*Premissas!$F$49+AY24*Premissas!$F$54+AY30*Premissas!$F$59+AY36*Premissas!$F$65+AY12*Premissas!$F$105</f>
        <v/>
      </c>
      <c r="AZ53" s="26">
        <f>AZ18*Premissas!$F$49+AZ24*Premissas!$F$54+AZ30*Premissas!$F$59+AZ36*Premissas!$F$65+AZ12*Premissas!$F$105</f>
        <v/>
      </c>
      <c r="BA53" s="26">
        <f>BA18*Premissas!$F$49+BA24*Premissas!$F$54+BA30*Premissas!$F$59+BA36*Premissas!$F$65+BA12*Premissas!$F$105</f>
        <v/>
      </c>
      <c r="BB53" s="26">
        <f>BB18*Premissas!$F$49+BB24*Premissas!$F$54+BB30*Premissas!$F$59+BB36*Premissas!$F$65+BB12*Premissas!$F$105</f>
        <v/>
      </c>
      <c r="BC53" s="26">
        <f>BC18*Premissas!$F$49+BC24*Premissas!$F$54+BC30*Premissas!$F$59+BC36*Premissas!$F$65+BC12*Premissas!$F$105</f>
        <v/>
      </c>
      <c r="BD53" s="26">
        <f>BD18*Premissas!$F$49+BD24*Premissas!$F$54+BD30*Premissas!$F$59+BD36*Premissas!$F$65+BD12*Premissas!$F$105</f>
        <v/>
      </c>
      <c r="BE53" s="26">
        <f>BE18*Premissas!$F$49+BE24*Premissas!$F$54+BE30*Premissas!$F$59+BE36*Premissas!$F$65+BE12*Premissas!$F$105</f>
        <v/>
      </c>
      <c r="BF53" s="26">
        <f>BF18*Premissas!$F$49+BF24*Premissas!$F$54+BF30*Premissas!$F$59+BF36*Premissas!$F$65+BF12*Premissas!$F$105</f>
        <v/>
      </c>
      <c r="BG53" s="26">
        <f>BG18*Premissas!$F$49+BG24*Premissas!$F$54+BG30*Premissas!$F$59+BG36*Premissas!$F$65+BG12*Premissas!$F$105</f>
        <v/>
      </c>
      <c r="BH53" s="26">
        <f>BH18*Premissas!$F$49+BH24*Premissas!$F$54+BH30*Premissas!$F$59+BH36*Premissas!$F$65+BH12*Premissas!$F$105</f>
        <v/>
      </c>
      <c r="BI53" s="26">
        <f>BI18*Premissas!$F$49+BI24*Premissas!$F$54+BI30*Premissas!$F$59+BI36*Premissas!$F$65+BI12*Premissas!$F$105</f>
        <v/>
      </c>
      <c r="BJ53" s="26">
        <f>BJ18*Premissas!$F$49+BJ24*Premissas!$F$54+BJ30*Premissas!$F$59+BJ36*Premissas!$F$65+BJ12*Premissas!$F$105</f>
        <v/>
      </c>
      <c r="BK53" s="26">
        <f>BK18*Premissas!$F$49+BK24*Premissas!$F$54+BK30*Premissas!$F$59+BK36*Premissas!$F$65+BK12*Premissas!$F$105</f>
        <v/>
      </c>
      <c r="BL53" s="26">
        <f>BL18*Premissas!$F$49+BL24*Premissas!$F$54+BL30*Premissas!$F$59+BL36*Premissas!$F$65+BL12*Premissas!$F$105</f>
        <v/>
      </c>
      <c r="BM53" s="26">
        <f>BM18*Premissas!$F$49+BM24*Premissas!$F$54+BM30*Premissas!$F$59+BM36*Premissas!$F$65+BM12*Premissas!$F$105</f>
        <v/>
      </c>
      <c r="BN53" s="26">
        <f>BN18*Premissas!$F$49+BN24*Premissas!$F$54+BN30*Premissas!$F$59+BN36*Premissas!$F$65+BN12*Premissas!$F$105</f>
        <v/>
      </c>
      <c r="BO53" s="26">
        <f>BO18*Premissas!$F$49+BO24*Premissas!$F$54+BO30*Premissas!$F$59+BO36*Premissas!$F$65+BO12*Premissas!$F$105</f>
        <v/>
      </c>
      <c r="BP53" s="26">
        <f>BP18*Premissas!$F$49+BP24*Premissas!$F$54+BP30*Premissas!$F$59+BP36*Premissas!$F$65+BP12*Premissas!$F$105</f>
        <v/>
      </c>
      <c r="BQ53" s="26">
        <f>BQ18*Premissas!$F$49+BQ24*Premissas!$F$54+BQ30*Premissas!$F$59+BQ36*Premissas!$F$65+BQ12*Premissas!$F$105</f>
        <v/>
      </c>
      <c r="BR53" s="26">
        <f>BR18*Premissas!$F$49+BR24*Premissas!$F$54+BR30*Premissas!$F$59+BR36*Premissas!$F$65+BR12*Premissas!$F$105</f>
        <v/>
      </c>
      <c r="BS53" s="26">
        <f>BS18*Premissas!$F$49+BS24*Premissas!$F$54+BS30*Premissas!$F$59+BS36*Premissas!$F$65+BS12*Premissas!$F$105</f>
        <v/>
      </c>
      <c r="BT53" s="26">
        <f>BT18*Premissas!$F$49+BT24*Premissas!$F$54+BT30*Premissas!$F$59+BT36*Premissas!$F$65+BT12*Premissas!$F$105</f>
        <v/>
      </c>
      <c r="BU53" s="26">
        <f>BU18*Premissas!$F$49+BU24*Premissas!$F$54+BU30*Premissas!$F$59+BU36*Premissas!$F$65+BU12*Premissas!$F$105</f>
        <v/>
      </c>
      <c r="BV53" s="26">
        <f>BV18*Premissas!$F$49+BV24*Premissas!$F$54+BV30*Premissas!$F$59+BV36*Premissas!$F$65+BV12*Premissas!$F$105</f>
        <v/>
      </c>
      <c r="BW53" s="26">
        <f>BW18*Premissas!$F$49+BW24*Premissas!$F$54+BW30*Premissas!$F$59+BW36*Premissas!$F$65+BW12*Premissas!$F$105</f>
        <v/>
      </c>
      <c r="BX53" s="26">
        <f>BX18*Premissas!$F$49+BX24*Premissas!$F$54+BX30*Premissas!$F$59+BX36*Premissas!$F$65+BX12*Premissas!$F$105</f>
        <v/>
      </c>
      <c r="BY53" s="26">
        <f>BY18*Premissas!$F$49+BY24*Premissas!$F$54+BY30*Premissas!$F$59+BY36*Premissas!$F$65+BY12*Premissas!$F$105</f>
        <v/>
      </c>
      <c r="BZ53" s="26">
        <f>BZ18*Premissas!$F$49+BZ24*Premissas!$F$54+BZ30*Premissas!$F$59+BZ36*Premissas!$F$65+BZ12*Premissas!$F$105</f>
        <v/>
      </c>
      <c r="CA53" s="26">
        <f>CA18*Premissas!$F$49+CA24*Premissas!$F$54+CA30*Premissas!$F$59+CA36*Premissas!$F$65+CA12*Premissas!$F$105</f>
        <v/>
      </c>
      <c r="CB53" s="26">
        <f>CB18*Premissas!$F$49+CB24*Premissas!$F$54+CB30*Premissas!$F$59+CB36*Premissas!$F$65+CB12*Premissas!$F$105</f>
        <v/>
      </c>
      <c r="CC53" s="26">
        <f>CC18*Premissas!$F$49+CC24*Premissas!$F$54+CC30*Premissas!$F$59+CC36*Premissas!$F$65+CC12*Premissas!$F$105</f>
        <v/>
      </c>
      <c r="CD53" s="26">
        <f>CD18*Premissas!$F$49+CD24*Premissas!$F$54+CD30*Premissas!$F$59+CD36*Premissas!$F$65+CD12*Premissas!$F$105</f>
        <v/>
      </c>
      <c r="CE53" s="26">
        <f>CE18*Premissas!$F$49+CE24*Premissas!$F$54+CE30*Premissas!$F$59+CE36*Premissas!$F$65+CE12*Premissas!$F$105</f>
        <v/>
      </c>
      <c r="CF53" s="26">
        <f>CF18*Premissas!$F$49+CF24*Premissas!$F$54+CF30*Premissas!$F$59+CF36*Premissas!$F$65+CF12*Premissas!$F$105</f>
        <v/>
      </c>
      <c r="CG53" s="26">
        <f>CG18*Premissas!$F$49+CG24*Premissas!$F$54+CG30*Premissas!$F$59+CG36*Premissas!$F$65+CG12*Premissas!$F$105</f>
        <v/>
      </c>
      <c r="CH53" s="26">
        <f>CH18*Premissas!$F$49+CH24*Premissas!$F$54+CH30*Premissas!$F$59+CH36*Premissas!$F$65+CH12*Premissas!$F$105</f>
        <v/>
      </c>
    </row>
    <row r="54">
      <c r="A54" s="3" t="inlineStr">
        <is>
          <t>Especialistas humanos nas contas (pessoas)</t>
        </is>
      </c>
      <c r="C54" s="12">
        <f>C30/Premissas!$F$60+C36/Premissas!$F$66</f>
        <v/>
      </c>
      <c r="D54" s="12">
        <f>D30/Premissas!$F$60+D36/Premissas!$F$66</f>
        <v/>
      </c>
      <c r="E54" s="12">
        <f>E30/Premissas!$F$60+E36/Premissas!$F$66</f>
        <v/>
      </c>
      <c r="F54" s="12">
        <f>F30/Premissas!$F$60+F36/Premissas!$F$66</f>
        <v/>
      </c>
      <c r="G54" s="12">
        <f>G30/Premissas!$F$60+G36/Premissas!$F$66</f>
        <v/>
      </c>
      <c r="H54" s="12">
        <f>H30/Premissas!$F$60+H36/Premissas!$F$66</f>
        <v/>
      </c>
      <c r="I54" s="12">
        <f>I30/Premissas!$F$60+I36/Premissas!$F$66</f>
        <v/>
      </c>
      <c r="J54" s="12">
        <f>J30/Premissas!$F$60+J36/Premissas!$F$66</f>
        <v/>
      </c>
      <c r="K54" s="12">
        <f>K30/Premissas!$F$60+K36/Premissas!$F$66</f>
        <v/>
      </c>
      <c r="L54" s="12">
        <f>L30/Premissas!$F$60+L36/Premissas!$F$66</f>
        <v/>
      </c>
      <c r="M54" s="12">
        <f>M30/Premissas!$F$60+M36/Premissas!$F$66</f>
        <v/>
      </c>
      <c r="N54" s="12">
        <f>N30/Premissas!$F$60+N36/Premissas!$F$66</f>
        <v/>
      </c>
      <c r="O54" s="12">
        <f>O30/Premissas!$F$60+O36/Premissas!$F$66</f>
        <v/>
      </c>
      <c r="P54" s="12">
        <f>P30/Premissas!$F$60+P36/Premissas!$F$66</f>
        <v/>
      </c>
      <c r="Q54" s="12">
        <f>Q30/Premissas!$F$60+Q36/Premissas!$F$66</f>
        <v/>
      </c>
      <c r="R54" s="12">
        <f>R30/Premissas!$F$60+R36/Premissas!$F$66</f>
        <v/>
      </c>
      <c r="S54" s="12">
        <f>S30/Premissas!$F$60+S36/Premissas!$F$66</f>
        <v/>
      </c>
      <c r="T54" s="12">
        <f>T30/Premissas!$F$60+T36/Premissas!$F$66</f>
        <v/>
      </c>
      <c r="U54" s="12">
        <f>U30/Premissas!$F$60+U36/Premissas!$F$66</f>
        <v/>
      </c>
      <c r="V54" s="12">
        <f>V30/Premissas!$F$60+V36/Premissas!$F$66</f>
        <v/>
      </c>
      <c r="W54" s="12">
        <f>W30/Premissas!$F$60+W36/Premissas!$F$66</f>
        <v/>
      </c>
      <c r="X54" s="12">
        <f>X30/Premissas!$F$60+X36/Premissas!$F$66</f>
        <v/>
      </c>
      <c r="Y54" s="12">
        <f>Y30/Premissas!$F$60+Y36/Premissas!$F$66</f>
        <v/>
      </c>
      <c r="Z54" s="12">
        <f>Z30/Premissas!$F$60+Z36/Premissas!$F$66</f>
        <v/>
      </c>
      <c r="AA54" s="12">
        <f>AA30/Premissas!$F$60+AA36/Premissas!$F$66</f>
        <v/>
      </c>
      <c r="AB54" s="12">
        <f>AB30/Premissas!$F$60+AB36/Premissas!$F$66</f>
        <v/>
      </c>
      <c r="AC54" s="12">
        <f>AC30/Premissas!$F$60+AC36/Premissas!$F$66</f>
        <v/>
      </c>
      <c r="AD54" s="12">
        <f>AD30/Premissas!$F$60+AD36/Premissas!$F$66</f>
        <v/>
      </c>
      <c r="AE54" s="12">
        <f>AE30/Premissas!$F$60+AE36/Premissas!$F$66</f>
        <v/>
      </c>
      <c r="AF54" s="12">
        <f>AF30/Premissas!$F$60+AF36/Premissas!$F$66</f>
        <v/>
      </c>
      <c r="AG54" s="12">
        <f>AG30/Premissas!$F$60+AG36/Premissas!$F$66</f>
        <v/>
      </c>
      <c r="AH54" s="12">
        <f>AH30/Premissas!$F$60+AH36/Premissas!$F$66</f>
        <v/>
      </c>
      <c r="AI54" s="12">
        <f>AI30/Premissas!$F$60+AI36/Premissas!$F$66</f>
        <v/>
      </c>
      <c r="AJ54" s="12">
        <f>AJ30/Premissas!$F$60+AJ36/Premissas!$F$66</f>
        <v/>
      </c>
      <c r="AK54" s="12">
        <f>AK30/Premissas!$F$60+AK36/Premissas!$F$66</f>
        <v/>
      </c>
      <c r="AL54" s="12">
        <f>AL30/Premissas!$F$60+AL36/Premissas!$F$66</f>
        <v/>
      </c>
      <c r="AM54" s="12">
        <f>AM30/Premissas!$F$60+AM36/Premissas!$F$66</f>
        <v/>
      </c>
      <c r="AN54" s="12">
        <f>AN30/Premissas!$F$60+AN36/Premissas!$F$66</f>
        <v/>
      </c>
      <c r="AO54" s="12">
        <f>AO30/Premissas!$F$60+AO36/Premissas!$F$66</f>
        <v/>
      </c>
      <c r="AP54" s="12">
        <f>AP30/Premissas!$F$60+AP36/Premissas!$F$66</f>
        <v/>
      </c>
      <c r="AQ54" s="12">
        <f>AQ30/Premissas!$F$60+AQ36/Premissas!$F$66</f>
        <v/>
      </c>
      <c r="AR54" s="12">
        <f>AR30/Premissas!$F$60+AR36/Premissas!$F$66</f>
        <v/>
      </c>
      <c r="AS54" s="12">
        <f>AS30/Premissas!$F$60+AS36/Premissas!$F$66</f>
        <v/>
      </c>
      <c r="AT54" s="12">
        <f>AT30/Premissas!$F$60+AT36/Premissas!$F$66</f>
        <v/>
      </c>
      <c r="AU54" s="12">
        <f>AU30/Premissas!$F$60+AU36/Premissas!$F$66</f>
        <v/>
      </c>
      <c r="AV54" s="12">
        <f>AV30/Premissas!$F$60+AV36/Premissas!$F$66</f>
        <v/>
      </c>
      <c r="AW54" s="12">
        <f>AW30/Premissas!$F$60+AW36/Premissas!$F$66</f>
        <v/>
      </c>
      <c r="AX54" s="12">
        <f>AX30/Premissas!$F$60+AX36/Premissas!$F$66</f>
        <v/>
      </c>
      <c r="AY54" s="12">
        <f>AY30/Premissas!$F$60+AY36/Premissas!$F$66</f>
        <v/>
      </c>
      <c r="AZ54" s="12">
        <f>AZ30/Premissas!$F$60+AZ36/Premissas!$F$66</f>
        <v/>
      </c>
      <c r="BA54" s="12">
        <f>BA30/Premissas!$F$60+BA36/Premissas!$F$66</f>
        <v/>
      </c>
      <c r="BB54" s="12">
        <f>BB30/Premissas!$F$60+BB36/Premissas!$F$66</f>
        <v/>
      </c>
      <c r="BC54" s="12">
        <f>BC30/Premissas!$F$60+BC36/Premissas!$F$66</f>
        <v/>
      </c>
      <c r="BD54" s="12">
        <f>BD30/Premissas!$F$60+BD36/Premissas!$F$66</f>
        <v/>
      </c>
      <c r="BE54" s="12">
        <f>BE30/Premissas!$F$60+BE36/Premissas!$F$66</f>
        <v/>
      </c>
      <c r="BF54" s="12">
        <f>BF30/Premissas!$F$60+BF36/Premissas!$F$66</f>
        <v/>
      </c>
      <c r="BG54" s="12">
        <f>BG30/Premissas!$F$60+BG36/Premissas!$F$66</f>
        <v/>
      </c>
      <c r="BH54" s="12">
        <f>BH30/Premissas!$F$60+BH36/Premissas!$F$66</f>
        <v/>
      </c>
      <c r="BI54" s="12">
        <f>BI30/Premissas!$F$60+BI36/Premissas!$F$66</f>
        <v/>
      </c>
      <c r="BJ54" s="12">
        <f>BJ30/Premissas!$F$60+BJ36/Premissas!$F$66</f>
        <v/>
      </c>
      <c r="BK54" s="12">
        <f>BK30/Premissas!$F$60+BK36/Premissas!$F$66</f>
        <v/>
      </c>
      <c r="BL54" s="12">
        <f>BL30/Premissas!$F$60+BL36/Premissas!$F$66</f>
        <v/>
      </c>
      <c r="BM54" s="12">
        <f>BM30/Premissas!$F$60+BM36/Premissas!$F$66</f>
        <v/>
      </c>
      <c r="BN54" s="12">
        <f>BN30/Premissas!$F$60+BN36/Premissas!$F$66</f>
        <v/>
      </c>
      <c r="BO54" s="12">
        <f>BO30/Premissas!$F$60+BO36/Premissas!$F$66</f>
        <v/>
      </c>
      <c r="BP54" s="12">
        <f>BP30/Premissas!$F$60+BP36/Premissas!$F$66</f>
        <v/>
      </c>
      <c r="BQ54" s="12">
        <f>BQ30/Premissas!$F$60+BQ36/Premissas!$F$66</f>
        <v/>
      </c>
      <c r="BR54" s="12">
        <f>BR30/Premissas!$F$60+BR36/Premissas!$F$66</f>
        <v/>
      </c>
      <c r="BS54" s="12">
        <f>BS30/Premissas!$F$60+BS36/Premissas!$F$66</f>
        <v/>
      </c>
      <c r="BT54" s="12">
        <f>BT30/Premissas!$F$60+BT36/Premissas!$F$66</f>
        <v/>
      </c>
      <c r="BU54" s="12">
        <f>BU30/Premissas!$F$60+BU36/Premissas!$F$66</f>
        <v/>
      </c>
      <c r="BV54" s="12">
        <f>BV30/Premissas!$F$60+BV36/Premissas!$F$66</f>
        <v/>
      </c>
      <c r="BW54" s="12">
        <f>BW30/Premissas!$F$60+BW36/Premissas!$F$66</f>
        <v/>
      </c>
      <c r="BX54" s="12">
        <f>BX30/Premissas!$F$60+BX36/Premissas!$F$66</f>
        <v/>
      </c>
      <c r="BY54" s="12">
        <f>BY30/Premissas!$F$60+BY36/Premissas!$F$66</f>
        <v/>
      </c>
      <c r="BZ54" s="12">
        <f>BZ30/Premissas!$F$60+BZ36/Premissas!$F$66</f>
        <v/>
      </c>
      <c r="CA54" s="12">
        <f>CA30/Premissas!$F$60+CA36/Premissas!$F$66</f>
        <v/>
      </c>
      <c r="CB54" s="12">
        <f>CB30/Premissas!$F$60+CB36/Premissas!$F$66</f>
        <v/>
      </c>
      <c r="CC54" s="12">
        <f>CC30/Premissas!$F$60+CC36/Premissas!$F$66</f>
        <v/>
      </c>
      <c r="CD54" s="12">
        <f>CD30/Premissas!$F$60+CD36/Premissas!$F$66</f>
        <v/>
      </c>
      <c r="CE54" s="12">
        <f>CE30/Premissas!$F$60+CE36/Premissas!$F$66</f>
        <v/>
      </c>
      <c r="CF54" s="12">
        <f>CF30/Premissas!$F$60+CF36/Premissas!$F$66</f>
        <v/>
      </c>
      <c r="CG54" s="12">
        <f>CG30/Premissas!$F$60+CG36/Premissas!$F$66</f>
        <v/>
      </c>
      <c r="CH54" s="12">
        <f>CH30/Premissas!$F$60+CH36/Premissas!$F$66</f>
        <v/>
      </c>
    </row>
    <row r="55">
      <c r="A55" s="3" t="inlineStr">
        <is>
          <t>Custo dos especialistas</t>
        </is>
      </c>
      <c r="C55" s="26">
        <f>C54*Premissas!$F$44</f>
        <v/>
      </c>
      <c r="D55" s="26">
        <f>D54*Premissas!$F$44</f>
        <v/>
      </c>
      <c r="E55" s="26">
        <f>E54*Premissas!$F$44</f>
        <v/>
      </c>
      <c r="F55" s="26">
        <f>F54*Premissas!$F$44</f>
        <v/>
      </c>
      <c r="G55" s="26">
        <f>G54*Premissas!$F$44</f>
        <v/>
      </c>
      <c r="H55" s="26">
        <f>H54*Premissas!$F$44</f>
        <v/>
      </c>
      <c r="I55" s="26">
        <f>I54*Premissas!$F$44</f>
        <v/>
      </c>
      <c r="J55" s="26">
        <f>J54*Premissas!$F$44</f>
        <v/>
      </c>
      <c r="K55" s="26">
        <f>K54*Premissas!$F$44</f>
        <v/>
      </c>
      <c r="L55" s="26">
        <f>L54*Premissas!$F$44</f>
        <v/>
      </c>
      <c r="M55" s="26">
        <f>M54*Premissas!$F$44</f>
        <v/>
      </c>
      <c r="N55" s="26">
        <f>N54*Premissas!$F$44</f>
        <v/>
      </c>
      <c r="O55" s="26">
        <f>O54*Premissas!$F$44</f>
        <v/>
      </c>
      <c r="P55" s="26">
        <f>P54*Premissas!$F$44</f>
        <v/>
      </c>
      <c r="Q55" s="26">
        <f>Q54*Premissas!$F$44</f>
        <v/>
      </c>
      <c r="R55" s="26">
        <f>R54*Premissas!$F$44</f>
        <v/>
      </c>
      <c r="S55" s="26">
        <f>S54*Premissas!$F$44</f>
        <v/>
      </c>
      <c r="T55" s="26">
        <f>T54*Premissas!$F$44</f>
        <v/>
      </c>
      <c r="U55" s="26">
        <f>U54*Premissas!$F$44</f>
        <v/>
      </c>
      <c r="V55" s="26">
        <f>V54*Premissas!$F$44</f>
        <v/>
      </c>
      <c r="W55" s="26">
        <f>W54*Premissas!$F$44</f>
        <v/>
      </c>
      <c r="X55" s="26">
        <f>X54*Premissas!$F$44</f>
        <v/>
      </c>
      <c r="Y55" s="26">
        <f>Y54*Premissas!$F$44</f>
        <v/>
      </c>
      <c r="Z55" s="26">
        <f>Z54*Premissas!$F$44</f>
        <v/>
      </c>
      <c r="AA55" s="26">
        <f>AA54*Premissas!$F$44</f>
        <v/>
      </c>
      <c r="AB55" s="26">
        <f>AB54*Premissas!$F$44</f>
        <v/>
      </c>
      <c r="AC55" s="26">
        <f>AC54*Premissas!$F$44</f>
        <v/>
      </c>
      <c r="AD55" s="26">
        <f>AD54*Premissas!$F$44</f>
        <v/>
      </c>
      <c r="AE55" s="26">
        <f>AE54*Premissas!$F$44</f>
        <v/>
      </c>
      <c r="AF55" s="26">
        <f>AF54*Premissas!$F$44</f>
        <v/>
      </c>
      <c r="AG55" s="26">
        <f>AG54*Premissas!$F$44</f>
        <v/>
      </c>
      <c r="AH55" s="26">
        <f>AH54*Premissas!$F$44</f>
        <v/>
      </c>
      <c r="AI55" s="26">
        <f>AI54*Premissas!$F$44</f>
        <v/>
      </c>
      <c r="AJ55" s="26">
        <f>AJ54*Premissas!$F$44</f>
        <v/>
      </c>
      <c r="AK55" s="26">
        <f>AK54*Premissas!$F$44</f>
        <v/>
      </c>
      <c r="AL55" s="26">
        <f>AL54*Premissas!$F$44</f>
        <v/>
      </c>
      <c r="AM55" s="26">
        <f>AM54*Premissas!$F$44</f>
        <v/>
      </c>
      <c r="AN55" s="26">
        <f>AN54*Premissas!$F$44</f>
        <v/>
      </c>
      <c r="AO55" s="26">
        <f>AO54*Premissas!$F$44</f>
        <v/>
      </c>
      <c r="AP55" s="26">
        <f>AP54*Premissas!$F$44</f>
        <v/>
      </c>
      <c r="AQ55" s="26">
        <f>AQ54*Premissas!$F$44</f>
        <v/>
      </c>
      <c r="AR55" s="26">
        <f>AR54*Premissas!$F$44</f>
        <v/>
      </c>
      <c r="AS55" s="26">
        <f>AS54*Premissas!$F$44</f>
        <v/>
      </c>
      <c r="AT55" s="26">
        <f>AT54*Premissas!$F$44</f>
        <v/>
      </c>
      <c r="AU55" s="26">
        <f>AU54*Premissas!$F$44</f>
        <v/>
      </c>
      <c r="AV55" s="26">
        <f>AV54*Premissas!$F$44</f>
        <v/>
      </c>
      <c r="AW55" s="26">
        <f>AW54*Premissas!$F$44</f>
        <v/>
      </c>
      <c r="AX55" s="26">
        <f>AX54*Premissas!$F$44</f>
        <v/>
      </c>
      <c r="AY55" s="26">
        <f>AY54*Premissas!$F$44</f>
        <v/>
      </c>
      <c r="AZ55" s="26">
        <f>AZ54*Premissas!$F$44</f>
        <v/>
      </c>
      <c r="BA55" s="26">
        <f>BA54*Premissas!$F$44</f>
        <v/>
      </c>
      <c r="BB55" s="26">
        <f>BB54*Premissas!$F$44</f>
        <v/>
      </c>
      <c r="BC55" s="26">
        <f>BC54*Premissas!$F$44</f>
        <v/>
      </c>
      <c r="BD55" s="26">
        <f>BD54*Premissas!$F$44</f>
        <v/>
      </c>
      <c r="BE55" s="26">
        <f>BE54*Premissas!$F$44</f>
        <v/>
      </c>
      <c r="BF55" s="26">
        <f>BF54*Premissas!$F$44</f>
        <v/>
      </c>
      <c r="BG55" s="26">
        <f>BG54*Premissas!$F$44</f>
        <v/>
      </c>
      <c r="BH55" s="26">
        <f>BH54*Premissas!$F$44</f>
        <v/>
      </c>
      <c r="BI55" s="26">
        <f>BI54*Premissas!$F$44</f>
        <v/>
      </c>
      <c r="BJ55" s="26">
        <f>BJ54*Premissas!$F$44</f>
        <v/>
      </c>
      <c r="BK55" s="26">
        <f>BK54*Premissas!$F$44</f>
        <v/>
      </c>
      <c r="BL55" s="26">
        <f>BL54*Premissas!$F$44</f>
        <v/>
      </c>
      <c r="BM55" s="26">
        <f>BM54*Premissas!$F$44</f>
        <v/>
      </c>
      <c r="BN55" s="26">
        <f>BN54*Premissas!$F$44</f>
        <v/>
      </c>
      <c r="BO55" s="26">
        <f>BO54*Premissas!$F$44</f>
        <v/>
      </c>
      <c r="BP55" s="26">
        <f>BP54*Premissas!$F$44</f>
        <v/>
      </c>
      <c r="BQ55" s="26">
        <f>BQ54*Premissas!$F$44</f>
        <v/>
      </c>
      <c r="BR55" s="26">
        <f>BR54*Premissas!$F$44</f>
        <v/>
      </c>
      <c r="BS55" s="26">
        <f>BS54*Premissas!$F$44</f>
        <v/>
      </c>
      <c r="BT55" s="26">
        <f>BT54*Premissas!$F$44</f>
        <v/>
      </c>
      <c r="BU55" s="26">
        <f>BU54*Premissas!$F$44</f>
        <v/>
      </c>
      <c r="BV55" s="26">
        <f>BV54*Premissas!$F$44</f>
        <v/>
      </c>
      <c r="BW55" s="26">
        <f>BW54*Premissas!$F$44</f>
        <v/>
      </c>
      <c r="BX55" s="26">
        <f>BX54*Premissas!$F$44</f>
        <v/>
      </c>
      <c r="BY55" s="26">
        <f>BY54*Premissas!$F$44</f>
        <v/>
      </c>
      <c r="BZ55" s="26">
        <f>BZ54*Premissas!$F$44</f>
        <v/>
      </c>
      <c r="CA55" s="26">
        <f>CA54*Premissas!$F$44</f>
        <v/>
      </c>
      <c r="CB55" s="26">
        <f>CB54*Premissas!$F$44</f>
        <v/>
      </c>
      <c r="CC55" s="26">
        <f>CC54*Premissas!$F$44</f>
        <v/>
      </c>
      <c r="CD55" s="26">
        <f>CD54*Premissas!$F$44</f>
        <v/>
      </c>
      <c r="CE55" s="26">
        <f>CE54*Premissas!$F$44</f>
        <v/>
      </c>
      <c r="CF55" s="26">
        <f>CF54*Premissas!$F$44</f>
        <v/>
      </c>
      <c r="CG55" s="26">
        <f>CG54*Premissas!$F$44</f>
        <v/>
      </c>
      <c r="CH55" s="26">
        <f>CH54*Premissas!$F$44</f>
        <v/>
      </c>
    </row>
    <row r="56">
      <c r="A56" s="2" t="inlineStr">
        <is>
          <t>Custo do serviço total</t>
        </is>
      </c>
      <c r="C56" s="30">
        <f>C53+C55</f>
        <v/>
      </c>
      <c r="D56" s="30">
        <f>D53+D55</f>
        <v/>
      </c>
      <c r="E56" s="30">
        <f>E53+E55</f>
        <v/>
      </c>
      <c r="F56" s="30">
        <f>F53+F55</f>
        <v/>
      </c>
      <c r="G56" s="30">
        <f>G53+G55</f>
        <v/>
      </c>
      <c r="H56" s="30">
        <f>H53+H55</f>
        <v/>
      </c>
      <c r="I56" s="30">
        <f>I53+I55</f>
        <v/>
      </c>
      <c r="J56" s="30">
        <f>J53+J55</f>
        <v/>
      </c>
      <c r="K56" s="30">
        <f>K53+K55</f>
        <v/>
      </c>
      <c r="L56" s="30">
        <f>L53+L55</f>
        <v/>
      </c>
      <c r="M56" s="30">
        <f>M53+M55</f>
        <v/>
      </c>
      <c r="N56" s="30">
        <f>N53+N55</f>
        <v/>
      </c>
      <c r="O56" s="30">
        <f>O53+O55</f>
        <v/>
      </c>
      <c r="P56" s="30">
        <f>P53+P55</f>
        <v/>
      </c>
      <c r="Q56" s="30">
        <f>Q53+Q55</f>
        <v/>
      </c>
      <c r="R56" s="30">
        <f>R53+R55</f>
        <v/>
      </c>
      <c r="S56" s="30">
        <f>S53+S55</f>
        <v/>
      </c>
      <c r="T56" s="30">
        <f>T53+T55</f>
        <v/>
      </c>
      <c r="U56" s="30">
        <f>U53+U55</f>
        <v/>
      </c>
      <c r="V56" s="30">
        <f>V53+V55</f>
        <v/>
      </c>
      <c r="W56" s="30">
        <f>W53+W55</f>
        <v/>
      </c>
      <c r="X56" s="30">
        <f>X53+X55</f>
        <v/>
      </c>
      <c r="Y56" s="30">
        <f>Y53+Y55</f>
        <v/>
      </c>
      <c r="Z56" s="30">
        <f>Z53+Z55</f>
        <v/>
      </c>
      <c r="AA56" s="30">
        <f>AA53+AA55</f>
        <v/>
      </c>
      <c r="AB56" s="30">
        <f>AB53+AB55</f>
        <v/>
      </c>
      <c r="AC56" s="30">
        <f>AC53+AC55</f>
        <v/>
      </c>
      <c r="AD56" s="30">
        <f>AD53+AD55</f>
        <v/>
      </c>
      <c r="AE56" s="30">
        <f>AE53+AE55</f>
        <v/>
      </c>
      <c r="AF56" s="30">
        <f>AF53+AF55</f>
        <v/>
      </c>
      <c r="AG56" s="30">
        <f>AG53+AG55</f>
        <v/>
      </c>
      <c r="AH56" s="30">
        <f>AH53+AH55</f>
        <v/>
      </c>
      <c r="AI56" s="30">
        <f>AI53+AI55</f>
        <v/>
      </c>
      <c r="AJ56" s="30">
        <f>AJ53+AJ55</f>
        <v/>
      </c>
      <c r="AK56" s="30">
        <f>AK53+AK55</f>
        <v/>
      </c>
      <c r="AL56" s="30">
        <f>AL53+AL55</f>
        <v/>
      </c>
      <c r="AM56" s="30">
        <f>AM53+AM55</f>
        <v/>
      </c>
      <c r="AN56" s="30">
        <f>AN53+AN55</f>
        <v/>
      </c>
      <c r="AO56" s="30">
        <f>AO53+AO55</f>
        <v/>
      </c>
      <c r="AP56" s="30">
        <f>AP53+AP55</f>
        <v/>
      </c>
      <c r="AQ56" s="30">
        <f>AQ53+AQ55</f>
        <v/>
      </c>
      <c r="AR56" s="30">
        <f>AR53+AR55</f>
        <v/>
      </c>
      <c r="AS56" s="30">
        <f>AS53+AS55</f>
        <v/>
      </c>
      <c r="AT56" s="30">
        <f>AT53+AT55</f>
        <v/>
      </c>
      <c r="AU56" s="30">
        <f>AU53+AU55</f>
        <v/>
      </c>
      <c r="AV56" s="30">
        <f>AV53+AV55</f>
        <v/>
      </c>
      <c r="AW56" s="30">
        <f>AW53+AW55</f>
        <v/>
      </c>
      <c r="AX56" s="30">
        <f>AX53+AX55</f>
        <v/>
      </c>
      <c r="AY56" s="30">
        <f>AY53+AY55</f>
        <v/>
      </c>
      <c r="AZ56" s="30">
        <f>AZ53+AZ55</f>
        <v/>
      </c>
      <c r="BA56" s="30">
        <f>BA53+BA55</f>
        <v/>
      </c>
      <c r="BB56" s="30">
        <f>BB53+BB55</f>
        <v/>
      </c>
      <c r="BC56" s="30">
        <f>BC53+BC55</f>
        <v/>
      </c>
      <c r="BD56" s="30">
        <f>BD53+BD55</f>
        <v/>
      </c>
      <c r="BE56" s="30">
        <f>BE53+BE55</f>
        <v/>
      </c>
      <c r="BF56" s="30">
        <f>BF53+BF55</f>
        <v/>
      </c>
      <c r="BG56" s="30">
        <f>BG53+BG55</f>
        <v/>
      </c>
      <c r="BH56" s="30">
        <f>BH53+BH55</f>
        <v/>
      </c>
      <c r="BI56" s="30">
        <f>BI53+BI55</f>
        <v/>
      </c>
      <c r="BJ56" s="30">
        <f>BJ53+BJ55</f>
        <v/>
      </c>
      <c r="BK56" s="30">
        <f>BK53+BK55</f>
        <v/>
      </c>
      <c r="BL56" s="30">
        <f>BL53+BL55</f>
        <v/>
      </c>
      <c r="BM56" s="30">
        <f>BM53+BM55</f>
        <v/>
      </c>
      <c r="BN56" s="30">
        <f>BN53+BN55</f>
        <v/>
      </c>
      <c r="BO56" s="30">
        <f>BO53+BO55</f>
        <v/>
      </c>
      <c r="BP56" s="30">
        <f>BP53+BP55</f>
        <v/>
      </c>
      <c r="BQ56" s="30">
        <f>BQ53+BQ55</f>
        <v/>
      </c>
      <c r="BR56" s="30">
        <f>BR53+BR55</f>
        <v/>
      </c>
      <c r="BS56" s="30">
        <f>BS53+BS55</f>
        <v/>
      </c>
      <c r="BT56" s="30">
        <f>BT53+BT55</f>
        <v/>
      </c>
      <c r="BU56" s="30">
        <f>BU53+BU55</f>
        <v/>
      </c>
      <c r="BV56" s="30">
        <f>BV53+BV55</f>
        <v/>
      </c>
      <c r="BW56" s="30">
        <f>BW53+BW55</f>
        <v/>
      </c>
      <c r="BX56" s="30">
        <f>BX53+BX55</f>
        <v/>
      </c>
      <c r="BY56" s="30">
        <f>BY53+BY55</f>
        <v/>
      </c>
      <c r="BZ56" s="30">
        <f>BZ53+BZ55</f>
        <v/>
      </c>
      <c r="CA56" s="30">
        <f>CA53+CA55</f>
        <v/>
      </c>
      <c r="CB56" s="30">
        <f>CB53+CB55</f>
        <v/>
      </c>
      <c r="CC56" s="30">
        <f>CC53+CC55</f>
        <v/>
      </c>
      <c r="CD56" s="30">
        <f>CD53+CD55</f>
        <v/>
      </c>
      <c r="CE56" s="30">
        <f>CE53+CE55</f>
        <v/>
      </c>
      <c r="CF56" s="30">
        <f>CF53+CF55</f>
        <v/>
      </c>
      <c r="CG56" s="30">
        <f>CG53+CG55</f>
        <v/>
      </c>
      <c r="CH56" s="30">
        <f>CH53+CH55</f>
        <v/>
      </c>
    </row>
    <row r="57">
      <c r="A57" s="2" t="inlineStr">
        <is>
          <t>Lucro bruto</t>
        </is>
      </c>
      <c r="C57" s="30">
        <f>C50-C56</f>
        <v/>
      </c>
      <c r="D57" s="30">
        <f>D50-D56</f>
        <v/>
      </c>
      <c r="E57" s="30">
        <f>E50-E56</f>
        <v/>
      </c>
      <c r="F57" s="30">
        <f>F50-F56</f>
        <v/>
      </c>
      <c r="G57" s="30">
        <f>G50-G56</f>
        <v/>
      </c>
      <c r="H57" s="30">
        <f>H50-H56</f>
        <v/>
      </c>
      <c r="I57" s="30">
        <f>I50-I56</f>
        <v/>
      </c>
      <c r="J57" s="30">
        <f>J50-J56</f>
        <v/>
      </c>
      <c r="K57" s="30">
        <f>K50-K56</f>
        <v/>
      </c>
      <c r="L57" s="30">
        <f>L50-L56</f>
        <v/>
      </c>
      <c r="M57" s="30">
        <f>M50-M56</f>
        <v/>
      </c>
      <c r="N57" s="30">
        <f>N50-N56</f>
        <v/>
      </c>
      <c r="O57" s="30">
        <f>O50-O56</f>
        <v/>
      </c>
      <c r="P57" s="30">
        <f>P50-P56</f>
        <v/>
      </c>
      <c r="Q57" s="30">
        <f>Q50-Q56</f>
        <v/>
      </c>
      <c r="R57" s="30">
        <f>R50-R56</f>
        <v/>
      </c>
      <c r="S57" s="30">
        <f>S50-S56</f>
        <v/>
      </c>
      <c r="T57" s="30">
        <f>T50-T56</f>
        <v/>
      </c>
      <c r="U57" s="30">
        <f>U50-U56</f>
        <v/>
      </c>
      <c r="V57" s="30">
        <f>V50-V56</f>
        <v/>
      </c>
      <c r="W57" s="30">
        <f>W50-W56</f>
        <v/>
      </c>
      <c r="X57" s="30">
        <f>X50-X56</f>
        <v/>
      </c>
      <c r="Y57" s="30">
        <f>Y50-Y56</f>
        <v/>
      </c>
      <c r="Z57" s="30">
        <f>Z50-Z56</f>
        <v/>
      </c>
      <c r="AA57" s="30">
        <f>AA50-AA56</f>
        <v/>
      </c>
      <c r="AB57" s="30">
        <f>AB50-AB56</f>
        <v/>
      </c>
      <c r="AC57" s="30">
        <f>AC50-AC56</f>
        <v/>
      </c>
      <c r="AD57" s="30">
        <f>AD50-AD56</f>
        <v/>
      </c>
      <c r="AE57" s="30">
        <f>AE50-AE56</f>
        <v/>
      </c>
      <c r="AF57" s="30">
        <f>AF50-AF56</f>
        <v/>
      </c>
      <c r="AG57" s="30">
        <f>AG50-AG56</f>
        <v/>
      </c>
      <c r="AH57" s="30">
        <f>AH50-AH56</f>
        <v/>
      </c>
      <c r="AI57" s="30">
        <f>AI50-AI56</f>
        <v/>
      </c>
      <c r="AJ57" s="30">
        <f>AJ50-AJ56</f>
        <v/>
      </c>
      <c r="AK57" s="30">
        <f>AK50-AK56</f>
        <v/>
      </c>
      <c r="AL57" s="30">
        <f>AL50-AL56</f>
        <v/>
      </c>
      <c r="AM57" s="30">
        <f>AM50-AM56</f>
        <v/>
      </c>
      <c r="AN57" s="30">
        <f>AN50-AN56</f>
        <v/>
      </c>
      <c r="AO57" s="30">
        <f>AO50-AO56</f>
        <v/>
      </c>
      <c r="AP57" s="30">
        <f>AP50-AP56</f>
        <v/>
      </c>
      <c r="AQ57" s="30">
        <f>AQ50-AQ56</f>
        <v/>
      </c>
      <c r="AR57" s="30">
        <f>AR50-AR56</f>
        <v/>
      </c>
      <c r="AS57" s="30">
        <f>AS50-AS56</f>
        <v/>
      </c>
      <c r="AT57" s="30">
        <f>AT50-AT56</f>
        <v/>
      </c>
      <c r="AU57" s="30">
        <f>AU50-AU56</f>
        <v/>
      </c>
      <c r="AV57" s="30">
        <f>AV50-AV56</f>
        <v/>
      </c>
      <c r="AW57" s="30">
        <f>AW50-AW56</f>
        <v/>
      </c>
      <c r="AX57" s="30">
        <f>AX50-AX56</f>
        <v/>
      </c>
      <c r="AY57" s="30">
        <f>AY50-AY56</f>
        <v/>
      </c>
      <c r="AZ57" s="30">
        <f>AZ50-AZ56</f>
        <v/>
      </c>
      <c r="BA57" s="30">
        <f>BA50-BA56</f>
        <v/>
      </c>
      <c r="BB57" s="30">
        <f>BB50-BB56</f>
        <v/>
      </c>
      <c r="BC57" s="30">
        <f>BC50-BC56</f>
        <v/>
      </c>
      <c r="BD57" s="30">
        <f>BD50-BD56</f>
        <v/>
      </c>
      <c r="BE57" s="30">
        <f>BE50-BE56</f>
        <v/>
      </c>
      <c r="BF57" s="30">
        <f>BF50-BF56</f>
        <v/>
      </c>
      <c r="BG57" s="30">
        <f>BG50-BG56</f>
        <v/>
      </c>
      <c r="BH57" s="30">
        <f>BH50-BH56</f>
        <v/>
      </c>
      <c r="BI57" s="30">
        <f>BI50-BI56</f>
        <v/>
      </c>
      <c r="BJ57" s="30">
        <f>BJ50-BJ56</f>
        <v/>
      </c>
      <c r="BK57" s="30">
        <f>BK50-BK56</f>
        <v/>
      </c>
      <c r="BL57" s="30">
        <f>BL50-BL56</f>
        <v/>
      </c>
      <c r="BM57" s="30">
        <f>BM50-BM56</f>
        <v/>
      </c>
      <c r="BN57" s="30">
        <f>BN50-BN56</f>
        <v/>
      </c>
      <c r="BO57" s="30">
        <f>BO50-BO56</f>
        <v/>
      </c>
      <c r="BP57" s="30">
        <f>BP50-BP56</f>
        <v/>
      </c>
      <c r="BQ57" s="30">
        <f>BQ50-BQ56</f>
        <v/>
      </c>
      <c r="BR57" s="30">
        <f>BR50-BR56</f>
        <v/>
      </c>
      <c r="BS57" s="30">
        <f>BS50-BS56</f>
        <v/>
      </c>
      <c r="BT57" s="30">
        <f>BT50-BT56</f>
        <v/>
      </c>
      <c r="BU57" s="30">
        <f>BU50-BU56</f>
        <v/>
      </c>
      <c r="BV57" s="30">
        <f>BV50-BV56</f>
        <v/>
      </c>
      <c r="BW57" s="30">
        <f>BW50-BW56</f>
        <v/>
      </c>
      <c r="BX57" s="30">
        <f>BX50-BX56</f>
        <v/>
      </c>
      <c r="BY57" s="30">
        <f>BY50-BY56</f>
        <v/>
      </c>
      <c r="BZ57" s="30">
        <f>BZ50-BZ56</f>
        <v/>
      </c>
      <c r="CA57" s="30">
        <f>CA50-CA56</f>
        <v/>
      </c>
      <c r="CB57" s="30">
        <f>CB50-CB56</f>
        <v/>
      </c>
      <c r="CC57" s="30">
        <f>CC50-CC56</f>
        <v/>
      </c>
      <c r="CD57" s="30">
        <f>CD50-CD56</f>
        <v/>
      </c>
      <c r="CE57" s="30">
        <f>CE50-CE56</f>
        <v/>
      </c>
      <c r="CF57" s="30">
        <f>CF50-CF56</f>
        <v/>
      </c>
      <c r="CG57" s="30">
        <f>CG50-CG56</f>
        <v/>
      </c>
      <c r="CH57" s="30">
        <f>CH50-CH56</f>
        <v/>
      </c>
    </row>
    <row r="58">
      <c r="A58" s="3" t="inlineStr">
        <is>
          <t>Margem bruta (sobre a receita líquida)</t>
        </is>
      </c>
      <c r="C58" s="27">
        <f>IF(C50&gt;0,C57/C50,0)</f>
        <v/>
      </c>
      <c r="D58" s="27">
        <f>IF(D50&gt;0,D57/D50,0)</f>
        <v/>
      </c>
      <c r="E58" s="27">
        <f>IF(E50&gt;0,E57/E50,0)</f>
        <v/>
      </c>
      <c r="F58" s="27">
        <f>IF(F50&gt;0,F57/F50,0)</f>
        <v/>
      </c>
      <c r="G58" s="27">
        <f>IF(G50&gt;0,G57/G50,0)</f>
        <v/>
      </c>
      <c r="H58" s="27">
        <f>IF(H50&gt;0,H57/H50,0)</f>
        <v/>
      </c>
      <c r="I58" s="27">
        <f>IF(I50&gt;0,I57/I50,0)</f>
        <v/>
      </c>
      <c r="J58" s="27">
        <f>IF(J50&gt;0,J57/J50,0)</f>
        <v/>
      </c>
      <c r="K58" s="27">
        <f>IF(K50&gt;0,K57/K50,0)</f>
        <v/>
      </c>
      <c r="L58" s="27">
        <f>IF(L50&gt;0,L57/L50,0)</f>
        <v/>
      </c>
      <c r="M58" s="27">
        <f>IF(M50&gt;0,M57/M50,0)</f>
        <v/>
      </c>
      <c r="N58" s="27">
        <f>IF(N50&gt;0,N57/N50,0)</f>
        <v/>
      </c>
      <c r="O58" s="27">
        <f>IF(O50&gt;0,O57/O50,0)</f>
        <v/>
      </c>
      <c r="P58" s="27">
        <f>IF(P50&gt;0,P57/P50,0)</f>
        <v/>
      </c>
      <c r="Q58" s="27">
        <f>IF(Q50&gt;0,Q57/Q50,0)</f>
        <v/>
      </c>
      <c r="R58" s="27">
        <f>IF(R50&gt;0,R57/R50,0)</f>
        <v/>
      </c>
      <c r="S58" s="27">
        <f>IF(S50&gt;0,S57/S50,0)</f>
        <v/>
      </c>
      <c r="T58" s="27">
        <f>IF(T50&gt;0,T57/T50,0)</f>
        <v/>
      </c>
      <c r="U58" s="27">
        <f>IF(U50&gt;0,U57/U50,0)</f>
        <v/>
      </c>
      <c r="V58" s="27">
        <f>IF(V50&gt;0,V57/V50,0)</f>
        <v/>
      </c>
      <c r="W58" s="27">
        <f>IF(W50&gt;0,W57/W50,0)</f>
        <v/>
      </c>
      <c r="X58" s="27">
        <f>IF(X50&gt;0,X57/X50,0)</f>
        <v/>
      </c>
      <c r="Y58" s="27">
        <f>IF(Y50&gt;0,Y57/Y50,0)</f>
        <v/>
      </c>
      <c r="Z58" s="27">
        <f>IF(Z50&gt;0,Z57/Z50,0)</f>
        <v/>
      </c>
      <c r="AA58" s="27">
        <f>IF(AA50&gt;0,AA57/AA50,0)</f>
        <v/>
      </c>
      <c r="AB58" s="27">
        <f>IF(AB50&gt;0,AB57/AB50,0)</f>
        <v/>
      </c>
      <c r="AC58" s="27">
        <f>IF(AC50&gt;0,AC57/AC50,0)</f>
        <v/>
      </c>
      <c r="AD58" s="27">
        <f>IF(AD50&gt;0,AD57/AD50,0)</f>
        <v/>
      </c>
      <c r="AE58" s="27">
        <f>IF(AE50&gt;0,AE57/AE50,0)</f>
        <v/>
      </c>
      <c r="AF58" s="27">
        <f>IF(AF50&gt;0,AF57/AF50,0)</f>
        <v/>
      </c>
      <c r="AG58" s="27">
        <f>IF(AG50&gt;0,AG57/AG50,0)</f>
        <v/>
      </c>
      <c r="AH58" s="27">
        <f>IF(AH50&gt;0,AH57/AH50,0)</f>
        <v/>
      </c>
      <c r="AI58" s="27">
        <f>IF(AI50&gt;0,AI57/AI50,0)</f>
        <v/>
      </c>
      <c r="AJ58" s="27">
        <f>IF(AJ50&gt;0,AJ57/AJ50,0)</f>
        <v/>
      </c>
      <c r="AK58" s="27">
        <f>IF(AK50&gt;0,AK57/AK50,0)</f>
        <v/>
      </c>
      <c r="AL58" s="27">
        <f>IF(AL50&gt;0,AL57/AL50,0)</f>
        <v/>
      </c>
      <c r="AM58" s="27">
        <f>IF(AM50&gt;0,AM57/AM50,0)</f>
        <v/>
      </c>
      <c r="AN58" s="27">
        <f>IF(AN50&gt;0,AN57/AN50,0)</f>
        <v/>
      </c>
      <c r="AO58" s="27">
        <f>IF(AO50&gt;0,AO57/AO50,0)</f>
        <v/>
      </c>
      <c r="AP58" s="27">
        <f>IF(AP50&gt;0,AP57/AP50,0)</f>
        <v/>
      </c>
      <c r="AQ58" s="27">
        <f>IF(AQ50&gt;0,AQ57/AQ50,0)</f>
        <v/>
      </c>
      <c r="AR58" s="27">
        <f>IF(AR50&gt;0,AR57/AR50,0)</f>
        <v/>
      </c>
      <c r="AS58" s="27">
        <f>IF(AS50&gt;0,AS57/AS50,0)</f>
        <v/>
      </c>
      <c r="AT58" s="27">
        <f>IF(AT50&gt;0,AT57/AT50,0)</f>
        <v/>
      </c>
      <c r="AU58" s="27">
        <f>IF(AU50&gt;0,AU57/AU50,0)</f>
        <v/>
      </c>
      <c r="AV58" s="27">
        <f>IF(AV50&gt;0,AV57/AV50,0)</f>
        <v/>
      </c>
      <c r="AW58" s="27">
        <f>IF(AW50&gt;0,AW57/AW50,0)</f>
        <v/>
      </c>
      <c r="AX58" s="27">
        <f>IF(AX50&gt;0,AX57/AX50,0)</f>
        <v/>
      </c>
      <c r="AY58" s="27">
        <f>IF(AY50&gt;0,AY57/AY50,0)</f>
        <v/>
      </c>
      <c r="AZ58" s="27">
        <f>IF(AZ50&gt;0,AZ57/AZ50,0)</f>
        <v/>
      </c>
      <c r="BA58" s="27">
        <f>IF(BA50&gt;0,BA57/BA50,0)</f>
        <v/>
      </c>
      <c r="BB58" s="27">
        <f>IF(BB50&gt;0,BB57/BB50,0)</f>
        <v/>
      </c>
      <c r="BC58" s="27">
        <f>IF(BC50&gt;0,BC57/BC50,0)</f>
        <v/>
      </c>
      <c r="BD58" s="27">
        <f>IF(BD50&gt;0,BD57/BD50,0)</f>
        <v/>
      </c>
      <c r="BE58" s="27">
        <f>IF(BE50&gt;0,BE57/BE50,0)</f>
        <v/>
      </c>
      <c r="BF58" s="27">
        <f>IF(BF50&gt;0,BF57/BF50,0)</f>
        <v/>
      </c>
      <c r="BG58" s="27">
        <f>IF(BG50&gt;0,BG57/BG50,0)</f>
        <v/>
      </c>
      <c r="BH58" s="27">
        <f>IF(BH50&gt;0,BH57/BH50,0)</f>
        <v/>
      </c>
      <c r="BI58" s="27">
        <f>IF(BI50&gt;0,BI57/BI50,0)</f>
        <v/>
      </c>
      <c r="BJ58" s="27">
        <f>IF(BJ50&gt;0,BJ57/BJ50,0)</f>
        <v/>
      </c>
      <c r="BK58" s="27">
        <f>IF(BK50&gt;0,BK57/BK50,0)</f>
        <v/>
      </c>
      <c r="BL58" s="27">
        <f>IF(BL50&gt;0,BL57/BL50,0)</f>
        <v/>
      </c>
      <c r="BM58" s="27">
        <f>IF(BM50&gt;0,BM57/BM50,0)</f>
        <v/>
      </c>
      <c r="BN58" s="27">
        <f>IF(BN50&gt;0,BN57/BN50,0)</f>
        <v/>
      </c>
      <c r="BO58" s="27">
        <f>IF(BO50&gt;0,BO57/BO50,0)</f>
        <v/>
      </c>
      <c r="BP58" s="27">
        <f>IF(BP50&gt;0,BP57/BP50,0)</f>
        <v/>
      </c>
      <c r="BQ58" s="27">
        <f>IF(BQ50&gt;0,BQ57/BQ50,0)</f>
        <v/>
      </c>
      <c r="BR58" s="27">
        <f>IF(BR50&gt;0,BR57/BR50,0)</f>
        <v/>
      </c>
      <c r="BS58" s="27">
        <f>IF(BS50&gt;0,BS57/BS50,0)</f>
        <v/>
      </c>
      <c r="BT58" s="27">
        <f>IF(BT50&gt;0,BT57/BT50,0)</f>
        <v/>
      </c>
      <c r="BU58" s="27">
        <f>IF(BU50&gt;0,BU57/BU50,0)</f>
        <v/>
      </c>
      <c r="BV58" s="27">
        <f>IF(BV50&gt;0,BV57/BV50,0)</f>
        <v/>
      </c>
      <c r="BW58" s="27">
        <f>IF(BW50&gt;0,BW57/BW50,0)</f>
        <v/>
      </c>
      <c r="BX58" s="27">
        <f>IF(BX50&gt;0,BX57/BX50,0)</f>
        <v/>
      </c>
      <c r="BY58" s="27">
        <f>IF(BY50&gt;0,BY57/BY50,0)</f>
        <v/>
      </c>
      <c r="BZ58" s="27">
        <f>IF(BZ50&gt;0,BZ57/BZ50,0)</f>
        <v/>
      </c>
      <c r="CA58" s="27">
        <f>IF(CA50&gt;0,CA57/CA50,0)</f>
        <v/>
      </c>
      <c r="CB58" s="27">
        <f>IF(CB50&gt;0,CB57/CB50,0)</f>
        <v/>
      </c>
      <c r="CC58" s="27">
        <f>IF(CC50&gt;0,CC57/CC50,0)</f>
        <v/>
      </c>
      <c r="CD58" s="27">
        <f>IF(CD50&gt;0,CD57/CD50,0)</f>
        <v/>
      </c>
      <c r="CE58" s="27">
        <f>IF(CE50&gt;0,CE57/CE50,0)</f>
        <v/>
      </c>
      <c r="CF58" s="27">
        <f>IF(CF50&gt;0,CF57/CF50,0)</f>
        <v/>
      </c>
      <c r="CG58" s="27">
        <f>IF(CG50&gt;0,CG57/CG50,0)</f>
        <v/>
      </c>
      <c r="CH58" s="27">
        <f>IF(CH50&gt;0,CH57/CH50,0)</f>
        <v/>
      </c>
    </row>
    <row r="60">
      <c r="A60" s="4" t="inlineStr">
        <is>
          <t>Despesas operacionais</t>
        </is>
      </c>
      <c r="B60" s="5" t="n"/>
    </row>
    <row r="61">
      <c r="A61" s="3" t="inlineStr">
        <is>
          <t>Produto, engenharia e IA</t>
        </is>
      </c>
      <c r="C61" s="26">
        <f>INDEX(Premissas!$C$24:$I$24,1,C3)*Premissas!$F$32</f>
        <v/>
      </c>
      <c r="D61" s="26">
        <f>INDEX(Premissas!$C$24:$I$24,1,D3)*Premissas!$F$32</f>
        <v/>
      </c>
      <c r="E61" s="26">
        <f>INDEX(Premissas!$C$24:$I$24,1,E3)*Premissas!$F$32</f>
        <v/>
      </c>
      <c r="F61" s="26">
        <f>INDEX(Premissas!$C$24:$I$24,1,F3)*Premissas!$F$32</f>
        <v/>
      </c>
      <c r="G61" s="26">
        <f>INDEX(Premissas!$C$24:$I$24,1,G3)*Premissas!$F$32</f>
        <v/>
      </c>
      <c r="H61" s="26">
        <f>INDEX(Premissas!$C$24:$I$24,1,H3)*Premissas!$F$32</f>
        <v/>
      </c>
      <c r="I61" s="26">
        <f>INDEX(Premissas!$C$24:$I$24,1,I3)*Premissas!$F$32</f>
        <v/>
      </c>
      <c r="J61" s="26">
        <f>INDEX(Premissas!$C$24:$I$24,1,J3)*Premissas!$F$32</f>
        <v/>
      </c>
      <c r="K61" s="26">
        <f>INDEX(Premissas!$C$24:$I$24,1,K3)*Premissas!$F$32</f>
        <v/>
      </c>
      <c r="L61" s="26">
        <f>INDEX(Premissas!$C$24:$I$24,1,L3)*Premissas!$F$32</f>
        <v/>
      </c>
      <c r="M61" s="26">
        <f>INDEX(Premissas!$C$24:$I$24,1,M3)*Premissas!$F$32</f>
        <v/>
      </c>
      <c r="N61" s="26">
        <f>INDEX(Premissas!$C$24:$I$24,1,N3)*Premissas!$F$32</f>
        <v/>
      </c>
      <c r="O61" s="26">
        <f>INDEX(Premissas!$C$24:$I$24,1,O3)*Premissas!$F$32</f>
        <v/>
      </c>
      <c r="P61" s="26">
        <f>INDEX(Premissas!$C$24:$I$24,1,P3)*Premissas!$F$32</f>
        <v/>
      </c>
      <c r="Q61" s="26">
        <f>INDEX(Premissas!$C$24:$I$24,1,Q3)*Premissas!$F$32</f>
        <v/>
      </c>
      <c r="R61" s="26">
        <f>INDEX(Premissas!$C$24:$I$24,1,R3)*Premissas!$F$32</f>
        <v/>
      </c>
      <c r="S61" s="26">
        <f>INDEX(Premissas!$C$24:$I$24,1,S3)*Premissas!$F$32</f>
        <v/>
      </c>
      <c r="T61" s="26">
        <f>INDEX(Premissas!$C$24:$I$24,1,T3)*Premissas!$F$32</f>
        <v/>
      </c>
      <c r="U61" s="26">
        <f>INDEX(Premissas!$C$24:$I$24,1,U3)*Premissas!$F$32</f>
        <v/>
      </c>
      <c r="V61" s="26">
        <f>INDEX(Premissas!$C$24:$I$24,1,V3)*Premissas!$F$32</f>
        <v/>
      </c>
      <c r="W61" s="26">
        <f>INDEX(Premissas!$C$24:$I$24,1,W3)*Premissas!$F$32</f>
        <v/>
      </c>
      <c r="X61" s="26">
        <f>INDEX(Premissas!$C$24:$I$24,1,X3)*Premissas!$F$32</f>
        <v/>
      </c>
      <c r="Y61" s="26">
        <f>INDEX(Premissas!$C$24:$I$24,1,Y3)*Premissas!$F$32</f>
        <v/>
      </c>
      <c r="Z61" s="26">
        <f>INDEX(Premissas!$C$24:$I$24,1,Z3)*Premissas!$F$32</f>
        <v/>
      </c>
      <c r="AA61" s="26">
        <f>INDEX(Premissas!$C$24:$I$24,1,AA3)*Premissas!$F$32</f>
        <v/>
      </c>
      <c r="AB61" s="26">
        <f>INDEX(Premissas!$C$24:$I$24,1,AB3)*Premissas!$F$32</f>
        <v/>
      </c>
      <c r="AC61" s="26">
        <f>INDEX(Premissas!$C$24:$I$24,1,AC3)*Premissas!$F$32</f>
        <v/>
      </c>
      <c r="AD61" s="26">
        <f>INDEX(Premissas!$C$24:$I$24,1,AD3)*Premissas!$F$32</f>
        <v/>
      </c>
      <c r="AE61" s="26">
        <f>INDEX(Premissas!$C$24:$I$24,1,AE3)*Premissas!$F$32</f>
        <v/>
      </c>
      <c r="AF61" s="26">
        <f>INDEX(Premissas!$C$24:$I$24,1,AF3)*Premissas!$F$32</f>
        <v/>
      </c>
      <c r="AG61" s="26">
        <f>INDEX(Premissas!$C$24:$I$24,1,AG3)*Premissas!$F$32</f>
        <v/>
      </c>
      <c r="AH61" s="26">
        <f>INDEX(Premissas!$C$24:$I$24,1,AH3)*Premissas!$F$32</f>
        <v/>
      </c>
      <c r="AI61" s="26">
        <f>INDEX(Premissas!$C$24:$I$24,1,AI3)*Premissas!$F$32</f>
        <v/>
      </c>
      <c r="AJ61" s="26">
        <f>INDEX(Premissas!$C$24:$I$24,1,AJ3)*Premissas!$F$32</f>
        <v/>
      </c>
      <c r="AK61" s="26">
        <f>INDEX(Premissas!$C$24:$I$24,1,AK3)*Premissas!$F$32</f>
        <v/>
      </c>
      <c r="AL61" s="26">
        <f>INDEX(Premissas!$C$24:$I$24,1,AL3)*Premissas!$F$32</f>
        <v/>
      </c>
      <c r="AM61" s="26">
        <f>INDEX(Premissas!$C$24:$I$24,1,AM3)*Premissas!$F$32</f>
        <v/>
      </c>
      <c r="AN61" s="26">
        <f>INDEX(Premissas!$C$24:$I$24,1,AN3)*Premissas!$F$32</f>
        <v/>
      </c>
      <c r="AO61" s="26">
        <f>INDEX(Premissas!$C$24:$I$24,1,AO3)*Premissas!$F$32</f>
        <v/>
      </c>
      <c r="AP61" s="26">
        <f>INDEX(Premissas!$C$24:$I$24,1,AP3)*Premissas!$F$32</f>
        <v/>
      </c>
      <c r="AQ61" s="26">
        <f>INDEX(Premissas!$C$24:$I$24,1,AQ3)*Premissas!$F$32</f>
        <v/>
      </c>
      <c r="AR61" s="26">
        <f>INDEX(Premissas!$C$24:$I$24,1,AR3)*Premissas!$F$32</f>
        <v/>
      </c>
      <c r="AS61" s="26">
        <f>INDEX(Premissas!$C$24:$I$24,1,AS3)*Premissas!$F$32</f>
        <v/>
      </c>
      <c r="AT61" s="26">
        <f>INDEX(Premissas!$C$24:$I$24,1,AT3)*Premissas!$F$32</f>
        <v/>
      </c>
      <c r="AU61" s="26">
        <f>INDEX(Premissas!$C$24:$I$24,1,AU3)*Premissas!$F$32</f>
        <v/>
      </c>
      <c r="AV61" s="26">
        <f>INDEX(Premissas!$C$24:$I$24,1,AV3)*Premissas!$F$32</f>
        <v/>
      </c>
      <c r="AW61" s="26">
        <f>INDEX(Premissas!$C$24:$I$24,1,AW3)*Premissas!$F$32</f>
        <v/>
      </c>
      <c r="AX61" s="26">
        <f>INDEX(Premissas!$C$24:$I$24,1,AX3)*Premissas!$F$32</f>
        <v/>
      </c>
      <c r="AY61" s="26">
        <f>INDEX(Premissas!$C$24:$I$24,1,AY3)*Premissas!$F$32</f>
        <v/>
      </c>
      <c r="AZ61" s="26">
        <f>INDEX(Premissas!$C$24:$I$24,1,AZ3)*Premissas!$F$32</f>
        <v/>
      </c>
      <c r="BA61" s="26">
        <f>INDEX(Premissas!$C$24:$I$24,1,BA3)*Premissas!$F$32</f>
        <v/>
      </c>
      <c r="BB61" s="26">
        <f>INDEX(Premissas!$C$24:$I$24,1,BB3)*Premissas!$F$32</f>
        <v/>
      </c>
      <c r="BC61" s="26">
        <f>INDEX(Premissas!$C$24:$I$24,1,BC3)*Premissas!$F$32</f>
        <v/>
      </c>
      <c r="BD61" s="26">
        <f>INDEX(Premissas!$C$24:$I$24,1,BD3)*Premissas!$F$32</f>
        <v/>
      </c>
      <c r="BE61" s="26">
        <f>INDEX(Premissas!$C$24:$I$24,1,BE3)*Premissas!$F$32</f>
        <v/>
      </c>
      <c r="BF61" s="26">
        <f>INDEX(Premissas!$C$24:$I$24,1,BF3)*Premissas!$F$32</f>
        <v/>
      </c>
      <c r="BG61" s="26">
        <f>INDEX(Premissas!$C$24:$I$24,1,BG3)*Premissas!$F$32</f>
        <v/>
      </c>
      <c r="BH61" s="26">
        <f>INDEX(Premissas!$C$24:$I$24,1,BH3)*Premissas!$F$32</f>
        <v/>
      </c>
      <c r="BI61" s="26">
        <f>INDEX(Premissas!$C$24:$I$24,1,BI3)*Premissas!$F$32</f>
        <v/>
      </c>
      <c r="BJ61" s="26">
        <f>INDEX(Premissas!$C$24:$I$24,1,BJ3)*Premissas!$F$32</f>
        <v/>
      </c>
      <c r="BK61" s="26">
        <f>INDEX(Premissas!$C$24:$I$24,1,BK3)*Premissas!$F$32</f>
        <v/>
      </c>
      <c r="BL61" s="26">
        <f>INDEX(Premissas!$C$24:$I$24,1,BL3)*Premissas!$F$32</f>
        <v/>
      </c>
      <c r="BM61" s="26">
        <f>INDEX(Premissas!$C$24:$I$24,1,BM3)*Premissas!$F$32</f>
        <v/>
      </c>
      <c r="BN61" s="26">
        <f>INDEX(Premissas!$C$24:$I$24,1,BN3)*Premissas!$F$32</f>
        <v/>
      </c>
      <c r="BO61" s="26">
        <f>INDEX(Premissas!$C$24:$I$24,1,BO3)*Premissas!$F$32</f>
        <v/>
      </c>
      <c r="BP61" s="26">
        <f>INDEX(Premissas!$C$24:$I$24,1,BP3)*Premissas!$F$32</f>
        <v/>
      </c>
      <c r="BQ61" s="26">
        <f>INDEX(Premissas!$C$24:$I$24,1,BQ3)*Premissas!$F$32</f>
        <v/>
      </c>
      <c r="BR61" s="26">
        <f>INDEX(Premissas!$C$24:$I$24,1,BR3)*Premissas!$F$32</f>
        <v/>
      </c>
      <c r="BS61" s="26">
        <f>INDEX(Premissas!$C$24:$I$24,1,BS3)*Premissas!$F$32</f>
        <v/>
      </c>
      <c r="BT61" s="26">
        <f>INDEX(Premissas!$C$24:$I$24,1,BT3)*Premissas!$F$32</f>
        <v/>
      </c>
      <c r="BU61" s="26">
        <f>INDEX(Premissas!$C$24:$I$24,1,BU3)*Premissas!$F$32</f>
        <v/>
      </c>
      <c r="BV61" s="26">
        <f>INDEX(Premissas!$C$24:$I$24,1,BV3)*Premissas!$F$32</f>
        <v/>
      </c>
      <c r="BW61" s="26">
        <f>INDEX(Premissas!$C$24:$I$24,1,BW3)*Premissas!$F$32</f>
        <v/>
      </c>
      <c r="BX61" s="26">
        <f>INDEX(Premissas!$C$24:$I$24,1,BX3)*Premissas!$F$32</f>
        <v/>
      </c>
      <c r="BY61" s="26">
        <f>INDEX(Premissas!$C$24:$I$24,1,BY3)*Premissas!$F$32</f>
        <v/>
      </c>
      <c r="BZ61" s="26">
        <f>INDEX(Premissas!$C$24:$I$24,1,BZ3)*Premissas!$F$32</f>
        <v/>
      </c>
      <c r="CA61" s="26">
        <f>INDEX(Premissas!$C$24:$I$24,1,CA3)*Premissas!$F$32</f>
        <v/>
      </c>
      <c r="CB61" s="26">
        <f>INDEX(Premissas!$C$24:$I$24,1,CB3)*Premissas!$F$32</f>
        <v/>
      </c>
      <c r="CC61" s="26">
        <f>INDEX(Premissas!$C$24:$I$24,1,CC3)*Premissas!$F$32</f>
        <v/>
      </c>
      <c r="CD61" s="26">
        <f>INDEX(Premissas!$C$24:$I$24,1,CD3)*Premissas!$F$32</f>
        <v/>
      </c>
      <c r="CE61" s="26">
        <f>INDEX(Premissas!$C$24:$I$24,1,CE3)*Premissas!$F$32</f>
        <v/>
      </c>
      <c r="CF61" s="26">
        <f>INDEX(Premissas!$C$24:$I$24,1,CF3)*Premissas!$F$32</f>
        <v/>
      </c>
      <c r="CG61" s="26">
        <f>INDEX(Premissas!$C$24:$I$24,1,CG3)*Premissas!$F$32</f>
        <v/>
      </c>
      <c r="CH61" s="26">
        <f>INDEX(Premissas!$C$24:$I$24,1,CH3)*Premissas!$F$32</f>
        <v/>
      </c>
    </row>
    <row r="62">
      <c r="A62" s="3" t="inlineStr">
        <is>
          <t>Equipe de vendas e marketing</t>
        </is>
      </c>
      <c r="C62" s="26">
        <f>INDEX(Premissas!$C$27:$I$27,1,C3)*Premissas!$F$33</f>
        <v/>
      </c>
      <c r="D62" s="26">
        <f>INDEX(Premissas!$C$27:$I$27,1,D3)*Premissas!$F$33</f>
        <v/>
      </c>
      <c r="E62" s="26">
        <f>INDEX(Premissas!$C$27:$I$27,1,E3)*Premissas!$F$33</f>
        <v/>
      </c>
      <c r="F62" s="26">
        <f>INDEX(Premissas!$C$27:$I$27,1,F3)*Premissas!$F$33</f>
        <v/>
      </c>
      <c r="G62" s="26">
        <f>INDEX(Premissas!$C$27:$I$27,1,G3)*Premissas!$F$33</f>
        <v/>
      </c>
      <c r="H62" s="26">
        <f>INDEX(Premissas!$C$27:$I$27,1,H3)*Premissas!$F$33</f>
        <v/>
      </c>
      <c r="I62" s="26">
        <f>INDEX(Premissas!$C$27:$I$27,1,I3)*Premissas!$F$33</f>
        <v/>
      </c>
      <c r="J62" s="26">
        <f>INDEX(Premissas!$C$27:$I$27,1,J3)*Premissas!$F$33</f>
        <v/>
      </c>
      <c r="K62" s="26">
        <f>INDEX(Premissas!$C$27:$I$27,1,K3)*Premissas!$F$33</f>
        <v/>
      </c>
      <c r="L62" s="26">
        <f>INDEX(Premissas!$C$27:$I$27,1,L3)*Premissas!$F$33</f>
        <v/>
      </c>
      <c r="M62" s="26">
        <f>INDEX(Premissas!$C$27:$I$27,1,M3)*Premissas!$F$33</f>
        <v/>
      </c>
      <c r="N62" s="26">
        <f>INDEX(Premissas!$C$27:$I$27,1,N3)*Premissas!$F$33</f>
        <v/>
      </c>
      <c r="O62" s="26">
        <f>INDEX(Premissas!$C$27:$I$27,1,O3)*Premissas!$F$33</f>
        <v/>
      </c>
      <c r="P62" s="26">
        <f>INDEX(Premissas!$C$27:$I$27,1,P3)*Premissas!$F$33</f>
        <v/>
      </c>
      <c r="Q62" s="26">
        <f>INDEX(Premissas!$C$27:$I$27,1,Q3)*Premissas!$F$33</f>
        <v/>
      </c>
      <c r="R62" s="26">
        <f>INDEX(Premissas!$C$27:$I$27,1,R3)*Premissas!$F$33</f>
        <v/>
      </c>
      <c r="S62" s="26">
        <f>INDEX(Premissas!$C$27:$I$27,1,S3)*Premissas!$F$33</f>
        <v/>
      </c>
      <c r="T62" s="26">
        <f>INDEX(Premissas!$C$27:$I$27,1,T3)*Premissas!$F$33</f>
        <v/>
      </c>
      <c r="U62" s="26">
        <f>INDEX(Premissas!$C$27:$I$27,1,U3)*Premissas!$F$33</f>
        <v/>
      </c>
      <c r="V62" s="26">
        <f>INDEX(Premissas!$C$27:$I$27,1,V3)*Premissas!$F$33</f>
        <v/>
      </c>
      <c r="W62" s="26">
        <f>INDEX(Premissas!$C$27:$I$27,1,W3)*Premissas!$F$33</f>
        <v/>
      </c>
      <c r="X62" s="26">
        <f>INDEX(Premissas!$C$27:$I$27,1,X3)*Premissas!$F$33</f>
        <v/>
      </c>
      <c r="Y62" s="26">
        <f>INDEX(Premissas!$C$27:$I$27,1,Y3)*Premissas!$F$33</f>
        <v/>
      </c>
      <c r="Z62" s="26">
        <f>INDEX(Premissas!$C$27:$I$27,1,Z3)*Premissas!$F$33</f>
        <v/>
      </c>
      <c r="AA62" s="26">
        <f>INDEX(Premissas!$C$27:$I$27,1,AA3)*Premissas!$F$33</f>
        <v/>
      </c>
      <c r="AB62" s="26">
        <f>INDEX(Premissas!$C$27:$I$27,1,AB3)*Premissas!$F$33</f>
        <v/>
      </c>
      <c r="AC62" s="26">
        <f>INDEX(Premissas!$C$27:$I$27,1,AC3)*Premissas!$F$33</f>
        <v/>
      </c>
      <c r="AD62" s="26">
        <f>INDEX(Premissas!$C$27:$I$27,1,AD3)*Premissas!$F$33</f>
        <v/>
      </c>
      <c r="AE62" s="26">
        <f>INDEX(Premissas!$C$27:$I$27,1,AE3)*Premissas!$F$33</f>
        <v/>
      </c>
      <c r="AF62" s="26">
        <f>INDEX(Premissas!$C$27:$I$27,1,AF3)*Premissas!$F$33</f>
        <v/>
      </c>
      <c r="AG62" s="26">
        <f>INDEX(Premissas!$C$27:$I$27,1,AG3)*Premissas!$F$33</f>
        <v/>
      </c>
      <c r="AH62" s="26">
        <f>INDEX(Premissas!$C$27:$I$27,1,AH3)*Premissas!$F$33</f>
        <v/>
      </c>
      <c r="AI62" s="26">
        <f>INDEX(Premissas!$C$27:$I$27,1,AI3)*Premissas!$F$33</f>
        <v/>
      </c>
      <c r="AJ62" s="26">
        <f>INDEX(Premissas!$C$27:$I$27,1,AJ3)*Premissas!$F$33</f>
        <v/>
      </c>
      <c r="AK62" s="26">
        <f>INDEX(Premissas!$C$27:$I$27,1,AK3)*Premissas!$F$33</f>
        <v/>
      </c>
      <c r="AL62" s="26">
        <f>INDEX(Premissas!$C$27:$I$27,1,AL3)*Premissas!$F$33</f>
        <v/>
      </c>
      <c r="AM62" s="26">
        <f>INDEX(Premissas!$C$27:$I$27,1,AM3)*Premissas!$F$33</f>
        <v/>
      </c>
      <c r="AN62" s="26">
        <f>INDEX(Premissas!$C$27:$I$27,1,AN3)*Premissas!$F$33</f>
        <v/>
      </c>
      <c r="AO62" s="26">
        <f>INDEX(Premissas!$C$27:$I$27,1,AO3)*Premissas!$F$33</f>
        <v/>
      </c>
      <c r="AP62" s="26">
        <f>INDEX(Premissas!$C$27:$I$27,1,AP3)*Premissas!$F$33</f>
        <v/>
      </c>
      <c r="AQ62" s="26">
        <f>INDEX(Premissas!$C$27:$I$27,1,AQ3)*Premissas!$F$33</f>
        <v/>
      </c>
      <c r="AR62" s="26">
        <f>INDEX(Premissas!$C$27:$I$27,1,AR3)*Premissas!$F$33</f>
        <v/>
      </c>
      <c r="AS62" s="26">
        <f>INDEX(Premissas!$C$27:$I$27,1,AS3)*Premissas!$F$33</f>
        <v/>
      </c>
      <c r="AT62" s="26">
        <f>INDEX(Premissas!$C$27:$I$27,1,AT3)*Premissas!$F$33</f>
        <v/>
      </c>
      <c r="AU62" s="26">
        <f>INDEX(Premissas!$C$27:$I$27,1,AU3)*Premissas!$F$33</f>
        <v/>
      </c>
      <c r="AV62" s="26">
        <f>INDEX(Premissas!$C$27:$I$27,1,AV3)*Premissas!$F$33</f>
        <v/>
      </c>
      <c r="AW62" s="26">
        <f>INDEX(Premissas!$C$27:$I$27,1,AW3)*Premissas!$F$33</f>
        <v/>
      </c>
      <c r="AX62" s="26">
        <f>INDEX(Premissas!$C$27:$I$27,1,AX3)*Premissas!$F$33</f>
        <v/>
      </c>
      <c r="AY62" s="26">
        <f>INDEX(Premissas!$C$27:$I$27,1,AY3)*Premissas!$F$33</f>
        <v/>
      </c>
      <c r="AZ62" s="26">
        <f>INDEX(Premissas!$C$27:$I$27,1,AZ3)*Premissas!$F$33</f>
        <v/>
      </c>
      <c r="BA62" s="26">
        <f>INDEX(Premissas!$C$27:$I$27,1,BA3)*Premissas!$F$33</f>
        <v/>
      </c>
      <c r="BB62" s="26">
        <f>INDEX(Premissas!$C$27:$I$27,1,BB3)*Premissas!$F$33</f>
        <v/>
      </c>
      <c r="BC62" s="26">
        <f>INDEX(Premissas!$C$27:$I$27,1,BC3)*Premissas!$F$33</f>
        <v/>
      </c>
      <c r="BD62" s="26">
        <f>INDEX(Premissas!$C$27:$I$27,1,BD3)*Premissas!$F$33</f>
        <v/>
      </c>
      <c r="BE62" s="26">
        <f>INDEX(Premissas!$C$27:$I$27,1,BE3)*Premissas!$F$33</f>
        <v/>
      </c>
      <c r="BF62" s="26">
        <f>INDEX(Premissas!$C$27:$I$27,1,BF3)*Premissas!$F$33</f>
        <v/>
      </c>
      <c r="BG62" s="26">
        <f>INDEX(Premissas!$C$27:$I$27,1,BG3)*Premissas!$F$33</f>
        <v/>
      </c>
      <c r="BH62" s="26">
        <f>INDEX(Premissas!$C$27:$I$27,1,BH3)*Premissas!$F$33</f>
        <v/>
      </c>
      <c r="BI62" s="26">
        <f>INDEX(Premissas!$C$27:$I$27,1,BI3)*Premissas!$F$33</f>
        <v/>
      </c>
      <c r="BJ62" s="26">
        <f>INDEX(Premissas!$C$27:$I$27,1,BJ3)*Premissas!$F$33</f>
        <v/>
      </c>
      <c r="BK62" s="26">
        <f>INDEX(Premissas!$C$27:$I$27,1,BK3)*Premissas!$F$33</f>
        <v/>
      </c>
      <c r="BL62" s="26">
        <f>INDEX(Premissas!$C$27:$I$27,1,BL3)*Premissas!$F$33</f>
        <v/>
      </c>
      <c r="BM62" s="26">
        <f>INDEX(Premissas!$C$27:$I$27,1,BM3)*Premissas!$F$33</f>
        <v/>
      </c>
      <c r="BN62" s="26">
        <f>INDEX(Premissas!$C$27:$I$27,1,BN3)*Premissas!$F$33</f>
        <v/>
      </c>
      <c r="BO62" s="26">
        <f>INDEX(Premissas!$C$27:$I$27,1,BO3)*Premissas!$F$33</f>
        <v/>
      </c>
      <c r="BP62" s="26">
        <f>INDEX(Premissas!$C$27:$I$27,1,BP3)*Premissas!$F$33</f>
        <v/>
      </c>
      <c r="BQ62" s="26">
        <f>INDEX(Premissas!$C$27:$I$27,1,BQ3)*Premissas!$F$33</f>
        <v/>
      </c>
      <c r="BR62" s="26">
        <f>INDEX(Premissas!$C$27:$I$27,1,BR3)*Premissas!$F$33</f>
        <v/>
      </c>
      <c r="BS62" s="26">
        <f>INDEX(Premissas!$C$27:$I$27,1,BS3)*Premissas!$F$33</f>
        <v/>
      </c>
      <c r="BT62" s="26">
        <f>INDEX(Premissas!$C$27:$I$27,1,BT3)*Premissas!$F$33</f>
        <v/>
      </c>
      <c r="BU62" s="26">
        <f>INDEX(Premissas!$C$27:$I$27,1,BU3)*Premissas!$F$33</f>
        <v/>
      </c>
      <c r="BV62" s="26">
        <f>INDEX(Premissas!$C$27:$I$27,1,BV3)*Premissas!$F$33</f>
        <v/>
      </c>
      <c r="BW62" s="26">
        <f>INDEX(Premissas!$C$27:$I$27,1,BW3)*Premissas!$F$33</f>
        <v/>
      </c>
      <c r="BX62" s="26">
        <f>INDEX(Premissas!$C$27:$I$27,1,BX3)*Premissas!$F$33</f>
        <v/>
      </c>
      <c r="BY62" s="26">
        <f>INDEX(Premissas!$C$27:$I$27,1,BY3)*Premissas!$F$33</f>
        <v/>
      </c>
      <c r="BZ62" s="26">
        <f>INDEX(Premissas!$C$27:$I$27,1,BZ3)*Premissas!$F$33</f>
        <v/>
      </c>
      <c r="CA62" s="26">
        <f>INDEX(Premissas!$C$27:$I$27,1,CA3)*Premissas!$F$33</f>
        <v/>
      </c>
      <c r="CB62" s="26">
        <f>INDEX(Premissas!$C$27:$I$27,1,CB3)*Premissas!$F$33</f>
        <v/>
      </c>
      <c r="CC62" s="26">
        <f>INDEX(Premissas!$C$27:$I$27,1,CC3)*Premissas!$F$33</f>
        <v/>
      </c>
      <c r="CD62" s="26">
        <f>INDEX(Premissas!$C$27:$I$27,1,CD3)*Premissas!$F$33</f>
        <v/>
      </c>
      <c r="CE62" s="26">
        <f>INDEX(Premissas!$C$27:$I$27,1,CE3)*Premissas!$F$33</f>
        <v/>
      </c>
      <c r="CF62" s="26">
        <f>INDEX(Premissas!$C$27:$I$27,1,CF3)*Premissas!$F$33</f>
        <v/>
      </c>
      <c r="CG62" s="26">
        <f>INDEX(Premissas!$C$27:$I$27,1,CG3)*Premissas!$F$33</f>
        <v/>
      </c>
      <c r="CH62" s="26">
        <f>INDEX(Premissas!$C$27:$I$27,1,CH3)*Premissas!$F$33</f>
        <v/>
      </c>
    </row>
    <row r="63">
      <c r="A63" s="3" t="inlineStr">
        <is>
          <t>Administrativo, jurídico e conformidade</t>
        </is>
      </c>
      <c r="C63" s="26">
        <f>INDEX(Premissas!$C$25:$I$25,1,C3)*Premissas!$F$34</f>
        <v/>
      </c>
      <c r="D63" s="26">
        <f>INDEX(Premissas!$C$25:$I$25,1,D3)*Premissas!$F$34</f>
        <v/>
      </c>
      <c r="E63" s="26">
        <f>INDEX(Premissas!$C$25:$I$25,1,E3)*Premissas!$F$34</f>
        <v/>
      </c>
      <c r="F63" s="26">
        <f>INDEX(Premissas!$C$25:$I$25,1,F3)*Premissas!$F$34</f>
        <v/>
      </c>
      <c r="G63" s="26">
        <f>INDEX(Premissas!$C$25:$I$25,1,G3)*Premissas!$F$34</f>
        <v/>
      </c>
      <c r="H63" s="26">
        <f>INDEX(Premissas!$C$25:$I$25,1,H3)*Premissas!$F$34</f>
        <v/>
      </c>
      <c r="I63" s="26">
        <f>INDEX(Premissas!$C$25:$I$25,1,I3)*Premissas!$F$34</f>
        <v/>
      </c>
      <c r="J63" s="26">
        <f>INDEX(Premissas!$C$25:$I$25,1,J3)*Premissas!$F$34</f>
        <v/>
      </c>
      <c r="K63" s="26">
        <f>INDEX(Premissas!$C$25:$I$25,1,K3)*Premissas!$F$34</f>
        <v/>
      </c>
      <c r="L63" s="26">
        <f>INDEX(Premissas!$C$25:$I$25,1,L3)*Premissas!$F$34</f>
        <v/>
      </c>
      <c r="M63" s="26">
        <f>INDEX(Premissas!$C$25:$I$25,1,M3)*Premissas!$F$34</f>
        <v/>
      </c>
      <c r="N63" s="26">
        <f>INDEX(Premissas!$C$25:$I$25,1,N3)*Premissas!$F$34</f>
        <v/>
      </c>
      <c r="O63" s="26">
        <f>INDEX(Premissas!$C$25:$I$25,1,O3)*Premissas!$F$34</f>
        <v/>
      </c>
      <c r="P63" s="26">
        <f>INDEX(Premissas!$C$25:$I$25,1,P3)*Premissas!$F$34</f>
        <v/>
      </c>
      <c r="Q63" s="26">
        <f>INDEX(Premissas!$C$25:$I$25,1,Q3)*Premissas!$F$34</f>
        <v/>
      </c>
      <c r="R63" s="26">
        <f>INDEX(Premissas!$C$25:$I$25,1,R3)*Premissas!$F$34</f>
        <v/>
      </c>
      <c r="S63" s="26">
        <f>INDEX(Premissas!$C$25:$I$25,1,S3)*Premissas!$F$34</f>
        <v/>
      </c>
      <c r="T63" s="26">
        <f>INDEX(Premissas!$C$25:$I$25,1,T3)*Premissas!$F$34</f>
        <v/>
      </c>
      <c r="U63" s="26">
        <f>INDEX(Premissas!$C$25:$I$25,1,U3)*Premissas!$F$34</f>
        <v/>
      </c>
      <c r="V63" s="26">
        <f>INDEX(Premissas!$C$25:$I$25,1,V3)*Premissas!$F$34</f>
        <v/>
      </c>
      <c r="W63" s="26">
        <f>INDEX(Premissas!$C$25:$I$25,1,W3)*Premissas!$F$34</f>
        <v/>
      </c>
      <c r="X63" s="26">
        <f>INDEX(Premissas!$C$25:$I$25,1,X3)*Premissas!$F$34</f>
        <v/>
      </c>
      <c r="Y63" s="26">
        <f>INDEX(Premissas!$C$25:$I$25,1,Y3)*Premissas!$F$34</f>
        <v/>
      </c>
      <c r="Z63" s="26">
        <f>INDEX(Premissas!$C$25:$I$25,1,Z3)*Premissas!$F$34</f>
        <v/>
      </c>
      <c r="AA63" s="26">
        <f>INDEX(Premissas!$C$25:$I$25,1,AA3)*Premissas!$F$34</f>
        <v/>
      </c>
      <c r="AB63" s="26">
        <f>INDEX(Premissas!$C$25:$I$25,1,AB3)*Premissas!$F$34</f>
        <v/>
      </c>
      <c r="AC63" s="26">
        <f>INDEX(Premissas!$C$25:$I$25,1,AC3)*Premissas!$F$34</f>
        <v/>
      </c>
      <c r="AD63" s="26">
        <f>INDEX(Premissas!$C$25:$I$25,1,AD3)*Premissas!$F$34</f>
        <v/>
      </c>
      <c r="AE63" s="26">
        <f>INDEX(Premissas!$C$25:$I$25,1,AE3)*Premissas!$F$34</f>
        <v/>
      </c>
      <c r="AF63" s="26">
        <f>INDEX(Premissas!$C$25:$I$25,1,AF3)*Premissas!$F$34</f>
        <v/>
      </c>
      <c r="AG63" s="26">
        <f>INDEX(Premissas!$C$25:$I$25,1,AG3)*Premissas!$F$34</f>
        <v/>
      </c>
      <c r="AH63" s="26">
        <f>INDEX(Premissas!$C$25:$I$25,1,AH3)*Premissas!$F$34</f>
        <v/>
      </c>
      <c r="AI63" s="26">
        <f>INDEX(Premissas!$C$25:$I$25,1,AI3)*Premissas!$F$34</f>
        <v/>
      </c>
      <c r="AJ63" s="26">
        <f>INDEX(Premissas!$C$25:$I$25,1,AJ3)*Premissas!$F$34</f>
        <v/>
      </c>
      <c r="AK63" s="26">
        <f>INDEX(Premissas!$C$25:$I$25,1,AK3)*Premissas!$F$34</f>
        <v/>
      </c>
      <c r="AL63" s="26">
        <f>INDEX(Premissas!$C$25:$I$25,1,AL3)*Premissas!$F$34</f>
        <v/>
      </c>
      <c r="AM63" s="26">
        <f>INDEX(Premissas!$C$25:$I$25,1,AM3)*Premissas!$F$34</f>
        <v/>
      </c>
      <c r="AN63" s="26">
        <f>INDEX(Premissas!$C$25:$I$25,1,AN3)*Premissas!$F$34</f>
        <v/>
      </c>
      <c r="AO63" s="26">
        <f>INDEX(Premissas!$C$25:$I$25,1,AO3)*Premissas!$F$34</f>
        <v/>
      </c>
      <c r="AP63" s="26">
        <f>INDEX(Premissas!$C$25:$I$25,1,AP3)*Premissas!$F$34</f>
        <v/>
      </c>
      <c r="AQ63" s="26">
        <f>INDEX(Premissas!$C$25:$I$25,1,AQ3)*Premissas!$F$34</f>
        <v/>
      </c>
      <c r="AR63" s="26">
        <f>INDEX(Premissas!$C$25:$I$25,1,AR3)*Premissas!$F$34</f>
        <v/>
      </c>
      <c r="AS63" s="26">
        <f>INDEX(Premissas!$C$25:$I$25,1,AS3)*Premissas!$F$34</f>
        <v/>
      </c>
      <c r="AT63" s="26">
        <f>INDEX(Premissas!$C$25:$I$25,1,AT3)*Premissas!$F$34</f>
        <v/>
      </c>
      <c r="AU63" s="26">
        <f>INDEX(Premissas!$C$25:$I$25,1,AU3)*Premissas!$F$34</f>
        <v/>
      </c>
      <c r="AV63" s="26">
        <f>INDEX(Premissas!$C$25:$I$25,1,AV3)*Premissas!$F$34</f>
        <v/>
      </c>
      <c r="AW63" s="26">
        <f>INDEX(Premissas!$C$25:$I$25,1,AW3)*Premissas!$F$34</f>
        <v/>
      </c>
      <c r="AX63" s="26">
        <f>INDEX(Premissas!$C$25:$I$25,1,AX3)*Premissas!$F$34</f>
        <v/>
      </c>
      <c r="AY63" s="26">
        <f>INDEX(Premissas!$C$25:$I$25,1,AY3)*Premissas!$F$34</f>
        <v/>
      </c>
      <c r="AZ63" s="26">
        <f>INDEX(Premissas!$C$25:$I$25,1,AZ3)*Premissas!$F$34</f>
        <v/>
      </c>
      <c r="BA63" s="26">
        <f>INDEX(Premissas!$C$25:$I$25,1,BA3)*Premissas!$F$34</f>
        <v/>
      </c>
      <c r="BB63" s="26">
        <f>INDEX(Premissas!$C$25:$I$25,1,BB3)*Premissas!$F$34</f>
        <v/>
      </c>
      <c r="BC63" s="26">
        <f>INDEX(Premissas!$C$25:$I$25,1,BC3)*Premissas!$F$34</f>
        <v/>
      </c>
      <c r="BD63" s="26">
        <f>INDEX(Premissas!$C$25:$I$25,1,BD3)*Premissas!$F$34</f>
        <v/>
      </c>
      <c r="BE63" s="26">
        <f>INDEX(Premissas!$C$25:$I$25,1,BE3)*Premissas!$F$34</f>
        <v/>
      </c>
      <c r="BF63" s="26">
        <f>INDEX(Premissas!$C$25:$I$25,1,BF3)*Premissas!$F$34</f>
        <v/>
      </c>
      <c r="BG63" s="26">
        <f>INDEX(Premissas!$C$25:$I$25,1,BG3)*Premissas!$F$34</f>
        <v/>
      </c>
      <c r="BH63" s="26">
        <f>INDEX(Premissas!$C$25:$I$25,1,BH3)*Premissas!$F$34</f>
        <v/>
      </c>
      <c r="BI63" s="26">
        <f>INDEX(Premissas!$C$25:$I$25,1,BI3)*Premissas!$F$34</f>
        <v/>
      </c>
      <c r="BJ63" s="26">
        <f>INDEX(Premissas!$C$25:$I$25,1,BJ3)*Premissas!$F$34</f>
        <v/>
      </c>
      <c r="BK63" s="26">
        <f>INDEX(Premissas!$C$25:$I$25,1,BK3)*Premissas!$F$34</f>
        <v/>
      </c>
      <c r="BL63" s="26">
        <f>INDEX(Premissas!$C$25:$I$25,1,BL3)*Premissas!$F$34</f>
        <v/>
      </c>
      <c r="BM63" s="26">
        <f>INDEX(Premissas!$C$25:$I$25,1,BM3)*Premissas!$F$34</f>
        <v/>
      </c>
      <c r="BN63" s="26">
        <f>INDEX(Premissas!$C$25:$I$25,1,BN3)*Premissas!$F$34</f>
        <v/>
      </c>
      <c r="BO63" s="26">
        <f>INDEX(Premissas!$C$25:$I$25,1,BO3)*Premissas!$F$34</f>
        <v/>
      </c>
      <c r="BP63" s="26">
        <f>INDEX(Premissas!$C$25:$I$25,1,BP3)*Premissas!$F$34</f>
        <v/>
      </c>
      <c r="BQ63" s="26">
        <f>INDEX(Premissas!$C$25:$I$25,1,BQ3)*Premissas!$F$34</f>
        <v/>
      </c>
      <c r="BR63" s="26">
        <f>INDEX(Premissas!$C$25:$I$25,1,BR3)*Premissas!$F$34</f>
        <v/>
      </c>
      <c r="BS63" s="26">
        <f>INDEX(Premissas!$C$25:$I$25,1,BS3)*Premissas!$F$34</f>
        <v/>
      </c>
      <c r="BT63" s="26">
        <f>INDEX(Premissas!$C$25:$I$25,1,BT3)*Premissas!$F$34</f>
        <v/>
      </c>
      <c r="BU63" s="26">
        <f>INDEX(Premissas!$C$25:$I$25,1,BU3)*Premissas!$F$34</f>
        <v/>
      </c>
      <c r="BV63" s="26">
        <f>INDEX(Premissas!$C$25:$I$25,1,BV3)*Premissas!$F$34</f>
        <v/>
      </c>
      <c r="BW63" s="26">
        <f>INDEX(Premissas!$C$25:$I$25,1,BW3)*Premissas!$F$34</f>
        <v/>
      </c>
      <c r="BX63" s="26">
        <f>INDEX(Premissas!$C$25:$I$25,1,BX3)*Premissas!$F$34</f>
        <v/>
      </c>
      <c r="BY63" s="26">
        <f>INDEX(Premissas!$C$25:$I$25,1,BY3)*Premissas!$F$34</f>
        <v/>
      </c>
      <c r="BZ63" s="26">
        <f>INDEX(Premissas!$C$25:$I$25,1,BZ3)*Premissas!$F$34</f>
        <v/>
      </c>
      <c r="CA63" s="26">
        <f>INDEX(Premissas!$C$25:$I$25,1,CA3)*Premissas!$F$34</f>
        <v/>
      </c>
      <c r="CB63" s="26">
        <f>INDEX(Premissas!$C$25:$I$25,1,CB3)*Premissas!$F$34</f>
        <v/>
      </c>
      <c r="CC63" s="26">
        <f>INDEX(Premissas!$C$25:$I$25,1,CC3)*Premissas!$F$34</f>
        <v/>
      </c>
      <c r="CD63" s="26">
        <f>INDEX(Premissas!$C$25:$I$25,1,CD3)*Premissas!$F$34</f>
        <v/>
      </c>
      <c r="CE63" s="26">
        <f>INDEX(Premissas!$C$25:$I$25,1,CE3)*Premissas!$F$34</f>
        <v/>
      </c>
      <c r="CF63" s="26">
        <f>INDEX(Premissas!$C$25:$I$25,1,CF3)*Premissas!$F$34</f>
        <v/>
      </c>
      <c r="CG63" s="26">
        <f>INDEX(Premissas!$C$25:$I$25,1,CG3)*Premissas!$F$34</f>
        <v/>
      </c>
      <c r="CH63" s="26">
        <f>INDEX(Premissas!$C$25:$I$25,1,CH3)*Premissas!$F$34</f>
        <v/>
      </c>
    </row>
    <row r="64">
      <c r="A64" s="3" t="inlineStr">
        <is>
          <t>Pró-labore dos fundadores</t>
        </is>
      </c>
      <c r="C64" s="26">
        <f>INDEX(Premissas!$C$26:$I$26,1,C3)*Premissas!$F$35</f>
        <v/>
      </c>
      <c r="D64" s="26">
        <f>INDEX(Premissas!$C$26:$I$26,1,D3)*Premissas!$F$35</f>
        <v/>
      </c>
      <c r="E64" s="26">
        <f>INDEX(Premissas!$C$26:$I$26,1,E3)*Premissas!$F$35</f>
        <v/>
      </c>
      <c r="F64" s="26">
        <f>INDEX(Premissas!$C$26:$I$26,1,F3)*Premissas!$F$35</f>
        <v/>
      </c>
      <c r="G64" s="26">
        <f>INDEX(Premissas!$C$26:$I$26,1,G3)*Premissas!$F$35</f>
        <v/>
      </c>
      <c r="H64" s="26">
        <f>INDEX(Premissas!$C$26:$I$26,1,H3)*Premissas!$F$35</f>
        <v/>
      </c>
      <c r="I64" s="26">
        <f>INDEX(Premissas!$C$26:$I$26,1,I3)*Premissas!$F$35</f>
        <v/>
      </c>
      <c r="J64" s="26">
        <f>INDEX(Premissas!$C$26:$I$26,1,J3)*Premissas!$F$35</f>
        <v/>
      </c>
      <c r="K64" s="26">
        <f>INDEX(Premissas!$C$26:$I$26,1,K3)*Premissas!$F$35</f>
        <v/>
      </c>
      <c r="L64" s="26">
        <f>INDEX(Premissas!$C$26:$I$26,1,L3)*Premissas!$F$35</f>
        <v/>
      </c>
      <c r="M64" s="26">
        <f>INDEX(Premissas!$C$26:$I$26,1,M3)*Premissas!$F$35</f>
        <v/>
      </c>
      <c r="N64" s="26">
        <f>INDEX(Premissas!$C$26:$I$26,1,N3)*Premissas!$F$35</f>
        <v/>
      </c>
      <c r="O64" s="26">
        <f>INDEX(Premissas!$C$26:$I$26,1,O3)*Premissas!$F$35</f>
        <v/>
      </c>
      <c r="P64" s="26">
        <f>INDEX(Premissas!$C$26:$I$26,1,P3)*Premissas!$F$35</f>
        <v/>
      </c>
      <c r="Q64" s="26">
        <f>INDEX(Premissas!$C$26:$I$26,1,Q3)*Premissas!$F$35</f>
        <v/>
      </c>
      <c r="R64" s="26">
        <f>INDEX(Premissas!$C$26:$I$26,1,R3)*Premissas!$F$35</f>
        <v/>
      </c>
      <c r="S64" s="26">
        <f>INDEX(Premissas!$C$26:$I$26,1,S3)*Premissas!$F$35</f>
        <v/>
      </c>
      <c r="T64" s="26">
        <f>INDEX(Premissas!$C$26:$I$26,1,T3)*Premissas!$F$35</f>
        <v/>
      </c>
      <c r="U64" s="26">
        <f>INDEX(Premissas!$C$26:$I$26,1,U3)*Premissas!$F$35</f>
        <v/>
      </c>
      <c r="V64" s="26">
        <f>INDEX(Premissas!$C$26:$I$26,1,V3)*Premissas!$F$35</f>
        <v/>
      </c>
      <c r="W64" s="26">
        <f>INDEX(Premissas!$C$26:$I$26,1,W3)*Premissas!$F$35</f>
        <v/>
      </c>
      <c r="X64" s="26">
        <f>INDEX(Premissas!$C$26:$I$26,1,X3)*Premissas!$F$35</f>
        <v/>
      </c>
      <c r="Y64" s="26">
        <f>INDEX(Premissas!$C$26:$I$26,1,Y3)*Premissas!$F$35</f>
        <v/>
      </c>
      <c r="Z64" s="26">
        <f>INDEX(Premissas!$C$26:$I$26,1,Z3)*Premissas!$F$35</f>
        <v/>
      </c>
      <c r="AA64" s="26">
        <f>INDEX(Premissas!$C$26:$I$26,1,AA3)*Premissas!$F$35</f>
        <v/>
      </c>
      <c r="AB64" s="26">
        <f>INDEX(Premissas!$C$26:$I$26,1,AB3)*Premissas!$F$35</f>
        <v/>
      </c>
      <c r="AC64" s="26">
        <f>INDEX(Premissas!$C$26:$I$26,1,AC3)*Premissas!$F$35</f>
        <v/>
      </c>
      <c r="AD64" s="26">
        <f>INDEX(Premissas!$C$26:$I$26,1,AD3)*Premissas!$F$35</f>
        <v/>
      </c>
      <c r="AE64" s="26">
        <f>INDEX(Premissas!$C$26:$I$26,1,AE3)*Premissas!$F$35</f>
        <v/>
      </c>
      <c r="AF64" s="26">
        <f>INDEX(Premissas!$C$26:$I$26,1,AF3)*Premissas!$F$35</f>
        <v/>
      </c>
      <c r="AG64" s="26">
        <f>INDEX(Premissas!$C$26:$I$26,1,AG3)*Premissas!$F$35</f>
        <v/>
      </c>
      <c r="AH64" s="26">
        <f>INDEX(Premissas!$C$26:$I$26,1,AH3)*Premissas!$F$35</f>
        <v/>
      </c>
      <c r="AI64" s="26">
        <f>INDEX(Premissas!$C$26:$I$26,1,AI3)*Premissas!$F$35</f>
        <v/>
      </c>
      <c r="AJ64" s="26">
        <f>INDEX(Premissas!$C$26:$I$26,1,AJ3)*Premissas!$F$35</f>
        <v/>
      </c>
      <c r="AK64" s="26">
        <f>INDEX(Premissas!$C$26:$I$26,1,AK3)*Premissas!$F$35</f>
        <v/>
      </c>
      <c r="AL64" s="26">
        <f>INDEX(Premissas!$C$26:$I$26,1,AL3)*Premissas!$F$35</f>
        <v/>
      </c>
      <c r="AM64" s="26">
        <f>INDEX(Premissas!$C$26:$I$26,1,AM3)*Premissas!$F$35</f>
        <v/>
      </c>
      <c r="AN64" s="26">
        <f>INDEX(Premissas!$C$26:$I$26,1,AN3)*Premissas!$F$35</f>
        <v/>
      </c>
      <c r="AO64" s="26">
        <f>INDEX(Premissas!$C$26:$I$26,1,AO3)*Premissas!$F$35</f>
        <v/>
      </c>
      <c r="AP64" s="26">
        <f>INDEX(Premissas!$C$26:$I$26,1,AP3)*Premissas!$F$35</f>
        <v/>
      </c>
      <c r="AQ64" s="26">
        <f>INDEX(Premissas!$C$26:$I$26,1,AQ3)*Premissas!$F$35</f>
        <v/>
      </c>
      <c r="AR64" s="26">
        <f>INDEX(Premissas!$C$26:$I$26,1,AR3)*Premissas!$F$35</f>
        <v/>
      </c>
      <c r="AS64" s="26">
        <f>INDEX(Premissas!$C$26:$I$26,1,AS3)*Premissas!$F$35</f>
        <v/>
      </c>
      <c r="AT64" s="26">
        <f>INDEX(Premissas!$C$26:$I$26,1,AT3)*Premissas!$F$35</f>
        <v/>
      </c>
      <c r="AU64" s="26">
        <f>INDEX(Premissas!$C$26:$I$26,1,AU3)*Premissas!$F$35</f>
        <v/>
      </c>
      <c r="AV64" s="26">
        <f>INDEX(Premissas!$C$26:$I$26,1,AV3)*Premissas!$F$35</f>
        <v/>
      </c>
      <c r="AW64" s="26">
        <f>INDEX(Premissas!$C$26:$I$26,1,AW3)*Premissas!$F$35</f>
        <v/>
      </c>
      <c r="AX64" s="26">
        <f>INDEX(Premissas!$C$26:$I$26,1,AX3)*Premissas!$F$35</f>
        <v/>
      </c>
      <c r="AY64" s="26">
        <f>INDEX(Premissas!$C$26:$I$26,1,AY3)*Premissas!$F$35</f>
        <v/>
      </c>
      <c r="AZ64" s="26">
        <f>INDEX(Premissas!$C$26:$I$26,1,AZ3)*Premissas!$F$35</f>
        <v/>
      </c>
      <c r="BA64" s="26">
        <f>INDEX(Premissas!$C$26:$I$26,1,BA3)*Premissas!$F$35</f>
        <v/>
      </c>
      <c r="BB64" s="26">
        <f>INDEX(Premissas!$C$26:$I$26,1,BB3)*Premissas!$F$35</f>
        <v/>
      </c>
      <c r="BC64" s="26">
        <f>INDEX(Premissas!$C$26:$I$26,1,BC3)*Premissas!$F$35</f>
        <v/>
      </c>
      <c r="BD64" s="26">
        <f>INDEX(Premissas!$C$26:$I$26,1,BD3)*Premissas!$F$35</f>
        <v/>
      </c>
      <c r="BE64" s="26">
        <f>INDEX(Premissas!$C$26:$I$26,1,BE3)*Premissas!$F$35</f>
        <v/>
      </c>
      <c r="BF64" s="26">
        <f>INDEX(Premissas!$C$26:$I$26,1,BF3)*Premissas!$F$35</f>
        <v/>
      </c>
      <c r="BG64" s="26">
        <f>INDEX(Premissas!$C$26:$I$26,1,BG3)*Premissas!$F$35</f>
        <v/>
      </c>
      <c r="BH64" s="26">
        <f>INDEX(Premissas!$C$26:$I$26,1,BH3)*Premissas!$F$35</f>
        <v/>
      </c>
      <c r="BI64" s="26">
        <f>INDEX(Premissas!$C$26:$I$26,1,BI3)*Premissas!$F$35</f>
        <v/>
      </c>
      <c r="BJ64" s="26">
        <f>INDEX(Premissas!$C$26:$I$26,1,BJ3)*Premissas!$F$35</f>
        <v/>
      </c>
      <c r="BK64" s="26">
        <f>INDEX(Premissas!$C$26:$I$26,1,BK3)*Premissas!$F$35</f>
        <v/>
      </c>
      <c r="BL64" s="26">
        <f>INDEX(Premissas!$C$26:$I$26,1,BL3)*Premissas!$F$35</f>
        <v/>
      </c>
      <c r="BM64" s="26">
        <f>INDEX(Premissas!$C$26:$I$26,1,BM3)*Premissas!$F$35</f>
        <v/>
      </c>
      <c r="BN64" s="26">
        <f>INDEX(Premissas!$C$26:$I$26,1,BN3)*Premissas!$F$35</f>
        <v/>
      </c>
      <c r="BO64" s="26">
        <f>INDEX(Premissas!$C$26:$I$26,1,BO3)*Premissas!$F$35</f>
        <v/>
      </c>
      <c r="BP64" s="26">
        <f>INDEX(Premissas!$C$26:$I$26,1,BP3)*Premissas!$F$35</f>
        <v/>
      </c>
      <c r="BQ64" s="26">
        <f>INDEX(Premissas!$C$26:$I$26,1,BQ3)*Premissas!$F$35</f>
        <v/>
      </c>
      <c r="BR64" s="26">
        <f>INDEX(Premissas!$C$26:$I$26,1,BR3)*Premissas!$F$35</f>
        <v/>
      </c>
      <c r="BS64" s="26">
        <f>INDEX(Premissas!$C$26:$I$26,1,BS3)*Premissas!$F$35</f>
        <v/>
      </c>
      <c r="BT64" s="26">
        <f>INDEX(Premissas!$C$26:$I$26,1,BT3)*Premissas!$F$35</f>
        <v/>
      </c>
      <c r="BU64" s="26">
        <f>INDEX(Premissas!$C$26:$I$26,1,BU3)*Premissas!$F$35</f>
        <v/>
      </c>
      <c r="BV64" s="26">
        <f>INDEX(Premissas!$C$26:$I$26,1,BV3)*Premissas!$F$35</f>
        <v/>
      </c>
      <c r="BW64" s="26">
        <f>INDEX(Premissas!$C$26:$I$26,1,BW3)*Premissas!$F$35</f>
        <v/>
      </c>
      <c r="BX64" s="26">
        <f>INDEX(Premissas!$C$26:$I$26,1,BX3)*Premissas!$F$35</f>
        <v/>
      </c>
      <c r="BY64" s="26">
        <f>INDEX(Premissas!$C$26:$I$26,1,BY3)*Premissas!$F$35</f>
        <v/>
      </c>
      <c r="BZ64" s="26">
        <f>INDEX(Premissas!$C$26:$I$26,1,BZ3)*Premissas!$F$35</f>
        <v/>
      </c>
      <c r="CA64" s="26">
        <f>INDEX(Premissas!$C$26:$I$26,1,CA3)*Premissas!$F$35</f>
        <v/>
      </c>
      <c r="CB64" s="26">
        <f>INDEX(Premissas!$C$26:$I$26,1,CB3)*Premissas!$F$35</f>
        <v/>
      </c>
      <c r="CC64" s="26">
        <f>INDEX(Premissas!$C$26:$I$26,1,CC3)*Premissas!$F$35</f>
        <v/>
      </c>
      <c r="CD64" s="26">
        <f>INDEX(Premissas!$C$26:$I$26,1,CD3)*Premissas!$F$35</f>
        <v/>
      </c>
      <c r="CE64" s="26">
        <f>INDEX(Premissas!$C$26:$I$26,1,CE3)*Premissas!$F$35</f>
        <v/>
      </c>
      <c r="CF64" s="26">
        <f>INDEX(Premissas!$C$26:$I$26,1,CF3)*Premissas!$F$35</f>
        <v/>
      </c>
      <c r="CG64" s="26">
        <f>INDEX(Premissas!$C$26:$I$26,1,CG3)*Premissas!$F$35</f>
        <v/>
      </c>
      <c r="CH64" s="26">
        <f>INDEX(Premissas!$C$26:$I$26,1,CH3)*Premissas!$F$35</f>
        <v/>
      </c>
    </row>
    <row r="65">
      <c r="A65" s="3" t="inlineStr">
        <is>
          <t>Mídia paga</t>
        </is>
      </c>
      <c r="C65" s="26">
        <f>C8</f>
        <v/>
      </c>
      <c r="D65" s="26">
        <f>D8</f>
        <v/>
      </c>
      <c r="E65" s="26">
        <f>E8</f>
        <v/>
      </c>
      <c r="F65" s="26">
        <f>F8</f>
        <v/>
      </c>
      <c r="G65" s="26">
        <f>G8</f>
        <v/>
      </c>
      <c r="H65" s="26">
        <f>H8</f>
        <v/>
      </c>
      <c r="I65" s="26">
        <f>I8</f>
        <v/>
      </c>
      <c r="J65" s="26">
        <f>J8</f>
        <v/>
      </c>
      <c r="K65" s="26">
        <f>K8</f>
        <v/>
      </c>
      <c r="L65" s="26">
        <f>L8</f>
        <v/>
      </c>
      <c r="M65" s="26">
        <f>M8</f>
        <v/>
      </c>
      <c r="N65" s="26">
        <f>N8</f>
        <v/>
      </c>
      <c r="O65" s="26">
        <f>O8</f>
        <v/>
      </c>
      <c r="P65" s="26">
        <f>P8</f>
        <v/>
      </c>
      <c r="Q65" s="26">
        <f>Q8</f>
        <v/>
      </c>
      <c r="R65" s="26">
        <f>R8</f>
        <v/>
      </c>
      <c r="S65" s="26">
        <f>S8</f>
        <v/>
      </c>
      <c r="T65" s="26">
        <f>T8</f>
        <v/>
      </c>
      <c r="U65" s="26">
        <f>U8</f>
        <v/>
      </c>
      <c r="V65" s="26">
        <f>V8</f>
        <v/>
      </c>
      <c r="W65" s="26">
        <f>W8</f>
        <v/>
      </c>
      <c r="X65" s="26">
        <f>X8</f>
        <v/>
      </c>
      <c r="Y65" s="26">
        <f>Y8</f>
        <v/>
      </c>
      <c r="Z65" s="26">
        <f>Z8</f>
        <v/>
      </c>
      <c r="AA65" s="26">
        <f>AA8</f>
        <v/>
      </c>
      <c r="AB65" s="26">
        <f>AB8</f>
        <v/>
      </c>
      <c r="AC65" s="26">
        <f>AC8</f>
        <v/>
      </c>
      <c r="AD65" s="26">
        <f>AD8</f>
        <v/>
      </c>
      <c r="AE65" s="26">
        <f>AE8</f>
        <v/>
      </c>
      <c r="AF65" s="26">
        <f>AF8</f>
        <v/>
      </c>
      <c r="AG65" s="26">
        <f>AG8</f>
        <v/>
      </c>
      <c r="AH65" s="26">
        <f>AH8</f>
        <v/>
      </c>
      <c r="AI65" s="26">
        <f>AI8</f>
        <v/>
      </c>
      <c r="AJ65" s="26">
        <f>AJ8</f>
        <v/>
      </c>
      <c r="AK65" s="26">
        <f>AK8</f>
        <v/>
      </c>
      <c r="AL65" s="26">
        <f>AL8</f>
        <v/>
      </c>
      <c r="AM65" s="26">
        <f>AM8</f>
        <v/>
      </c>
      <c r="AN65" s="26">
        <f>AN8</f>
        <v/>
      </c>
      <c r="AO65" s="26">
        <f>AO8</f>
        <v/>
      </c>
      <c r="AP65" s="26">
        <f>AP8</f>
        <v/>
      </c>
      <c r="AQ65" s="26">
        <f>AQ8</f>
        <v/>
      </c>
      <c r="AR65" s="26">
        <f>AR8</f>
        <v/>
      </c>
      <c r="AS65" s="26">
        <f>AS8</f>
        <v/>
      </c>
      <c r="AT65" s="26">
        <f>AT8</f>
        <v/>
      </c>
      <c r="AU65" s="26">
        <f>AU8</f>
        <v/>
      </c>
      <c r="AV65" s="26">
        <f>AV8</f>
        <v/>
      </c>
      <c r="AW65" s="26">
        <f>AW8</f>
        <v/>
      </c>
      <c r="AX65" s="26">
        <f>AX8</f>
        <v/>
      </c>
      <c r="AY65" s="26">
        <f>AY8</f>
        <v/>
      </c>
      <c r="AZ65" s="26">
        <f>AZ8</f>
        <v/>
      </c>
      <c r="BA65" s="26">
        <f>BA8</f>
        <v/>
      </c>
      <c r="BB65" s="26">
        <f>BB8</f>
        <v/>
      </c>
      <c r="BC65" s="26">
        <f>BC8</f>
        <v/>
      </c>
      <c r="BD65" s="26">
        <f>BD8</f>
        <v/>
      </c>
      <c r="BE65" s="26">
        <f>BE8</f>
        <v/>
      </c>
      <c r="BF65" s="26">
        <f>BF8</f>
        <v/>
      </c>
      <c r="BG65" s="26">
        <f>BG8</f>
        <v/>
      </c>
      <c r="BH65" s="26">
        <f>BH8</f>
        <v/>
      </c>
      <c r="BI65" s="26">
        <f>BI8</f>
        <v/>
      </c>
      <c r="BJ65" s="26">
        <f>BJ8</f>
        <v/>
      </c>
      <c r="BK65" s="26">
        <f>BK8</f>
        <v/>
      </c>
      <c r="BL65" s="26">
        <f>BL8</f>
        <v/>
      </c>
      <c r="BM65" s="26">
        <f>BM8</f>
        <v/>
      </c>
      <c r="BN65" s="26">
        <f>BN8</f>
        <v/>
      </c>
      <c r="BO65" s="26">
        <f>BO8</f>
        <v/>
      </c>
      <c r="BP65" s="26">
        <f>BP8</f>
        <v/>
      </c>
      <c r="BQ65" s="26">
        <f>BQ8</f>
        <v/>
      </c>
      <c r="BR65" s="26">
        <f>BR8</f>
        <v/>
      </c>
      <c r="BS65" s="26">
        <f>BS8</f>
        <v/>
      </c>
      <c r="BT65" s="26">
        <f>BT8</f>
        <v/>
      </c>
      <c r="BU65" s="26">
        <f>BU8</f>
        <v/>
      </c>
      <c r="BV65" s="26">
        <f>BV8</f>
        <v/>
      </c>
      <c r="BW65" s="26">
        <f>BW8</f>
        <v/>
      </c>
      <c r="BX65" s="26">
        <f>BX8</f>
        <v/>
      </c>
      <c r="BY65" s="26">
        <f>BY8</f>
        <v/>
      </c>
      <c r="BZ65" s="26">
        <f>BZ8</f>
        <v/>
      </c>
      <c r="CA65" s="26">
        <f>CA8</f>
        <v/>
      </c>
      <c r="CB65" s="26">
        <f>CB8</f>
        <v/>
      </c>
      <c r="CC65" s="26">
        <f>CC8</f>
        <v/>
      </c>
      <c r="CD65" s="26">
        <f>CD8</f>
        <v/>
      </c>
      <c r="CE65" s="26">
        <f>CE8</f>
        <v/>
      </c>
      <c r="CF65" s="26">
        <f>CF8</f>
        <v/>
      </c>
      <c r="CG65" s="26">
        <f>CG8</f>
        <v/>
      </c>
      <c r="CH65" s="26">
        <f>CH8</f>
        <v/>
      </c>
    </row>
    <row r="66">
      <c r="A66" s="3" t="inlineStr">
        <is>
          <t>Comissões de parceria e meses grátis de indicação</t>
        </is>
      </c>
      <c r="C66" s="26">
        <f>C10*Premissas!$F$43+C11*Premissas!$F$107</f>
        <v/>
      </c>
      <c r="D66" s="26">
        <f>D10*Premissas!$F$43+D11*Premissas!$F$107</f>
        <v/>
      </c>
      <c r="E66" s="26">
        <f>E10*Premissas!$F$43+E11*Premissas!$F$107</f>
        <v/>
      </c>
      <c r="F66" s="26">
        <f>F10*Premissas!$F$43+F11*Premissas!$F$107</f>
        <v/>
      </c>
      <c r="G66" s="26">
        <f>G10*Premissas!$F$43+G11*Premissas!$F$107</f>
        <v/>
      </c>
      <c r="H66" s="26">
        <f>H10*Premissas!$F$43+H11*Premissas!$F$107</f>
        <v/>
      </c>
      <c r="I66" s="26">
        <f>I10*Premissas!$F$43+I11*Premissas!$F$107</f>
        <v/>
      </c>
      <c r="J66" s="26">
        <f>J10*Premissas!$F$43+J11*Premissas!$F$107</f>
        <v/>
      </c>
      <c r="K66" s="26">
        <f>K10*Premissas!$F$43+K11*Premissas!$F$107</f>
        <v/>
      </c>
      <c r="L66" s="26">
        <f>L10*Premissas!$F$43+L11*Premissas!$F$107</f>
        <v/>
      </c>
      <c r="M66" s="26">
        <f>M10*Premissas!$F$43+M11*Premissas!$F$107</f>
        <v/>
      </c>
      <c r="N66" s="26">
        <f>N10*Premissas!$F$43+N11*Premissas!$F$107</f>
        <v/>
      </c>
      <c r="O66" s="26">
        <f>O10*Premissas!$F$43+O11*Premissas!$F$107</f>
        <v/>
      </c>
      <c r="P66" s="26">
        <f>P10*Premissas!$F$43+P11*Premissas!$F$107</f>
        <v/>
      </c>
      <c r="Q66" s="26">
        <f>Q10*Premissas!$F$43+Q11*Premissas!$F$107</f>
        <v/>
      </c>
      <c r="R66" s="26">
        <f>R10*Premissas!$F$43+R11*Premissas!$F$107</f>
        <v/>
      </c>
      <c r="S66" s="26">
        <f>S10*Premissas!$F$43+S11*Premissas!$F$107</f>
        <v/>
      </c>
      <c r="T66" s="26">
        <f>T10*Premissas!$F$43+T11*Premissas!$F$107</f>
        <v/>
      </c>
      <c r="U66" s="26">
        <f>U10*Premissas!$F$43+U11*Premissas!$F$107</f>
        <v/>
      </c>
      <c r="V66" s="26">
        <f>V10*Premissas!$F$43+V11*Premissas!$F$107</f>
        <v/>
      </c>
      <c r="W66" s="26">
        <f>W10*Premissas!$F$43+W11*Premissas!$F$107</f>
        <v/>
      </c>
      <c r="X66" s="26">
        <f>X10*Premissas!$F$43+X11*Premissas!$F$107</f>
        <v/>
      </c>
      <c r="Y66" s="26">
        <f>Y10*Premissas!$F$43+Y11*Premissas!$F$107</f>
        <v/>
      </c>
      <c r="Z66" s="26">
        <f>Z10*Premissas!$F$43+Z11*Premissas!$F$107</f>
        <v/>
      </c>
      <c r="AA66" s="26">
        <f>AA10*Premissas!$F$43+AA11*Premissas!$F$107</f>
        <v/>
      </c>
      <c r="AB66" s="26">
        <f>AB10*Premissas!$F$43+AB11*Premissas!$F$107</f>
        <v/>
      </c>
      <c r="AC66" s="26">
        <f>AC10*Premissas!$F$43+AC11*Premissas!$F$107</f>
        <v/>
      </c>
      <c r="AD66" s="26">
        <f>AD10*Premissas!$F$43+AD11*Premissas!$F$107</f>
        <v/>
      </c>
      <c r="AE66" s="26">
        <f>AE10*Premissas!$F$43+AE11*Premissas!$F$107</f>
        <v/>
      </c>
      <c r="AF66" s="26">
        <f>AF10*Premissas!$F$43+AF11*Premissas!$F$107</f>
        <v/>
      </c>
      <c r="AG66" s="26">
        <f>AG10*Premissas!$F$43+AG11*Premissas!$F$107</f>
        <v/>
      </c>
      <c r="AH66" s="26">
        <f>AH10*Premissas!$F$43+AH11*Premissas!$F$107</f>
        <v/>
      </c>
      <c r="AI66" s="26">
        <f>AI10*Premissas!$F$43+AI11*Premissas!$F$107</f>
        <v/>
      </c>
      <c r="AJ66" s="26">
        <f>AJ10*Premissas!$F$43+AJ11*Premissas!$F$107</f>
        <v/>
      </c>
      <c r="AK66" s="26">
        <f>AK10*Premissas!$F$43+AK11*Premissas!$F$107</f>
        <v/>
      </c>
      <c r="AL66" s="26">
        <f>AL10*Premissas!$F$43+AL11*Premissas!$F$107</f>
        <v/>
      </c>
      <c r="AM66" s="26">
        <f>AM10*Premissas!$F$43+AM11*Premissas!$F$107</f>
        <v/>
      </c>
      <c r="AN66" s="26">
        <f>AN10*Premissas!$F$43+AN11*Premissas!$F$107</f>
        <v/>
      </c>
      <c r="AO66" s="26">
        <f>AO10*Premissas!$F$43+AO11*Premissas!$F$107</f>
        <v/>
      </c>
      <c r="AP66" s="26">
        <f>AP10*Premissas!$F$43+AP11*Premissas!$F$107</f>
        <v/>
      </c>
      <c r="AQ66" s="26">
        <f>AQ10*Premissas!$F$43+AQ11*Premissas!$F$107</f>
        <v/>
      </c>
      <c r="AR66" s="26">
        <f>AR10*Premissas!$F$43+AR11*Premissas!$F$107</f>
        <v/>
      </c>
      <c r="AS66" s="26">
        <f>AS10*Premissas!$F$43+AS11*Premissas!$F$107</f>
        <v/>
      </c>
      <c r="AT66" s="26">
        <f>AT10*Premissas!$F$43+AT11*Premissas!$F$107</f>
        <v/>
      </c>
      <c r="AU66" s="26">
        <f>AU10*Premissas!$F$43+AU11*Premissas!$F$107</f>
        <v/>
      </c>
      <c r="AV66" s="26">
        <f>AV10*Premissas!$F$43+AV11*Premissas!$F$107</f>
        <v/>
      </c>
      <c r="AW66" s="26">
        <f>AW10*Premissas!$F$43+AW11*Premissas!$F$107</f>
        <v/>
      </c>
      <c r="AX66" s="26">
        <f>AX10*Premissas!$F$43+AX11*Premissas!$F$107</f>
        <v/>
      </c>
      <c r="AY66" s="26">
        <f>AY10*Premissas!$F$43+AY11*Premissas!$F$107</f>
        <v/>
      </c>
      <c r="AZ66" s="26">
        <f>AZ10*Premissas!$F$43+AZ11*Premissas!$F$107</f>
        <v/>
      </c>
      <c r="BA66" s="26">
        <f>BA10*Premissas!$F$43+BA11*Premissas!$F$107</f>
        <v/>
      </c>
      <c r="BB66" s="26">
        <f>BB10*Premissas!$F$43+BB11*Premissas!$F$107</f>
        <v/>
      </c>
      <c r="BC66" s="26">
        <f>BC10*Premissas!$F$43+BC11*Premissas!$F$107</f>
        <v/>
      </c>
      <c r="BD66" s="26">
        <f>BD10*Premissas!$F$43+BD11*Premissas!$F$107</f>
        <v/>
      </c>
      <c r="BE66" s="26">
        <f>BE10*Premissas!$F$43+BE11*Premissas!$F$107</f>
        <v/>
      </c>
      <c r="BF66" s="26">
        <f>BF10*Premissas!$F$43+BF11*Premissas!$F$107</f>
        <v/>
      </c>
      <c r="BG66" s="26">
        <f>BG10*Premissas!$F$43+BG11*Premissas!$F$107</f>
        <v/>
      </c>
      <c r="BH66" s="26">
        <f>BH10*Premissas!$F$43+BH11*Premissas!$F$107</f>
        <v/>
      </c>
      <c r="BI66" s="26">
        <f>BI10*Premissas!$F$43+BI11*Premissas!$F$107</f>
        <v/>
      </c>
      <c r="BJ66" s="26">
        <f>BJ10*Premissas!$F$43+BJ11*Premissas!$F$107</f>
        <v/>
      </c>
      <c r="BK66" s="26">
        <f>BK10*Premissas!$F$43+BK11*Premissas!$F$107</f>
        <v/>
      </c>
      <c r="BL66" s="26">
        <f>BL10*Premissas!$F$43+BL11*Premissas!$F$107</f>
        <v/>
      </c>
      <c r="BM66" s="26">
        <f>BM10*Premissas!$F$43+BM11*Premissas!$F$107</f>
        <v/>
      </c>
      <c r="BN66" s="26">
        <f>BN10*Premissas!$F$43+BN11*Premissas!$F$107</f>
        <v/>
      </c>
      <c r="BO66" s="26">
        <f>BO10*Premissas!$F$43+BO11*Premissas!$F$107</f>
        <v/>
      </c>
      <c r="BP66" s="26">
        <f>BP10*Premissas!$F$43+BP11*Premissas!$F$107</f>
        <v/>
      </c>
      <c r="BQ66" s="26">
        <f>BQ10*Premissas!$F$43+BQ11*Premissas!$F$107</f>
        <v/>
      </c>
      <c r="BR66" s="26">
        <f>BR10*Premissas!$F$43+BR11*Premissas!$F$107</f>
        <v/>
      </c>
      <c r="BS66" s="26">
        <f>BS10*Premissas!$F$43+BS11*Premissas!$F$107</f>
        <v/>
      </c>
      <c r="BT66" s="26">
        <f>BT10*Premissas!$F$43+BT11*Premissas!$F$107</f>
        <v/>
      </c>
      <c r="BU66" s="26">
        <f>BU10*Premissas!$F$43+BU11*Premissas!$F$107</f>
        <v/>
      </c>
      <c r="BV66" s="26">
        <f>BV10*Premissas!$F$43+BV11*Premissas!$F$107</f>
        <v/>
      </c>
      <c r="BW66" s="26">
        <f>BW10*Premissas!$F$43+BW11*Premissas!$F$107</f>
        <v/>
      </c>
      <c r="BX66" s="26">
        <f>BX10*Premissas!$F$43+BX11*Premissas!$F$107</f>
        <v/>
      </c>
      <c r="BY66" s="26">
        <f>BY10*Premissas!$F$43+BY11*Premissas!$F$107</f>
        <v/>
      </c>
      <c r="BZ66" s="26">
        <f>BZ10*Premissas!$F$43+BZ11*Premissas!$F$107</f>
        <v/>
      </c>
      <c r="CA66" s="26">
        <f>CA10*Premissas!$F$43+CA11*Premissas!$F$107</f>
        <v/>
      </c>
      <c r="CB66" s="26">
        <f>CB10*Premissas!$F$43+CB11*Premissas!$F$107</f>
        <v/>
      </c>
      <c r="CC66" s="26">
        <f>CC10*Premissas!$F$43+CC11*Premissas!$F$107</f>
        <v/>
      </c>
      <c r="CD66" s="26">
        <f>CD10*Premissas!$F$43+CD11*Premissas!$F$107</f>
        <v/>
      </c>
      <c r="CE66" s="26">
        <f>CE10*Premissas!$F$43+CE11*Premissas!$F$107</f>
        <v/>
      </c>
      <c r="CF66" s="26">
        <f>CF10*Premissas!$F$43+CF11*Premissas!$F$107</f>
        <v/>
      </c>
      <c r="CG66" s="26">
        <f>CG10*Premissas!$F$43+CG11*Premissas!$F$107</f>
        <v/>
      </c>
      <c r="CH66" s="26">
        <f>CH10*Premissas!$F$43+CH11*Premissas!$F$107</f>
        <v/>
      </c>
    </row>
    <row r="67">
      <c r="A67" s="3" t="inlineStr">
        <is>
          <t>Marca e eventos</t>
        </is>
      </c>
      <c r="C67" s="26">
        <f>C8*Premissas!$F$38</f>
        <v/>
      </c>
      <c r="D67" s="26">
        <f>D8*Premissas!$F$38</f>
        <v/>
      </c>
      <c r="E67" s="26">
        <f>E8*Premissas!$F$38</f>
        <v/>
      </c>
      <c r="F67" s="26">
        <f>F8*Premissas!$F$38</f>
        <v/>
      </c>
      <c r="G67" s="26">
        <f>G8*Premissas!$F$38</f>
        <v/>
      </c>
      <c r="H67" s="26">
        <f>H8*Premissas!$F$38</f>
        <v/>
      </c>
      <c r="I67" s="26">
        <f>I8*Premissas!$F$38</f>
        <v/>
      </c>
      <c r="J67" s="26">
        <f>J8*Premissas!$F$38</f>
        <v/>
      </c>
      <c r="K67" s="26">
        <f>K8*Premissas!$F$38</f>
        <v/>
      </c>
      <c r="L67" s="26">
        <f>L8*Premissas!$F$38</f>
        <v/>
      </c>
      <c r="M67" s="26">
        <f>M8*Premissas!$F$38</f>
        <v/>
      </c>
      <c r="N67" s="26">
        <f>N8*Premissas!$F$38</f>
        <v/>
      </c>
      <c r="O67" s="26">
        <f>O8*Premissas!$F$38</f>
        <v/>
      </c>
      <c r="P67" s="26">
        <f>P8*Premissas!$F$38</f>
        <v/>
      </c>
      <c r="Q67" s="26">
        <f>Q8*Premissas!$F$38</f>
        <v/>
      </c>
      <c r="R67" s="26">
        <f>R8*Premissas!$F$38</f>
        <v/>
      </c>
      <c r="S67" s="26">
        <f>S8*Premissas!$F$38</f>
        <v/>
      </c>
      <c r="T67" s="26">
        <f>T8*Premissas!$F$38</f>
        <v/>
      </c>
      <c r="U67" s="26">
        <f>U8*Premissas!$F$38</f>
        <v/>
      </c>
      <c r="V67" s="26">
        <f>V8*Premissas!$F$38</f>
        <v/>
      </c>
      <c r="W67" s="26">
        <f>W8*Premissas!$F$38</f>
        <v/>
      </c>
      <c r="X67" s="26">
        <f>X8*Premissas!$F$38</f>
        <v/>
      </c>
      <c r="Y67" s="26">
        <f>Y8*Premissas!$F$38</f>
        <v/>
      </c>
      <c r="Z67" s="26">
        <f>Z8*Premissas!$F$38</f>
        <v/>
      </c>
      <c r="AA67" s="26">
        <f>AA8*Premissas!$F$38</f>
        <v/>
      </c>
      <c r="AB67" s="26">
        <f>AB8*Premissas!$F$38</f>
        <v/>
      </c>
      <c r="AC67" s="26">
        <f>AC8*Premissas!$F$38</f>
        <v/>
      </c>
      <c r="AD67" s="26">
        <f>AD8*Premissas!$F$38</f>
        <v/>
      </c>
      <c r="AE67" s="26">
        <f>AE8*Premissas!$F$38</f>
        <v/>
      </c>
      <c r="AF67" s="26">
        <f>AF8*Premissas!$F$38</f>
        <v/>
      </c>
      <c r="AG67" s="26">
        <f>AG8*Premissas!$F$38</f>
        <v/>
      </c>
      <c r="AH67" s="26">
        <f>AH8*Premissas!$F$38</f>
        <v/>
      </c>
      <c r="AI67" s="26">
        <f>AI8*Premissas!$F$38</f>
        <v/>
      </c>
      <c r="AJ67" s="26">
        <f>AJ8*Premissas!$F$38</f>
        <v/>
      </c>
      <c r="AK67" s="26">
        <f>AK8*Premissas!$F$38</f>
        <v/>
      </c>
      <c r="AL67" s="26">
        <f>AL8*Premissas!$F$38</f>
        <v/>
      </c>
      <c r="AM67" s="26">
        <f>AM8*Premissas!$F$38</f>
        <v/>
      </c>
      <c r="AN67" s="26">
        <f>AN8*Premissas!$F$38</f>
        <v/>
      </c>
      <c r="AO67" s="26">
        <f>AO8*Premissas!$F$38</f>
        <v/>
      </c>
      <c r="AP67" s="26">
        <f>AP8*Premissas!$F$38</f>
        <v/>
      </c>
      <c r="AQ67" s="26">
        <f>AQ8*Premissas!$F$38</f>
        <v/>
      </c>
      <c r="AR67" s="26">
        <f>AR8*Premissas!$F$38</f>
        <v/>
      </c>
      <c r="AS67" s="26">
        <f>AS8*Premissas!$F$38</f>
        <v/>
      </c>
      <c r="AT67" s="26">
        <f>AT8*Premissas!$F$38</f>
        <v/>
      </c>
      <c r="AU67" s="26">
        <f>AU8*Premissas!$F$38</f>
        <v/>
      </c>
      <c r="AV67" s="26">
        <f>AV8*Premissas!$F$38</f>
        <v/>
      </c>
      <c r="AW67" s="26">
        <f>AW8*Premissas!$F$38</f>
        <v/>
      </c>
      <c r="AX67" s="26">
        <f>AX8*Premissas!$F$38</f>
        <v/>
      </c>
      <c r="AY67" s="26">
        <f>AY8*Premissas!$F$38</f>
        <v/>
      </c>
      <c r="AZ67" s="26">
        <f>AZ8*Premissas!$F$38</f>
        <v/>
      </c>
      <c r="BA67" s="26">
        <f>BA8*Premissas!$F$38</f>
        <v/>
      </c>
      <c r="BB67" s="26">
        <f>BB8*Premissas!$F$38</f>
        <v/>
      </c>
      <c r="BC67" s="26">
        <f>BC8*Premissas!$F$38</f>
        <v/>
      </c>
      <c r="BD67" s="26">
        <f>BD8*Premissas!$F$38</f>
        <v/>
      </c>
      <c r="BE67" s="26">
        <f>BE8*Premissas!$F$38</f>
        <v/>
      </c>
      <c r="BF67" s="26">
        <f>BF8*Premissas!$F$38</f>
        <v/>
      </c>
      <c r="BG67" s="26">
        <f>BG8*Premissas!$F$38</f>
        <v/>
      </c>
      <c r="BH67" s="26">
        <f>BH8*Premissas!$F$38</f>
        <v/>
      </c>
      <c r="BI67" s="26">
        <f>BI8*Premissas!$F$38</f>
        <v/>
      </c>
      <c r="BJ67" s="26">
        <f>BJ8*Premissas!$F$38</f>
        <v/>
      </c>
      <c r="BK67" s="26">
        <f>BK8*Premissas!$F$38</f>
        <v/>
      </c>
      <c r="BL67" s="26">
        <f>BL8*Premissas!$F$38</f>
        <v/>
      </c>
      <c r="BM67" s="26">
        <f>BM8*Premissas!$F$38</f>
        <v/>
      </c>
      <c r="BN67" s="26">
        <f>BN8*Premissas!$F$38</f>
        <v/>
      </c>
      <c r="BO67" s="26">
        <f>BO8*Premissas!$F$38</f>
        <v/>
      </c>
      <c r="BP67" s="26">
        <f>BP8*Premissas!$F$38</f>
        <v/>
      </c>
      <c r="BQ67" s="26">
        <f>BQ8*Premissas!$F$38</f>
        <v/>
      </c>
      <c r="BR67" s="26">
        <f>BR8*Premissas!$F$38</f>
        <v/>
      </c>
      <c r="BS67" s="26">
        <f>BS8*Premissas!$F$38</f>
        <v/>
      </c>
      <c r="BT67" s="26">
        <f>BT8*Premissas!$F$38</f>
        <v/>
      </c>
      <c r="BU67" s="26">
        <f>BU8*Premissas!$F$38</f>
        <v/>
      </c>
      <c r="BV67" s="26">
        <f>BV8*Premissas!$F$38</f>
        <v/>
      </c>
      <c r="BW67" s="26">
        <f>BW8*Premissas!$F$38</f>
        <v/>
      </c>
      <c r="BX67" s="26">
        <f>BX8*Premissas!$F$38</f>
        <v/>
      </c>
      <c r="BY67" s="26">
        <f>BY8*Premissas!$F$38</f>
        <v/>
      </c>
      <c r="BZ67" s="26">
        <f>BZ8*Premissas!$F$38</f>
        <v/>
      </c>
      <c r="CA67" s="26">
        <f>CA8*Premissas!$F$38</f>
        <v/>
      </c>
      <c r="CB67" s="26">
        <f>CB8*Premissas!$F$38</f>
        <v/>
      </c>
      <c r="CC67" s="26">
        <f>CC8*Premissas!$F$38</f>
        <v/>
      </c>
      <c r="CD67" s="26">
        <f>CD8*Premissas!$F$38</f>
        <v/>
      </c>
      <c r="CE67" s="26">
        <f>CE8*Premissas!$F$38</f>
        <v/>
      </c>
      <c r="CF67" s="26">
        <f>CF8*Premissas!$F$38</f>
        <v/>
      </c>
      <c r="CG67" s="26">
        <f>CG8*Premissas!$F$38</f>
        <v/>
      </c>
      <c r="CH67" s="26">
        <f>CH8*Premissas!$F$38</f>
        <v/>
      </c>
    </row>
    <row r="68">
      <c r="A68" s="3" t="inlineStr">
        <is>
          <t>Outras despesas</t>
        </is>
      </c>
      <c r="C68" s="26">
        <f>Premissas!$F$36+C45*Premissas!$F$37</f>
        <v/>
      </c>
      <c r="D68" s="26">
        <f>Premissas!$F$36+D45*Premissas!$F$37</f>
        <v/>
      </c>
      <c r="E68" s="26">
        <f>Premissas!$F$36+E45*Premissas!$F$37</f>
        <v/>
      </c>
      <c r="F68" s="26">
        <f>Premissas!$F$36+F45*Premissas!$F$37</f>
        <v/>
      </c>
      <c r="G68" s="26">
        <f>Premissas!$F$36+G45*Premissas!$F$37</f>
        <v/>
      </c>
      <c r="H68" s="26">
        <f>Premissas!$F$36+H45*Premissas!$F$37</f>
        <v/>
      </c>
      <c r="I68" s="26">
        <f>Premissas!$F$36+I45*Premissas!$F$37</f>
        <v/>
      </c>
      <c r="J68" s="26">
        <f>Premissas!$F$36+J45*Premissas!$F$37</f>
        <v/>
      </c>
      <c r="K68" s="26">
        <f>Premissas!$F$36+K45*Premissas!$F$37</f>
        <v/>
      </c>
      <c r="L68" s="26">
        <f>Premissas!$F$36+L45*Premissas!$F$37</f>
        <v/>
      </c>
      <c r="M68" s="26">
        <f>Premissas!$F$36+M45*Premissas!$F$37</f>
        <v/>
      </c>
      <c r="N68" s="26">
        <f>Premissas!$F$36+N45*Premissas!$F$37</f>
        <v/>
      </c>
      <c r="O68" s="26">
        <f>Premissas!$F$36+O45*Premissas!$F$37</f>
        <v/>
      </c>
      <c r="P68" s="26">
        <f>Premissas!$F$36+P45*Premissas!$F$37</f>
        <v/>
      </c>
      <c r="Q68" s="26">
        <f>Premissas!$F$36+Q45*Premissas!$F$37</f>
        <v/>
      </c>
      <c r="R68" s="26">
        <f>Premissas!$F$36+R45*Premissas!$F$37</f>
        <v/>
      </c>
      <c r="S68" s="26">
        <f>Premissas!$F$36+S45*Premissas!$F$37</f>
        <v/>
      </c>
      <c r="T68" s="26">
        <f>Premissas!$F$36+T45*Premissas!$F$37</f>
        <v/>
      </c>
      <c r="U68" s="26">
        <f>Premissas!$F$36+U45*Premissas!$F$37</f>
        <v/>
      </c>
      <c r="V68" s="26">
        <f>Premissas!$F$36+V45*Premissas!$F$37</f>
        <v/>
      </c>
      <c r="W68" s="26">
        <f>Premissas!$F$36+W45*Premissas!$F$37</f>
        <v/>
      </c>
      <c r="X68" s="26">
        <f>Premissas!$F$36+X45*Premissas!$F$37</f>
        <v/>
      </c>
      <c r="Y68" s="26">
        <f>Premissas!$F$36+Y45*Premissas!$F$37</f>
        <v/>
      </c>
      <c r="Z68" s="26">
        <f>Premissas!$F$36+Z45*Premissas!$F$37</f>
        <v/>
      </c>
      <c r="AA68" s="26">
        <f>Premissas!$F$36+AA45*Premissas!$F$37</f>
        <v/>
      </c>
      <c r="AB68" s="26">
        <f>Premissas!$F$36+AB45*Premissas!$F$37</f>
        <v/>
      </c>
      <c r="AC68" s="26">
        <f>Premissas!$F$36+AC45*Premissas!$F$37</f>
        <v/>
      </c>
      <c r="AD68" s="26">
        <f>Premissas!$F$36+AD45*Premissas!$F$37</f>
        <v/>
      </c>
      <c r="AE68" s="26">
        <f>Premissas!$F$36+AE45*Premissas!$F$37</f>
        <v/>
      </c>
      <c r="AF68" s="26">
        <f>Premissas!$F$36+AF45*Premissas!$F$37</f>
        <v/>
      </c>
      <c r="AG68" s="26">
        <f>Premissas!$F$36+AG45*Premissas!$F$37</f>
        <v/>
      </c>
      <c r="AH68" s="26">
        <f>Premissas!$F$36+AH45*Premissas!$F$37</f>
        <v/>
      </c>
      <c r="AI68" s="26">
        <f>Premissas!$F$36+AI45*Premissas!$F$37</f>
        <v/>
      </c>
      <c r="AJ68" s="26">
        <f>Premissas!$F$36+AJ45*Premissas!$F$37</f>
        <v/>
      </c>
      <c r="AK68" s="26">
        <f>Premissas!$F$36+AK45*Premissas!$F$37</f>
        <v/>
      </c>
      <c r="AL68" s="26">
        <f>Premissas!$F$36+AL45*Premissas!$F$37</f>
        <v/>
      </c>
      <c r="AM68" s="26">
        <f>Premissas!$F$36+AM45*Premissas!$F$37</f>
        <v/>
      </c>
      <c r="AN68" s="26">
        <f>Premissas!$F$36+AN45*Premissas!$F$37</f>
        <v/>
      </c>
      <c r="AO68" s="26">
        <f>Premissas!$F$36+AO45*Premissas!$F$37</f>
        <v/>
      </c>
      <c r="AP68" s="26">
        <f>Premissas!$F$36+AP45*Premissas!$F$37</f>
        <v/>
      </c>
      <c r="AQ68" s="26">
        <f>Premissas!$F$36+AQ45*Premissas!$F$37</f>
        <v/>
      </c>
      <c r="AR68" s="26">
        <f>Premissas!$F$36+AR45*Premissas!$F$37</f>
        <v/>
      </c>
      <c r="AS68" s="26">
        <f>Premissas!$F$36+AS45*Premissas!$F$37</f>
        <v/>
      </c>
      <c r="AT68" s="26">
        <f>Premissas!$F$36+AT45*Premissas!$F$37</f>
        <v/>
      </c>
      <c r="AU68" s="26">
        <f>Premissas!$F$36+AU45*Premissas!$F$37</f>
        <v/>
      </c>
      <c r="AV68" s="26">
        <f>Premissas!$F$36+AV45*Premissas!$F$37</f>
        <v/>
      </c>
      <c r="AW68" s="26">
        <f>Premissas!$F$36+AW45*Premissas!$F$37</f>
        <v/>
      </c>
      <c r="AX68" s="26">
        <f>Premissas!$F$36+AX45*Premissas!$F$37</f>
        <v/>
      </c>
      <c r="AY68" s="26">
        <f>Premissas!$F$36+AY45*Premissas!$F$37</f>
        <v/>
      </c>
      <c r="AZ68" s="26">
        <f>Premissas!$F$36+AZ45*Premissas!$F$37</f>
        <v/>
      </c>
      <c r="BA68" s="26">
        <f>Premissas!$F$36+BA45*Premissas!$F$37</f>
        <v/>
      </c>
      <c r="BB68" s="26">
        <f>Premissas!$F$36+BB45*Premissas!$F$37</f>
        <v/>
      </c>
      <c r="BC68" s="26">
        <f>Premissas!$F$36+BC45*Premissas!$F$37</f>
        <v/>
      </c>
      <c r="BD68" s="26">
        <f>Premissas!$F$36+BD45*Premissas!$F$37</f>
        <v/>
      </c>
      <c r="BE68" s="26">
        <f>Premissas!$F$36+BE45*Premissas!$F$37</f>
        <v/>
      </c>
      <c r="BF68" s="26">
        <f>Premissas!$F$36+BF45*Premissas!$F$37</f>
        <v/>
      </c>
      <c r="BG68" s="26">
        <f>Premissas!$F$36+BG45*Premissas!$F$37</f>
        <v/>
      </c>
      <c r="BH68" s="26">
        <f>Premissas!$F$36+BH45*Premissas!$F$37</f>
        <v/>
      </c>
      <c r="BI68" s="26">
        <f>Premissas!$F$36+BI45*Premissas!$F$37</f>
        <v/>
      </c>
      <c r="BJ68" s="26">
        <f>Premissas!$F$36+BJ45*Premissas!$F$37</f>
        <v/>
      </c>
      <c r="BK68" s="26">
        <f>Premissas!$F$36+BK45*Premissas!$F$37</f>
        <v/>
      </c>
      <c r="BL68" s="26">
        <f>Premissas!$F$36+BL45*Premissas!$F$37</f>
        <v/>
      </c>
      <c r="BM68" s="26">
        <f>Premissas!$F$36+BM45*Premissas!$F$37</f>
        <v/>
      </c>
      <c r="BN68" s="26">
        <f>Premissas!$F$36+BN45*Premissas!$F$37</f>
        <v/>
      </c>
      <c r="BO68" s="26">
        <f>Premissas!$F$36+BO45*Premissas!$F$37</f>
        <v/>
      </c>
      <c r="BP68" s="26">
        <f>Premissas!$F$36+BP45*Premissas!$F$37</f>
        <v/>
      </c>
      <c r="BQ68" s="26">
        <f>Premissas!$F$36+BQ45*Premissas!$F$37</f>
        <v/>
      </c>
      <c r="BR68" s="26">
        <f>Premissas!$F$36+BR45*Premissas!$F$37</f>
        <v/>
      </c>
      <c r="BS68" s="26">
        <f>Premissas!$F$36+BS45*Premissas!$F$37</f>
        <v/>
      </c>
      <c r="BT68" s="26">
        <f>Premissas!$F$36+BT45*Premissas!$F$37</f>
        <v/>
      </c>
      <c r="BU68" s="26">
        <f>Premissas!$F$36+BU45*Premissas!$F$37</f>
        <v/>
      </c>
      <c r="BV68" s="26">
        <f>Premissas!$F$36+BV45*Premissas!$F$37</f>
        <v/>
      </c>
      <c r="BW68" s="26">
        <f>Premissas!$F$36+BW45*Premissas!$F$37</f>
        <v/>
      </c>
      <c r="BX68" s="26">
        <f>Premissas!$F$36+BX45*Premissas!$F$37</f>
        <v/>
      </c>
      <c r="BY68" s="26">
        <f>Premissas!$F$36+BY45*Premissas!$F$37</f>
        <v/>
      </c>
      <c r="BZ68" s="26">
        <f>Premissas!$F$36+BZ45*Premissas!$F$37</f>
        <v/>
      </c>
      <c r="CA68" s="26">
        <f>Premissas!$F$36+CA45*Premissas!$F$37</f>
        <v/>
      </c>
      <c r="CB68" s="26">
        <f>Premissas!$F$36+CB45*Premissas!$F$37</f>
        <v/>
      </c>
      <c r="CC68" s="26">
        <f>Premissas!$F$36+CC45*Premissas!$F$37</f>
        <v/>
      </c>
      <c r="CD68" s="26">
        <f>Premissas!$F$36+CD45*Premissas!$F$37</f>
        <v/>
      </c>
      <c r="CE68" s="26">
        <f>Premissas!$F$36+CE45*Premissas!$F$37</f>
        <v/>
      </c>
      <c r="CF68" s="26">
        <f>Premissas!$F$36+CF45*Premissas!$F$37</f>
        <v/>
      </c>
      <c r="CG68" s="26">
        <f>Premissas!$F$36+CG45*Premissas!$F$37</f>
        <v/>
      </c>
      <c r="CH68" s="26">
        <f>Premissas!$F$36+CH45*Premissas!$F$37</f>
        <v/>
      </c>
    </row>
    <row r="69">
      <c r="A69" s="3" t="inlineStr">
        <is>
          <t>Custo único da expansão</t>
        </is>
      </c>
      <c r="C69" s="26">
        <f>IF(C2=Premissas!$F$13,Premissas!$F$16,0)</f>
        <v/>
      </c>
      <c r="D69" s="26">
        <f>IF(D2=Premissas!$F$13,Premissas!$F$16,0)</f>
        <v/>
      </c>
      <c r="E69" s="26">
        <f>IF(E2=Premissas!$F$13,Premissas!$F$16,0)</f>
        <v/>
      </c>
      <c r="F69" s="26">
        <f>IF(F2=Premissas!$F$13,Premissas!$F$16,0)</f>
        <v/>
      </c>
      <c r="G69" s="26">
        <f>IF(G2=Premissas!$F$13,Premissas!$F$16,0)</f>
        <v/>
      </c>
      <c r="H69" s="26">
        <f>IF(H2=Premissas!$F$13,Premissas!$F$16,0)</f>
        <v/>
      </c>
      <c r="I69" s="26">
        <f>IF(I2=Premissas!$F$13,Premissas!$F$16,0)</f>
        <v/>
      </c>
      <c r="J69" s="26">
        <f>IF(J2=Premissas!$F$13,Premissas!$F$16,0)</f>
        <v/>
      </c>
      <c r="K69" s="26">
        <f>IF(K2=Premissas!$F$13,Premissas!$F$16,0)</f>
        <v/>
      </c>
      <c r="L69" s="26">
        <f>IF(L2=Premissas!$F$13,Premissas!$F$16,0)</f>
        <v/>
      </c>
      <c r="M69" s="26">
        <f>IF(M2=Premissas!$F$13,Premissas!$F$16,0)</f>
        <v/>
      </c>
      <c r="N69" s="26">
        <f>IF(N2=Premissas!$F$13,Premissas!$F$16,0)</f>
        <v/>
      </c>
      <c r="O69" s="26">
        <f>IF(O2=Premissas!$F$13,Premissas!$F$16,0)</f>
        <v/>
      </c>
      <c r="P69" s="26">
        <f>IF(P2=Premissas!$F$13,Premissas!$F$16,0)</f>
        <v/>
      </c>
      <c r="Q69" s="26">
        <f>IF(Q2=Premissas!$F$13,Premissas!$F$16,0)</f>
        <v/>
      </c>
      <c r="R69" s="26">
        <f>IF(R2=Premissas!$F$13,Premissas!$F$16,0)</f>
        <v/>
      </c>
      <c r="S69" s="26">
        <f>IF(S2=Premissas!$F$13,Premissas!$F$16,0)</f>
        <v/>
      </c>
      <c r="T69" s="26">
        <f>IF(T2=Premissas!$F$13,Premissas!$F$16,0)</f>
        <v/>
      </c>
      <c r="U69" s="26">
        <f>IF(U2=Premissas!$F$13,Premissas!$F$16,0)</f>
        <v/>
      </c>
      <c r="V69" s="26">
        <f>IF(V2=Premissas!$F$13,Premissas!$F$16,0)</f>
        <v/>
      </c>
      <c r="W69" s="26">
        <f>IF(W2=Premissas!$F$13,Premissas!$F$16,0)</f>
        <v/>
      </c>
      <c r="X69" s="26">
        <f>IF(X2=Premissas!$F$13,Premissas!$F$16,0)</f>
        <v/>
      </c>
      <c r="Y69" s="26">
        <f>IF(Y2=Premissas!$F$13,Premissas!$F$16,0)</f>
        <v/>
      </c>
      <c r="Z69" s="26">
        <f>IF(Z2=Premissas!$F$13,Premissas!$F$16,0)</f>
        <v/>
      </c>
      <c r="AA69" s="26">
        <f>IF(AA2=Premissas!$F$13,Premissas!$F$16,0)</f>
        <v/>
      </c>
      <c r="AB69" s="26">
        <f>IF(AB2=Premissas!$F$13,Premissas!$F$16,0)</f>
        <v/>
      </c>
      <c r="AC69" s="26">
        <f>IF(AC2=Premissas!$F$13,Premissas!$F$16,0)</f>
        <v/>
      </c>
      <c r="AD69" s="26">
        <f>IF(AD2=Premissas!$F$13,Premissas!$F$16,0)</f>
        <v/>
      </c>
      <c r="AE69" s="26">
        <f>IF(AE2=Premissas!$F$13,Premissas!$F$16,0)</f>
        <v/>
      </c>
      <c r="AF69" s="26">
        <f>IF(AF2=Premissas!$F$13,Premissas!$F$16,0)</f>
        <v/>
      </c>
      <c r="AG69" s="26">
        <f>IF(AG2=Premissas!$F$13,Premissas!$F$16,0)</f>
        <v/>
      </c>
      <c r="AH69" s="26">
        <f>IF(AH2=Premissas!$F$13,Premissas!$F$16,0)</f>
        <v/>
      </c>
      <c r="AI69" s="26">
        <f>IF(AI2=Premissas!$F$13,Premissas!$F$16,0)</f>
        <v/>
      </c>
      <c r="AJ69" s="26">
        <f>IF(AJ2=Premissas!$F$13,Premissas!$F$16,0)</f>
        <v/>
      </c>
      <c r="AK69" s="26">
        <f>IF(AK2=Premissas!$F$13,Premissas!$F$16,0)</f>
        <v/>
      </c>
      <c r="AL69" s="26">
        <f>IF(AL2=Premissas!$F$13,Premissas!$F$16,0)</f>
        <v/>
      </c>
      <c r="AM69" s="26">
        <f>IF(AM2=Premissas!$F$13,Premissas!$F$16,0)</f>
        <v/>
      </c>
      <c r="AN69" s="26">
        <f>IF(AN2=Premissas!$F$13,Premissas!$F$16,0)</f>
        <v/>
      </c>
      <c r="AO69" s="26">
        <f>IF(AO2=Premissas!$F$13,Premissas!$F$16,0)</f>
        <v/>
      </c>
      <c r="AP69" s="26">
        <f>IF(AP2=Premissas!$F$13,Premissas!$F$16,0)</f>
        <v/>
      </c>
      <c r="AQ69" s="26">
        <f>IF(AQ2=Premissas!$F$13,Premissas!$F$16,0)</f>
        <v/>
      </c>
      <c r="AR69" s="26">
        <f>IF(AR2=Premissas!$F$13,Premissas!$F$16,0)</f>
        <v/>
      </c>
      <c r="AS69" s="26">
        <f>IF(AS2=Premissas!$F$13,Premissas!$F$16,0)</f>
        <v/>
      </c>
      <c r="AT69" s="26">
        <f>IF(AT2=Premissas!$F$13,Premissas!$F$16,0)</f>
        <v/>
      </c>
      <c r="AU69" s="26">
        <f>IF(AU2=Premissas!$F$13,Premissas!$F$16,0)</f>
        <v/>
      </c>
      <c r="AV69" s="26">
        <f>IF(AV2=Premissas!$F$13,Premissas!$F$16,0)</f>
        <v/>
      </c>
      <c r="AW69" s="26">
        <f>IF(AW2=Premissas!$F$13,Premissas!$F$16,0)</f>
        <v/>
      </c>
      <c r="AX69" s="26">
        <f>IF(AX2=Premissas!$F$13,Premissas!$F$16,0)</f>
        <v/>
      </c>
      <c r="AY69" s="26">
        <f>IF(AY2=Premissas!$F$13,Premissas!$F$16,0)</f>
        <v/>
      </c>
      <c r="AZ69" s="26">
        <f>IF(AZ2=Premissas!$F$13,Premissas!$F$16,0)</f>
        <v/>
      </c>
      <c r="BA69" s="26">
        <f>IF(BA2=Premissas!$F$13,Premissas!$F$16,0)</f>
        <v/>
      </c>
      <c r="BB69" s="26">
        <f>IF(BB2=Premissas!$F$13,Premissas!$F$16,0)</f>
        <v/>
      </c>
      <c r="BC69" s="26">
        <f>IF(BC2=Premissas!$F$13,Premissas!$F$16,0)</f>
        <v/>
      </c>
      <c r="BD69" s="26">
        <f>IF(BD2=Premissas!$F$13,Premissas!$F$16,0)</f>
        <v/>
      </c>
      <c r="BE69" s="26">
        <f>IF(BE2=Premissas!$F$13,Premissas!$F$16,0)</f>
        <v/>
      </c>
      <c r="BF69" s="26">
        <f>IF(BF2=Premissas!$F$13,Premissas!$F$16,0)</f>
        <v/>
      </c>
      <c r="BG69" s="26">
        <f>IF(BG2=Premissas!$F$13,Premissas!$F$16,0)</f>
        <v/>
      </c>
      <c r="BH69" s="26">
        <f>IF(BH2=Premissas!$F$13,Premissas!$F$16,0)</f>
        <v/>
      </c>
      <c r="BI69" s="26">
        <f>IF(BI2=Premissas!$F$13,Premissas!$F$16,0)</f>
        <v/>
      </c>
      <c r="BJ69" s="26">
        <f>IF(BJ2=Premissas!$F$13,Premissas!$F$16,0)</f>
        <v/>
      </c>
      <c r="BK69" s="26">
        <f>IF(BK2=Premissas!$F$13,Premissas!$F$16,0)</f>
        <v/>
      </c>
      <c r="BL69" s="26">
        <f>IF(BL2=Premissas!$F$13,Premissas!$F$16,0)</f>
        <v/>
      </c>
      <c r="BM69" s="26">
        <f>IF(BM2=Premissas!$F$13,Premissas!$F$16,0)</f>
        <v/>
      </c>
      <c r="BN69" s="26">
        <f>IF(BN2=Premissas!$F$13,Premissas!$F$16,0)</f>
        <v/>
      </c>
      <c r="BO69" s="26">
        <f>IF(BO2=Premissas!$F$13,Premissas!$F$16,0)</f>
        <v/>
      </c>
      <c r="BP69" s="26">
        <f>IF(BP2=Premissas!$F$13,Premissas!$F$16,0)</f>
        <v/>
      </c>
      <c r="BQ69" s="26">
        <f>IF(BQ2=Premissas!$F$13,Premissas!$F$16,0)</f>
        <v/>
      </c>
      <c r="BR69" s="26">
        <f>IF(BR2=Premissas!$F$13,Premissas!$F$16,0)</f>
        <v/>
      </c>
      <c r="BS69" s="26">
        <f>IF(BS2=Premissas!$F$13,Premissas!$F$16,0)</f>
        <v/>
      </c>
      <c r="BT69" s="26">
        <f>IF(BT2=Premissas!$F$13,Premissas!$F$16,0)</f>
        <v/>
      </c>
      <c r="BU69" s="26">
        <f>IF(BU2=Premissas!$F$13,Premissas!$F$16,0)</f>
        <v/>
      </c>
      <c r="BV69" s="26">
        <f>IF(BV2=Premissas!$F$13,Premissas!$F$16,0)</f>
        <v/>
      </c>
      <c r="BW69" s="26">
        <f>IF(BW2=Premissas!$F$13,Premissas!$F$16,0)</f>
        <v/>
      </c>
      <c r="BX69" s="26">
        <f>IF(BX2=Premissas!$F$13,Premissas!$F$16,0)</f>
        <v/>
      </c>
      <c r="BY69" s="26">
        <f>IF(BY2=Premissas!$F$13,Premissas!$F$16,0)</f>
        <v/>
      </c>
      <c r="BZ69" s="26">
        <f>IF(BZ2=Premissas!$F$13,Premissas!$F$16,0)</f>
        <v/>
      </c>
      <c r="CA69" s="26">
        <f>IF(CA2=Premissas!$F$13,Premissas!$F$16,0)</f>
        <v/>
      </c>
      <c r="CB69" s="26">
        <f>IF(CB2=Premissas!$F$13,Premissas!$F$16,0)</f>
        <v/>
      </c>
      <c r="CC69" s="26">
        <f>IF(CC2=Premissas!$F$13,Premissas!$F$16,0)</f>
        <v/>
      </c>
      <c r="CD69" s="26">
        <f>IF(CD2=Premissas!$F$13,Premissas!$F$16,0)</f>
        <v/>
      </c>
      <c r="CE69" s="26">
        <f>IF(CE2=Premissas!$F$13,Premissas!$F$16,0)</f>
        <v/>
      </c>
      <c r="CF69" s="26">
        <f>IF(CF2=Premissas!$F$13,Premissas!$F$16,0)</f>
        <v/>
      </c>
      <c r="CG69" s="26">
        <f>IF(CG2=Premissas!$F$13,Premissas!$F$16,0)</f>
        <v/>
      </c>
      <c r="CH69" s="26">
        <f>IF(CH2=Premissas!$F$13,Premissas!$F$16,0)</f>
        <v/>
      </c>
    </row>
    <row r="70">
      <c r="A70" s="2" t="inlineStr">
        <is>
          <t>Despesas operacionais totais</t>
        </is>
      </c>
      <c r="C70" s="30">
        <f>C61+C62+C63+C64+C65+C66+C67+C68+C69</f>
        <v/>
      </c>
      <c r="D70" s="30">
        <f>D61+D62+D63+D64+D65+D66+D67+D68+D69</f>
        <v/>
      </c>
      <c r="E70" s="30">
        <f>E61+E62+E63+E64+E65+E66+E67+E68+E69</f>
        <v/>
      </c>
      <c r="F70" s="30">
        <f>F61+F62+F63+F64+F65+F66+F67+F68+F69</f>
        <v/>
      </c>
      <c r="G70" s="30">
        <f>G61+G62+G63+G64+G65+G66+G67+G68+G69</f>
        <v/>
      </c>
      <c r="H70" s="30">
        <f>H61+H62+H63+H64+H65+H66+H67+H68+H69</f>
        <v/>
      </c>
      <c r="I70" s="30">
        <f>I61+I62+I63+I64+I65+I66+I67+I68+I69</f>
        <v/>
      </c>
      <c r="J70" s="30">
        <f>J61+J62+J63+J64+J65+J66+J67+J68+J69</f>
        <v/>
      </c>
      <c r="K70" s="30">
        <f>K61+K62+K63+K64+K65+K66+K67+K68+K69</f>
        <v/>
      </c>
      <c r="L70" s="30">
        <f>L61+L62+L63+L64+L65+L66+L67+L68+L69</f>
        <v/>
      </c>
      <c r="M70" s="30">
        <f>M61+M62+M63+M64+M65+M66+M67+M68+M69</f>
        <v/>
      </c>
      <c r="N70" s="30">
        <f>N61+N62+N63+N64+N65+N66+N67+N68+N69</f>
        <v/>
      </c>
      <c r="O70" s="30">
        <f>O61+O62+O63+O64+O65+O66+O67+O68+O69</f>
        <v/>
      </c>
      <c r="P70" s="30">
        <f>P61+P62+P63+P64+P65+P66+P67+P68+P69</f>
        <v/>
      </c>
      <c r="Q70" s="30">
        <f>Q61+Q62+Q63+Q64+Q65+Q66+Q67+Q68+Q69</f>
        <v/>
      </c>
      <c r="R70" s="30">
        <f>R61+R62+R63+R64+R65+R66+R67+R68+R69</f>
        <v/>
      </c>
      <c r="S70" s="30">
        <f>S61+S62+S63+S64+S65+S66+S67+S68+S69</f>
        <v/>
      </c>
      <c r="T70" s="30">
        <f>T61+T62+T63+T64+T65+T66+T67+T68+T69</f>
        <v/>
      </c>
      <c r="U70" s="30">
        <f>U61+U62+U63+U64+U65+U66+U67+U68+U69</f>
        <v/>
      </c>
      <c r="V70" s="30">
        <f>V61+V62+V63+V64+V65+V66+V67+V68+V69</f>
        <v/>
      </c>
      <c r="W70" s="30">
        <f>W61+W62+W63+W64+W65+W66+W67+W68+W69</f>
        <v/>
      </c>
      <c r="X70" s="30">
        <f>X61+X62+X63+X64+X65+X66+X67+X68+X69</f>
        <v/>
      </c>
      <c r="Y70" s="30">
        <f>Y61+Y62+Y63+Y64+Y65+Y66+Y67+Y68+Y69</f>
        <v/>
      </c>
      <c r="Z70" s="30">
        <f>Z61+Z62+Z63+Z64+Z65+Z66+Z67+Z68+Z69</f>
        <v/>
      </c>
      <c r="AA70" s="30">
        <f>AA61+AA62+AA63+AA64+AA65+AA66+AA67+AA68+AA69</f>
        <v/>
      </c>
      <c r="AB70" s="30">
        <f>AB61+AB62+AB63+AB64+AB65+AB66+AB67+AB68+AB69</f>
        <v/>
      </c>
      <c r="AC70" s="30">
        <f>AC61+AC62+AC63+AC64+AC65+AC66+AC67+AC68+AC69</f>
        <v/>
      </c>
      <c r="AD70" s="30">
        <f>AD61+AD62+AD63+AD64+AD65+AD66+AD67+AD68+AD69</f>
        <v/>
      </c>
      <c r="AE70" s="30">
        <f>AE61+AE62+AE63+AE64+AE65+AE66+AE67+AE68+AE69</f>
        <v/>
      </c>
      <c r="AF70" s="30">
        <f>AF61+AF62+AF63+AF64+AF65+AF66+AF67+AF68+AF69</f>
        <v/>
      </c>
      <c r="AG70" s="30">
        <f>AG61+AG62+AG63+AG64+AG65+AG66+AG67+AG68+AG69</f>
        <v/>
      </c>
      <c r="AH70" s="30">
        <f>AH61+AH62+AH63+AH64+AH65+AH66+AH67+AH68+AH69</f>
        <v/>
      </c>
      <c r="AI70" s="30">
        <f>AI61+AI62+AI63+AI64+AI65+AI66+AI67+AI68+AI69</f>
        <v/>
      </c>
      <c r="AJ70" s="30">
        <f>AJ61+AJ62+AJ63+AJ64+AJ65+AJ66+AJ67+AJ68+AJ69</f>
        <v/>
      </c>
      <c r="AK70" s="30">
        <f>AK61+AK62+AK63+AK64+AK65+AK66+AK67+AK68+AK69</f>
        <v/>
      </c>
      <c r="AL70" s="30">
        <f>AL61+AL62+AL63+AL64+AL65+AL66+AL67+AL68+AL69</f>
        <v/>
      </c>
      <c r="AM70" s="30">
        <f>AM61+AM62+AM63+AM64+AM65+AM66+AM67+AM68+AM69</f>
        <v/>
      </c>
      <c r="AN70" s="30">
        <f>AN61+AN62+AN63+AN64+AN65+AN66+AN67+AN68+AN69</f>
        <v/>
      </c>
      <c r="AO70" s="30">
        <f>AO61+AO62+AO63+AO64+AO65+AO66+AO67+AO68+AO69</f>
        <v/>
      </c>
      <c r="AP70" s="30">
        <f>AP61+AP62+AP63+AP64+AP65+AP66+AP67+AP68+AP69</f>
        <v/>
      </c>
      <c r="AQ70" s="30">
        <f>AQ61+AQ62+AQ63+AQ64+AQ65+AQ66+AQ67+AQ68+AQ69</f>
        <v/>
      </c>
      <c r="AR70" s="30">
        <f>AR61+AR62+AR63+AR64+AR65+AR66+AR67+AR68+AR69</f>
        <v/>
      </c>
      <c r="AS70" s="30">
        <f>AS61+AS62+AS63+AS64+AS65+AS66+AS67+AS68+AS69</f>
        <v/>
      </c>
      <c r="AT70" s="30">
        <f>AT61+AT62+AT63+AT64+AT65+AT66+AT67+AT68+AT69</f>
        <v/>
      </c>
      <c r="AU70" s="30">
        <f>AU61+AU62+AU63+AU64+AU65+AU66+AU67+AU68+AU69</f>
        <v/>
      </c>
      <c r="AV70" s="30">
        <f>AV61+AV62+AV63+AV64+AV65+AV66+AV67+AV68+AV69</f>
        <v/>
      </c>
      <c r="AW70" s="30">
        <f>AW61+AW62+AW63+AW64+AW65+AW66+AW67+AW68+AW69</f>
        <v/>
      </c>
      <c r="AX70" s="30">
        <f>AX61+AX62+AX63+AX64+AX65+AX66+AX67+AX68+AX69</f>
        <v/>
      </c>
      <c r="AY70" s="30">
        <f>AY61+AY62+AY63+AY64+AY65+AY66+AY67+AY68+AY69</f>
        <v/>
      </c>
      <c r="AZ70" s="30">
        <f>AZ61+AZ62+AZ63+AZ64+AZ65+AZ66+AZ67+AZ68+AZ69</f>
        <v/>
      </c>
      <c r="BA70" s="30">
        <f>BA61+BA62+BA63+BA64+BA65+BA66+BA67+BA68+BA69</f>
        <v/>
      </c>
      <c r="BB70" s="30">
        <f>BB61+BB62+BB63+BB64+BB65+BB66+BB67+BB68+BB69</f>
        <v/>
      </c>
      <c r="BC70" s="30">
        <f>BC61+BC62+BC63+BC64+BC65+BC66+BC67+BC68+BC69</f>
        <v/>
      </c>
      <c r="BD70" s="30">
        <f>BD61+BD62+BD63+BD64+BD65+BD66+BD67+BD68+BD69</f>
        <v/>
      </c>
      <c r="BE70" s="30">
        <f>BE61+BE62+BE63+BE64+BE65+BE66+BE67+BE68+BE69</f>
        <v/>
      </c>
      <c r="BF70" s="30">
        <f>BF61+BF62+BF63+BF64+BF65+BF66+BF67+BF68+BF69</f>
        <v/>
      </c>
      <c r="BG70" s="30">
        <f>BG61+BG62+BG63+BG64+BG65+BG66+BG67+BG68+BG69</f>
        <v/>
      </c>
      <c r="BH70" s="30">
        <f>BH61+BH62+BH63+BH64+BH65+BH66+BH67+BH68+BH69</f>
        <v/>
      </c>
      <c r="BI70" s="30">
        <f>BI61+BI62+BI63+BI64+BI65+BI66+BI67+BI68+BI69</f>
        <v/>
      </c>
      <c r="BJ70" s="30">
        <f>BJ61+BJ62+BJ63+BJ64+BJ65+BJ66+BJ67+BJ68+BJ69</f>
        <v/>
      </c>
      <c r="BK70" s="30">
        <f>BK61+BK62+BK63+BK64+BK65+BK66+BK67+BK68+BK69</f>
        <v/>
      </c>
      <c r="BL70" s="30">
        <f>BL61+BL62+BL63+BL64+BL65+BL66+BL67+BL68+BL69</f>
        <v/>
      </c>
      <c r="BM70" s="30">
        <f>BM61+BM62+BM63+BM64+BM65+BM66+BM67+BM68+BM69</f>
        <v/>
      </c>
      <c r="BN70" s="30">
        <f>BN61+BN62+BN63+BN64+BN65+BN66+BN67+BN68+BN69</f>
        <v/>
      </c>
      <c r="BO70" s="30">
        <f>BO61+BO62+BO63+BO64+BO65+BO66+BO67+BO68+BO69</f>
        <v/>
      </c>
      <c r="BP70" s="30">
        <f>BP61+BP62+BP63+BP64+BP65+BP66+BP67+BP68+BP69</f>
        <v/>
      </c>
      <c r="BQ70" s="30">
        <f>BQ61+BQ62+BQ63+BQ64+BQ65+BQ66+BQ67+BQ68+BQ69</f>
        <v/>
      </c>
      <c r="BR70" s="30">
        <f>BR61+BR62+BR63+BR64+BR65+BR66+BR67+BR68+BR69</f>
        <v/>
      </c>
      <c r="BS70" s="30">
        <f>BS61+BS62+BS63+BS64+BS65+BS66+BS67+BS68+BS69</f>
        <v/>
      </c>
      <c r="BT70" s="30">
        <f>BT61+BT62+BT63+BT64+BT65+BT66+BT67+BT68+BT69</f>
        <v/>
      </c>
      <c r="BU70" s="30">
        <f>BU61+BU62+BU63+BU64+BU65+BU66+BU67+BU68+BU69</f>
        <v/>
      </c>
      <c r="BV70" s="30">
        <f>BV61+BV62+BV63+BV64+BV65+BV66+BV67+BV68+BV69</f>
        <v/>
      </c>
      <c r="BW70" s="30">
        <f>BW61+BW62+BW63+BW64+BW65+BW66+BW67+BW68+BW69</f>
        <v/>
      </c>
      <c r="BX70" s="30">
        <f>BX61+BX62+BX63+BX64+BX65+BX66+BX67+BX68+BX69</f>
        <v/>
      </c>
      <c r="BY70" s="30">
        <f>BY61+BY62+BY63+BY64+BY65+BY66+BY67+BY68+BY69</f>
        <v/>
      </c>
      <c r="BZ70" s="30">
        <f>BZ61+BZ62+BZ63+BZ64+BZ65+BZ66+BZ67+BZ68+BZ69</f>
        <v/>
      </c>
      <c r="CA70" s="30">
        <f>CA61+CA62+CA63+CA64+CA65+CA66+CA67+CA68+CA69</f>
        <v/>
      </c>
      <c r="CB70" s="30">
        <f>CB61+CB62+CB63+CB64+CB65+CB66+CB67+CB68+CB69</f>
        <v/>
      </c>
      <c r="CC70" s="30">
        <f>CC61+CC62+CC63+CC64+CC65+CC66+CC67+CC68+CC69</f>
        <v/>
      </c>
      <c r="CD70" s="30">
        <f>CD61+CD62+CD63+CD64+CD65+CD66+CD67+CD68+CD69</f>
        <v/>
      </c>
      <c r="CE70" s="30">
        <f>CE61+CE62+CE63+CE64+CE65+CE66+CE67+CE68+CE69</f>
        <v/>
      </c>
      <c r="CF70" s="30">
        <f>CF61+CF62+CF63+CF64+CF65+CF66+CF67+CF68+CF69</f>
        <v/>
      </c>
      <c r="CG70" s="30">
        <f>CG61+CG62+CG63+CG64+CG65+CG66+CG67+CG68+CG69</f>
        <v/>
      </c>
      <c r="CH70" s="30">
        <f>CH61+CH62+CH63+CH64+CH65+CH66+CH67+CH68+CH69</f>
        <v/>
      </c>
    </row>
    <row r="72">
      <c r="A72" s="4" t="inlineStr">
        <is>
          <t>Resultado e caixa</t>
        </is>
      </c>
      <c r="B72" s="5" t="n"/>
    </row>
    <row r="73">
      <c r="A73" s="24" t="inlineStr">
        <is>
          <t>EBITDA</t>
        </is>
      </c>
      <c r="C73" s="31">
        <f>C57-C70</f>
        <v/>
      </c>
      <c r="D73" s="31">
        <f>D57-D70</f>
        <v/>
      </c>
      <c r="E73" s="31">
        <f>E57-E70</f>
        <v/>
      </c>
      <c r="F73" s="31">
        <f>F57-F70</f>
        <v/>
      </c>
      <c r="G73" s="31">
        <f>G57-G70</f>
        <v/>
      </c>
      <c r="H73" s="31">
        <f>H57-H70</f>
        <v/>
      </c>
      <c r="I73" s="31">
        <f>I57-I70</f>
        <v/>
      </c>
      <c r="J73" s="31">
        <f>J57-J70</f>
        <v/>
      </c>
      <c r="K73" s="31">
        <f>K57-K70</f>
        <v/>
      </c>
      <c r="L73" s="31">
        <f>L57-L70</f>
        <v/>
      </c>
      <c r="M73" s="31">
        <f>M57-M70</f>
        <v/>
      </c>
      <c r="N73" s="31">
        <f>N57-N70</f>
        <v/>
      </c>
      <c r="O73" s="31">
        <f>O57-O70</f>
        <v/>
      </c>
      <c r="P73" s="31">
        <f>P57-P70</f>
        <v/>
      </c>
      <c r="Q73" s="31">
        <f>Q57-Q70</f>
        <v/>
      </c>
      <c r="R73" s="31">
        <f>R57-R70</f>
        <v/>
      </c>
      <c r="S73" s="31">
        <f>S57-S70</f>
        <v/>
      </c>
      <c r="T73" s="31">
        <f>T57-T70</f>
        <v/>
      </c>
      <c r="U73" s="31">
        <f>U57-U70</f>
        <v/>
      </c>
      <c r="V73" s="31">
        <f>V57-V70</f>
        <v/>
      </c>
      <c r="W73" s="31">
        <f>W57-W70</f>
        <v/>
      </c>
      <c r="X73" s="31">
        <f>X57-X70</f>
        <v/>
      </c>
      <c r="Y73" s="31">
        <f>Y57-Y70</f>
        <v/>
      </c>
      <c r="Z73" s="31">
        <f>Z57-Z70</f>
        <v/>
      </c>
      <c r="AA73" s="31">
        <f>AA57-AA70</f>
        <v/>
      </c>
      <c r="AB73" s="31">
        <f>AB57-AB70</f>
        <v/>
      </c>
      <c r="AC73" s="31">
        <f>AC57-AC70</f>
        <v/>
      </c>
      <c r="AD73" s="31">
        <f>AD57-AD70</f>
        <v/>
      </c>
      <c r="AE73" s="31">
        <f>AE57-AE70</f>
        <v/>
      </c>
      <c r="AF73" s="31">
        <f>AF57-AF70</f>
        <v/>
      </c>
      <c r="AG73" s="31">
        <f>AG57-AG70</f>
        <v/>
      </c>
      <c r="AH73" s="31">
        <f>AH57-AH70</f>
        <v/>
      </c>
      <c r="AI73" s="31">
        <f>AI57-AI70</f>
        <v/>
      </c>
      <c r="AJ73" s="31">
        <f>AJ57-AJ70</f>
        <v/>
      </c>
      <c r="AK73" s="31">
        <f>AK57-AK70</f>
        <v/>
      </c>
      <c r="AL73" s="31">
        <f>AL57-AL70</f>
        <v/>
      </c>
      <c r="AM73" s="31">
        <f>AM57-AM70</f>
        <v/>
      </c>
      <c r="AN73" s="31">
        <f>AN57-AN70</f>
        <v/>
      </c>
      <c r="AO73" s="31">
        <f>AO57-AO70</f>
        <v/>
      </c>
      <c r="AP73" s="31">
        <f>AP57-AP70</f>
        <v/>
      </c>
      <c r="AQ73" s="31">
        <f>AQ57-AQ70</f>
        <v/>
      </c>
      <c r="AR73" s="31">
        <f>AR57-AR70</f>
        <v/>
      </c>
      <c r="AS73" s="31">
        <f>AS57-AS70</f>
        <v/>
      </c>
      <c r="AT73" s="31">
        <f>AT57-AT70</f>
        <v/>
      </c>
      <c r="AU73" s="31">
        <f>AU57-AU70</f>
        <v/>
      </c>
      <c r="AV73" s="31">
        <f>AV57-AV70</f>
        <v/>
      </c>
      <c r="AW73" s="31">
        <f>AW57-AW70</f>
        <v/>
      </c>
      <c r="AX73" s="31">
        <f>AX57-AX70</f>
        <v/>
      </c>
      <c r="AY73" s="31">
        <f>AY57-AY70</f>
        <v/>
      </c>
      <c r="AZ73" s="31">
        <f>AZ57-AZ70</f>
        <v/>
      </c>
      <c r="BA73" s="31">
        <f>BA57-BA70</f>
        <v/>
      </c>
      <c r="BB73" s="31">
        <f>BB57-BB70</f>
        <v/>
      </c>
      <c r="BC73" s="31">
        <f>BC57-BC70</f>
        <v/>
      </c>
      <c r="BD73" s="31">
        <f>BD57-BD70</f>
        <v/>
      </c>
      <c r="BE73" s="31">
        <f>BE57-BE70</f>
        <v/>
      </c>
      <c r="BF73" s="31">
        <f>BF57-BF70</f>
        <v/>
      </c>
      <c r="BG73" s="31">
        <f>BG57-BG70</f>
        <v/>
      </c>
      <c r="BH73" s="31">
        <f>BH57-BH70</f>
        <v/>
      </c>
      <c r="BI73" s="31">
        <f>BI57-BI70</f>
        <v/>
      </c>
      <c r="BJ73" s="31">
        <f>BJ57-BJ70</f>
        <v/>
      </c>
      <c r="BK73" s="31">
        <f>BK57-BK70</f>
        <v/>
      </c>
      <c r="BL73" s="31">
        <f>BL57-BL70</f>
        <v/>
      </c>
      <c r="BM73" s="31">
        <f>BM57-BM70</f>
        <v/>
      </c>
      <c r="BN73" s="31">
        <f>BN57-BN70</f>
        <v/>
      </c>
      <c r="BO73" s="31">
        <f>BO57-BO70</f>
        <v/>
      </c>
      <c r="BP73" s="31">
        <f>BP57-BP70</f>
        <v/>
      </c>
      <c r="BQ73" s="31">
        <f>BQ57-BQ70</f>
        <v/>
      </c>
      <c r="BR73" s="31">
        <f>BR57-BR70</f>
        <v/>
      </c>
      <c r="BS73" s="31">
        <f>BS57-BS70</f>
        <v/>
      </c>
      <c r="BT73" s="31">
        <f>BT57-BT70</f>
        <v/>
      </c>
      <c r="BU73" s="31">
        <f>BU57-BU70</f>
        <v/>
      </c>
      <c r="BV73" s="31">
        <f>BV57-BV70</f>
        <v/>
      </c>
      <c r="BW73" s="31">
        <f>BW57-BW70</f>
        <v/>
      </c>
      <c r="BX73" s="31">
        <f>BX57-BX70</f>
        <v/>
      </c>
      <c r="BY73" s="31">
        <f>BY57-BY70</f>
        <v/>
      </c>
      <c r="BZ73" s="31">
        <f>BZ57-BZ70</f>
        <v/>
      </c>
      <c r="CA73" s="31">
        <f>CA57-CA70</f>
        <v/>
      </c>
      <c r="CB73" s="31">
        <f>CB57-CB70</f>
        <v/>
      </c>
      <c r="CC73" s="31">
        <f>CC57-CC70</f>
        <v/>
      </c>
      <c r="CD73" s="31">
        <f>CD57-CD70</f>
        <v/>
      </c>
      <c r="CE73" s="31">
        <f>CE57-CE70</f>
        <v/>
      </c>
      <c r="CF73" s="31">
        <f>CF57-CF70</f>
        <v/>
      </c>
      <c r="CG73" s="31">
        <f>CG57-CG70</f>
        <v/>
      </c>
      <c r="CH73" s="31">
        <f>CH57-CH70</f>
        <v/>
      </c>
    </row>
    <row r="74">
      <c r="A74" s="2" t="inlineStr">
        <is>
          <t>Caixa acumulado sem captação</t>
        </is>
      </c>
      <c r="C74" s="30">
        <f>0+C73</f>
        <v/>
      </c>
      <c r="D74" s="30">
        <f>C74+D73</f>
        <v/>
      </c>
      <c r="E74" s="30">
        <f>D74+E73</f>
        <v/>
      </c>
      <c r="F74" s="30">
        <f>E74+F73</f>
        <v/>
      </c>
      <c r="G74" s="30">
        <f>F74+G73</f>
        <v/>
      </c>
      <c r="H74" s="30">
        <f>G74+H73</f>
        <v/>
      </c>
      <c r="I74" s="30">
        <f>H74+I73</f>
        <v/>
      </c>
      <c r="J74" s="30">
        <f>I74+J73</f>
        <v/>
      </c>
      <c r="K74" s="30">
        <f>J74+K73</f>
        <v/>
      </c>
      <c r="L74" s="30">
        <f>K74+L73</f>
        <v/>
      </c>
      <c r="M74" s="30">
        <f>L74+M73</f>
        <v/>
      </c>
      <c r="N74" s="30">
        <f>M74+N73</f>
        <v/>
      </c>
      <c r="O74" s="30">
        <f>N74+O73</f>
        <v/>
      </c>
      <c r="P74" s="30">
        <f>O74+P73</f>
        <v/>
      </c>
      <c r="Q74" s="30">
        <f>P74+Q73</f>
        <v/>
      </c>
      <c r="R74" s="30">
        <f>Q74+R73</f>
        <v/>
      </c>
      <c r="S74" s="30">
        <f>R74+S73</f>
        <v/>
      </c>
      <c r="T74" s="30">
        <f>S74+T73</f>
        <v/>
      </c>
      <c r="U74" s="30">
        <f>T74+U73</f>
        <v/>
      </c>
      <c r="V74" s="30">
        <f>U74+V73</f>
        <v/>
      </c>
      <c r="W74" s="30">
        <f>V74+W73</f>
        <v/>
      </c>
      <c r="X74" s="30">
        <f>W74+X73</f>
        <v/>
      </c>
      <c r="Y74" s="30">
        <f>X74+Y73</f>
        <v/>
      </c>
      <c r="Z74" s="30">
        <f>Y74+Z73</f>
        <v/>
      </c>
      <c r="AA74" s="30">
        <f>Z74+AA73</f>
        <v/>
      </c>
      <c r="AB74" s="30">
        <f>AA74+AB73</f>
        <v/>
      </c>
      <c r="AC74" s="30">
        <f>AB74+AC73</f>
        <v/>
      </c>
      <c r="AD74" s="30">
        <f>AC74+AD73</f>
        <v/>
      </c>
      <c r="AE74" s="30">
        <f>AD74+AE73</f>
        <v/>
      </c>
      <c r="AF74" s="30">
        <f>AE74+AF73</f>
        <v/>
      </c>
      <c r="AG74" s="30">
        <f>AF74+AG73</f>
        <v/>
      </c>
      <c r="AH74" s="30">
        <f>AG74+AH73</f>
        <v/>
      </c>
      <c r="AI74" s="30">
        <f>AH74+AI73</f>
        <v/>
      </c>
      <c r="AJ74" s="30">
        <f>AI74+AJ73</f>
        <v/>
      </c>
      <c r="AK74" s="30">
        <f>AJ74+AK73</f>
        <v/>
      </c>
      <c r="AL74" s="30">
        <f>AK74+AL73</f>
        <v/>
      </c>
      <c r="AM74" s="30">
        <f>AL74+AM73</f>
        <v/>
      </c>
      <c r="AN74" s="30">
        <f>AM74+AN73</f>
        <v/>
      </c>
      <c r="AO74" s="30">
        <f>AN74+AO73</f>
        <v/>
      </c>
      <c r="AP74" s="30">
        <f>AO74+AP73</f>
        <v/>
      </c>
      <c r="AQ74" s="30">
        <f>AP74+AQ73</f>
        <v/>
      </c>
      <c r="AR74" s="30">
        <f>AQ74+AR73</f>
        <v/>
      </c>
      <c r="AS74" s="30">
        <f>AR74+AS73</f>
        <v/>
      </c>
      <c r="AT74" s="30">
        <f>AS74+AT73</f>
        <v/>
      </c>
      <c r="AU74" s="30">
        <f>AT74+AU73</f>
        <v/>
      </c>
      <c r="AV74" s="30">
        <f>AU74+AV73</f>
        <v/>
      </c>
      <c r="AW74" s="30">
        <f>AV74+AW73</f>
        <v/>
      </c>
      <c r="AX74" s="30">
        <f>AW74+AX73</f>
        <v/>
      </c>
      <c r="AY74" s="30">
        <f>AX74+AY73</f>
        <v/>
      </c>
      <c r="AZ74" s="30">
        <f>AY74+AZ73</f>
        <v/>
      </c>
      <c r="BA74" s="30">
        <f>AZ74+BA73</f>
        <v/>
      </c>
      <c r="BB74" s="30">
        <f>BA74+BB73</f>
        <v/>
      </c>
      <c r="BC74" s="30">
        <f>BB74+BC73</f>
        <v/>
      </c>
      <c r="BD74" s="30">
        <f>BC74+BD73</f>
        <v/>
      </c>
      <c r="BE74" s="30">
        <f>BD74+BE73</f>
        <v/>
      </c>
      <c r="BF74" s="30">
        <f>BE74+BF73</f>
        <v/>
      </c>
      <c r="BG74" s="30">
        <f>BF74+BG73</f>
        <v/>
      </c>
      <c r="BH74" s="30">
        <f>BG74+BH73</f>
        <v/>
      </c>
      <c r="BI74" s="30">
        <f>BH74+BI73</f>
        <v/>
      </c>
      <c r="BJ74" s="30">
        <f>BI74+BJ73</f>
        <v/>
      </c>
      <c r="BK74" s="30">
        <f>BJ74+BK73</f>
        <v/>
      </c>
      <c r="BL74" s="30">
        <f>BK74+BL73</f>
        <v/>
      </c>
      <c r="BM74" s="30">
        <f>BL74+BM73</f>
        <v/>
      </c>
      <c r="BN74" s="30">
        <f>BM74+BN73</f>
        <v/>
      </c>
      <c r="BO74" s="30">
        <f>BN74+BO73</f>
        <v/>
      </c>
      <c r="BP74" s="30">
        <f>BO74+BP73</f>
        <v/>
      </c>
      <c r="BQ74" s="30">
        <f>BP74+BQ73</f>
        <v/>
      </c>
      <c r="BR74" s="30">
        <f>BQ74+BR73</f>
        <v/>
      </c>
      <c r="BS74" s="30">
        <f>BR74+BS73</f>
        <v/>
      </c>
      <c r="BT74" s="30">
        <f>BS74+BT73</f>
        <v/>
      </c>
      <c r="BU74" s="30">
        <f>BT74+BU73</f>
        <v/>
      </c>
      <c r="BV74" s="30">
        <f>BU74+BV73</f>
        <v/>
      </c>
      <c r="BW74" s="30">
        <f>BV74+BW73</f>
        <v/>
      </c>
      <c r="BX74" s="30">
        <f>BW74+BX73</f>
        <v/>
      </c>
      <c r="BY74" s="30">
        <f>BX74+BY73</f>
        <v/>
      </c>
      <c r="BZ74" s="30">
        <f>BY74+BZ73</f>
        <v/>
      </c>
      <c r="CA74" s="30">
        <f>BZ74+CA73</f>
        <v/>
      </c>
      <c r="CB74" s="30">
        <f>CA74+CB73</f>
        <v/>
      </c>
      <c r="CC74" s="30">
        <f>CB74+CC73</f>
        <v/>
      </c>
      <c r="CD74" s="30">
        <f>CC74+CD73</f>
        <v/>
      </c>
      <c r="CE74" s="30">
        <f>CD74+CE73</f>
        <v/>
      </c>
      <c r="CF74" s="30">
        <f>CE74+CF73</f>
        <v/>
      </c>
      <c r="CG74" s="30">
        <f>CF74+CG73</f>
        <v/>
      </c>
      <c r="CH74" s="30">
        <f>CG74+CH73</f>
        <v/>
      </c>
    </row>
    <row r="75">
      <c r="A75" s="3" t="inlineStr">
        <is>
          <t>Mês de equilíbrio candidato (EBITDA não volta a ficar negativo)</t>
        </is>
      </c>
      <c r="C75" s="8">
        <f>IF(COUNTIF(C73:$CH$73,"&lt;0")=0,C2,"")</f>
        <v/>
      </c>
      <c r="D75" s="8">
        <f>IF(COUNTIF(D73:$CH$73,"&lt;0")=0,D2,"")</f>
        <v/>
      </c>
      <c r="E75" s="8">
        <f>IF(COUNTIF(E73:$CH$73,"&lt;0")=0,E2,"")</f>
        <v/>
      </c>
      <c r="F75" s="8">
        <f>IF(COUNTIF(F73:$CH$73,"&lt;0")=0,F2,"")</f>
        <v/>
      </c>
      <c r="G75" s="8">
        <f>IF(COUNTIF(G73:$CH$73,"&lt;0")=0,G2,"")</f>
        <v/>
      </c>
      <c r="H75" s="8">
        <f>IF(COUNTIF(H73:$CH$73,"&lt;0")=0,H2,"")</f>
        <v/>
      </c>
      <c r="I75" s="8">
        <f>IF(COUNTIF(I73:$CH$73,"&lt;0")=0,I2,"")</f>
        <v/>
      </c>
      <c r="J75" s="8">
        <f>IF(COUNTIF(J73:$CH$73,"&lt;0")=0,J2,"")</f>
        <v/>
      </c>
      <c r="K75" s="8">
        <f>IF(COUNTIF(K73:$CH$73,"&lt;0")=0,K2,"")</f>
        <v/>
      </c>
      <c r="L75" s="8">
        <f>IF(COUNTIF(L73:$CH$73,"&lt;0")=0,L2,"")</f>
        <v/>
      </c>
      <c r="M75" s="8">
        <f>IF(COUNTIF(M73:$CH$73,"&lt;0")=0,M2,"")</f>
        <v/>
      </c>
      <c r="N75" s="8">
        <f>IF(COUNTIF(N73:$CH$73,"&lt;0")=0,N2,"")</f>
        <v/>
      </c>
      <c r="O75" s="8">
        <f>IF(COUNTIF(O73:$CH$73,"&lt;0")=0,O2,"")</f>
        <v/>
      </c>
      <c r="P75" s="8">
        <f>IF(COUNTIF(P73:$CH$73,"&lt;0")=0,P2,"")</f>
        <v/>
      </c>
      <c r="Q75" s="8">
        <f>IF(COUNTIF(Q73:$CH$73,"&lt;0")=0,Q2,"")</f>
        <v/>
      </c>
      <c r="R75" s="8">
        <f>IF(COUNTIF(R73:$CH$73,"&lt;0")=0,R2,"")</f>
        <v/>
      </c>
      <c r="S75" s="8">
        <f>IF(COUNTIF(S73:$CH$73,"&lt;0")=0,S2,"")</f>
        <v/>
      </c>
      <c r="T75" s="8">
        <f>IF(COUNTIF(T73:$CH$73,"&lt;0")=0,T2,"")</f>
        <v/>
      </c>
      <c r="U75" s="8">
        <f>IF(COUNTIF(U73:$CH$73,"&lt;0")=0,U2,"")</f>
        <v/>
      </c>
      <c r="V75" s="8">
        <f>IF(COUNTIF(V73:$CH$73,"&lt;0")=0,V2,"")</f>
        <v/>
      </c>
      <c r="W75" s="8">
        <f>IF(COUNTIF(W73:$CH$73,"&lt;0")=0,W2,"")</f>
        <v/>
      </c>
      <c r="X75" s="8">
        <f>IF(COUNTIF(X73:$CH$73,"&lt;0")=0,X2,"")</f>
        <v/>
      </c>
      <c r="Y75" s="8">
        <f>IF(COUNTIF(Y73:$CH$73,"&lt;0")=0,Y2,"")</f>
        <v/>
      </c>
      <c r="Z75" s="8">
        <f>IF(COUNTIF(Z73:$CH$73,"&lt;0")=0,Z2,"")</f>
        <v/>
      </c>
      <c r="AA75" s="8">
        <f>IF(COUNTIF(AA73:$CH$73,"&lt;0")=0,AA2,"")</f>
        <v/>
      </c>
      <c r="AB75" s="8">
        <f>IF(COUNTIF(AB73:$CH$73,"&lt;0")=0,AB2,"")</f>
        <v/>
      </c>
      <c r="AC75" s="8">
        <f>IF(COUNTIF(AC73:$CH$73,"&lt;0")=0,AC2,"")</f>
        <v/>
      </c>
      <c r="AD75" s="8">
        <f>IF(COUNTIF(AD73:$CH$73,"&lt;0")=0,AD2,"")</f>
        <v/>
      </c>
      <c r="AE75" s="8">
        <f>IF(COUNTIF(AE73:$CH$73,"&lt;0")=0,AE2,"")</f>
        <v/>
      </c>
      <c r="AF75" s="8">
        <f>IF(COUNTIF(AF73:$CH$73,"&lt;0")=0,AF2,"")</f>
        <v/>
      </c>
      <c r="AG75" s="8">
        <f>IF(COUNTIF(AG73:$CH$73,"&lt;0")=0,AG2,"")</f>
        <v/>
      </c>
      <c r="AH75" s="8">
        <f>IF(COUNTIF(AH73:$CH$73,"&lt;0")=0,AH2,"")</f>
        <v/>
      </c>
      <c r="AI75" s="8">
        <f>IF(COUNTIF(AI73:$CH$73,"&lt;0")=0,AI2,"")</f>
        <v/>
      </c>
      <c r="AJ75" s="8">
        <f>IF(COUNTIF(AJ73:$CH$73,"&lt;0")=0,AJ2,"")</f>
        <v/>
      </c>
      <c r="AK75" s="8">
        <f>IF(COUNTIF(AK73:$CH$73,"&lt;0")=0,AK2,"")</f>
        <v/>
      </c>
      <c r="AL75" s="8">
        <f>IF(COUNTIF(AL73:$CH$73,"&lt;0")=0,AL2,"")</f>
        <v/>
      </c>
      <c r="AM75" s="8">
        <f>IF(COUNTIF(AM73:$CH$73,"&lt;0")=0,AM2,"")</f>
        <v/>
      </c>
      <c r="AN75" s="8">
        <f>IF(COUNTIF(AN73:$CH$73,"&lt;0")=0,AN2,"")</f>
        <v/>
      </c>
      <c r="AO75" s="8">
        <f>IF(COUNTIF(AO73:$CH$73,"&lt;0")=0,AO2,"")</f>
        <v/>
      </c>
      <c r="AP75" s="8">
        <f>IF(COUNTIF(AP73:$CH$73,"&lt;0")=0,AP2,"")</f>
        <v/>
      </c>
      <c r="AQ75" s="8">
        <f>IF(COUNTIF(AQ73:$CH$73,"&lt;0")=0,AQ2,"")</f>
        <v/>
      </c>
      <c r="AR75" s="8">
        <f>IF(COUNTIF(AR73:$CH$73,"&lt;0")=0,AR2,"")</f>
        <v/>
      </c>
      <c r="AS75" s="8">
        <f>IF(COUNTIF(AS73:$CH$73,"&lt;0")=0,AS2,"")</f>
        <v/>
      </c>
      <c r="AT75" s="8">
        <f>IF(COUNTIF(AT73:$CH$73,"&lt;0")=0,AT2,"")</f>
        <v/>
      </c>
      <c r="AU75" s="8">
        <f>IF(COUNTIF(AU73:$CH$73,"&lt;0")=0,AU2,"")</f>
        <v/>
      </c>
      <c r="AV75" s="8">
        <f>IF(COUNTIF(AV73:$CH$73,"&lt;0")=0,AV2,"")</f>
        <v/>
      </c>
      <c r="AW75" s="8">
        <f>IF(COUNTIF(AW73:$CH$73,"&lt;0")=0,AW2,"")</f>
        <v/>
      </c>
      <c r="AX75" s="8">
        <f>IF(COUNTIF(AX73:$CH$73,"&lt;0")=0,AX2,"")</f>
        <v/>
      </c>
      <c r="AY75" s="8">
        <f>IF(COUNTIF(AY73:$CH$73,"&lt;0")=0,AY2,"")</f>
        <v/>
      </c>
      <c r="AZ75" s="8">
        <f>IF(COUNTIF(AZ73:$CH$73,"&lt;0")=0,AZ2,"")</f>
        <v/>
      </c>
      <c r="BA75" s="8">
        <f>IF(COUNTIF(BA73:$CH$73,"&lt;0")=0,BA2,"")</f>
        <v/>
      </c>
      <c r="BB75" s="8">
        <f>IF(COUNTIF(BB73:$CH$73,"&lt;0")=0,BB2,"")</f>
        <v/>
      </c>
      <c r="BC75" s="8">
        <f>IF(COUNTIF(BC73:$CH$73,"&lt;0")=0,BC2,"")</f>
        <v/>
      </c>
      <c r="BD75" s="8">
        <f>IF(COUNTIF(BD73:$CH$73,"&lt;0")=0,BD2,"")</f>
        <v/>
      </c>
      <c r="BE75" s="8">
        <f>IF(COUNTIF(BE73:$CH$73,"&lt;0")=0,BE2,"")</f>
        <v/>
      </c>
      <c r="BF75" s="8">
        <f>IF(COUNTIF(BF73:$CH$73,"&lt;0")=0,BF2,"")</f>
        <v/>
      </c>
      <c r="BG75" s="8">
        <f>IF(COUNTIF(BG73:$CH$73,"&lt;0")=0,BG2,"")</f>
        <v/>
      </c>
      <c r="BH75" s="8">
        <f>IF(COUNTIF(BH73:$CH$73,"&lt;0")=0,BH2,"")</f>
        <v/>
      </c>
      <c r="BI75" s="8">
        <f>IF(COUNTIF(BI73:$CH$73,"&lt;0")=0,BI2,"")</f>
        <v/>
      </c>
      <c r="BJ75" s="8">
        <f>IF(COUNTIF(BJ73:$CH$73,"&lt;0")=0,BJ2,"")</f>
        <v/>
      </c>
      <c r="BK75" s="8">
        <f>IF(COUNTIF(BK73:$CH$73,"&lt;0")=0,BK2,"")</f>
        <v/>
      </c>
      <c r="BL75" s="8">
        <f>IF(COUNTIF(BL73:$CH$73,"&lt;0")=0,BL2,"")</f>
        <v/>
      </c>
      <c r="BM75" s="8">
        <f>IF(COUNTIF(BM73:$CH$73,"&lt;0")=0,BM2,"")</f>
        <v/>
      </c>
      <c r="BN75" s="8">
        <f>IF(COUNTIF(BN73:$CH$73,"&lt;0")=0,BN2,"")</f>
        <v/>
      </c>
      <c r="BO75" s="8">
        <f>IF(COUNTIF(BO73:$CH$73,"&lt;0")=0,BO2,"")</f>
        <v/>
      </c>
      <c r="BP75" s="8">
        <f>IF(COUNTIF(BP73:$CH$73,"&lt;0")=0,BP2,"")</f>
        <v/>
      </c>
      <c r="BQ75" s="8">
        <f>IF(COUNTIF(BQ73:$CH$73,"&lt;0")=0,BQ2,"")</f>
        <v/>
      </c>
      <c r="BR75" s="8">
        <f>IF(COUNTIF(BR73:$CH$73,"&lt;0")=0,BR2,"")</f>
        <v/>
      </c>
      <c r="BS75" s="8">
        <f>IF(COUNTIF(BS73:$CH$73,"&lt;0")=0,BS2,"")</f>
        <v/>
      </c>
      <c r="BT75" s="8">
        <f>IF(COUNTIF(BT73:$CH$73,"&lt;0")=0,BT2,"")</f>
        <v/>
      </c>
      <c r="BU75" s="8">
        <f>IF(COUNTIF(BU73:$CH$73,"&lt;0")=0,BU2,"")</f>
        <v/>
      </c>
      <c r="BV75" s="8">
        <f>IF(COUNTIF(BV73:$CH$73,"&lt;0")=0,BV2,"")</f>
        <v/>
      </c>
      <c r="BW75" s="8">
        <f>IF(COUNTIF(BW73:$CH$73,"&lt;0")=0,BW2,"")</f>
        <v/>
      </c>
      <c r="BX75" s="8">
        <f>IF(COUNTIF(BX73:$CH$73,"&lt;0")=0,BX2,"")</f>
        <v/>
      </c>
      <c r="BY75" s="8">
        <f>IF(COUNTIF(BY73:$CH$73,"&lt;0")=0,BY2,"")</f>
        <v/>
      </c>
      <c r="BZ75" s="8">
        <f>IF(COUNTIF(BZ73:$CH$73,"&lt;0")=0,BZ2,"")</f>
        <v/>
      </c>
      <c r="CA75" s="8">
        <f>IF(COUNTIF(CA73:$CH$73,"&lt;0")=0,CA2,"")</f>
        <v/>
      </c>
      <c r="CB75" s="8">
        <f>IF(COUNTIF(CB73:$CH$73,"&lt;0")=0,CB2,"")</f>
        <v/>
      </c>
      <c r="CC75" s="8">
        <f>IF(COUNTIF(CC73:$CH$73,"&lt;0")=0,CC2,"")</f>
        <v/>
      </c>
      <c r="CD75" s="8">
        <f>IF(COUNTIF(CD73:$CH$73,"&lt;0")=0,CD2,"")</f>
        <v/>
      </c>
      <c r="CE75" s="8">
        <f>IF(COUNTIF(CE73:$CH$73,"&lt;0")=0,CE2,"")</f>
        <v/>
      </c>
      <c r="CF75" s="8">
        <f>IF(COUNTIF(CF73:$CH$73,"&lt;0")=0,CF2,"")</f>
        <v/>
      </c>
      <c r="CG75" s="8">
        <f>IF(COUNTIF(CG73:$CH$73,"&lt;0")=0,CG2,"")</f>
        <v/>
      </c>
      <c r="CH75" s="8">
        <f>IF(COUNTIF(CH73:$CH$73,"&lt;0")=0,CH2,"")</f>
        <v/>
      </c>
    </row>
    <row r="76">
      <c r="A76" s="3" t="inlineStr">
        <is>
          <t>Mês em que a receita anualizada passa do critério H7</t>
        </is>
      </c>
      <c r="C76" s="8">
        <f>IF(AND(C47&gt;=Premissas!$F$100,0&lt;Premissas!$F$100),C2,"")</f>
        <v/>
      </c>
      <c r="D76" s="8">
        <f>IF(AND(D47&gt;=Premissas!$F$100,C47&lt;Premissas!$F$100),D2,"")</f>
        <v/>
      </c>
      <c r="E76" s="8">
        <f>IF(AND(E47&gt;=Premissas!$F$100,D47&lt;Premissas!$F$100),E2,"")</f>
        <v/>
      </c>
      <c r="F76" s="8">
        <f>IF(AND(F47&gt;=Premissas!$F$100,E47&lt;Premissas!$F$100),F2,"")</f>
        <v/>
      </c>
      <c r="G76" s="8">
        <f>IF(AND(G47&gt;=Premissas!$F$100,F47&lt;Premissas!$F$100),G2,"")</f>
        <v/>
      </c>
      <c r="H76" s="8">
        <f>IF(AND(H47&gt;=Premissas!$F$100,G47&lt;Premissas!$F$100),H2,"")</f>
        <v/>
      </c>
      <c r="I76" s="8">
        <f>IF(AND(I47&gt;=Premissas!$F$100,H47&lt;Premissas!$F$100),I2,"")</f>
        <v/>
      </c>
      <c r="J76" s="8">
        <f>IF(AND(J47&gt;=Premissas!$F$100,I47&lt;Premissas!$F$100),J2,"")</f>
        <v/>
      </c>
      <c r="K76" s="8">
        <f>IF(AND(K47&gt;=Premissas!$F$100,J47&lt;Premissas!$F$100),K2,"")</f>
        <v/>
      </c>
      <c r="L76" s="8">
        <f>IF(AND(L47&gt;=Premissas!$F$100,K47&lt;Premissas!$F$100),L2,"")</f>
        <v/>
      </c>
      <c r="M76" s="8">
        <f>IF(AND(M47&gt;=Premissas!$F$100,L47&lt;Premissas!$F$100),M2,"")</f>
        <v/>
      </c>
      <c r="N76" s="8">
        <f>IF(AND(N47&gt;=Premissas!$F$100,M47&lt;Premissas!$F$100),N2,"")</f>
        <v/>
      </c>
      <c r="O76" s="8">
        <f>IF(AND(O47&gt;=Premissas!$F$100,N47&lt;Premissas!$F$100),O2,"")</f>
        <v/>
      </c>
      <c r="P76" s="8">
        <f>IF(AND(P47&gt;=Premissas!$F$100,O47&lt;Premissas!$F$100),P2,"")</f>
        <v/>
      </c>
      <c r="Q76" s="8">
        <f>IF(AND(Q47&gt;=Premissas!$F$100,P47&lt;Premissas!$F$100),Q2,"")</f>
        <v/>
      </c>
      <c r="R76" s="8">
        <f>IF(AND(R47&gt;=Premissas!$F$100,Q47&lt;Premissas!$F$100),R2,"")</f>
        <v/>
      </c>
      <c r="S76" s="8">
        <f>IF(AND(S47&gt;=Premissas!$F$100,R47&lt;Premissas!$F$100),S2,"")</f>
        <v/>
      </c>
      <c r="T76" s="8">
        <f>IF(AND(T47&gt;=Premissas!$F$100,S47&lt;Premissas!$F$100),T2,"")</f>
        <v/>
      </c>
      <c r="U76" s="8">
        <f>IF(AND(U47&gt;=Premissas!$F$100,T47&lt;Premissas!$F$100),U2,"")</f>
        <v/>
      </c>
      <c r="V76" s="8">
        <f>IF(AND(V47&gt;=Premissas!$F$100,U47&lt;Premissas!$F$100),V2,"")</f>
        <v/>
      </c>
      <c r="W76" s="8">
        <f>IF(AND(W47&gt;=Premissas!$F$100,V47&lt;Premissas!$F$100),W2,"")</f>
        <v/>
      </c>
      <c r="X76" s="8">
        <f>IF(AND(X47&gt;=Premissas!$F$100,W47&lt;Premissas!$F$100),X2,"")</f>
        <v/>
      </c>
      <c r="Y76" s="8">
        <f>IF(AND(Y47&gt;=Premissas!$F$100,X47&lt;Premissas!$F$100),Y2,"")</f>
        <v/>
      </c>
      <c r="Z76" s="8">
        <f>IF(AND(Z47&gt;=Premissas!$F$100,Y47&lt;Premissas!$F$100),Z2,"")</f>
        <v/>
      </c>
      <c r="AA76" s="8">
        <f>IF(AND(AA47&gt;=Premissas!$F$100,Z47&lt;Premissas!$F$100),AA2,"")</f>
        <v/>
      </c>
      <c r="AB76" s="8">
        <f>IF(AND(AB47&gt;=Premissas!$F$100,AA47&lt;Premissas!$F$100),AB2,"")</f>
        <v/>
      </c>
      <c r="AC76" s="8">
        <f>IF(AND(AC47&gt;=Premissas!$F$100,AB47&lt;Premissas!$F$100),AC2,"")</f>
        <v/>
      </c>
      <c r="AD76" s="8">
        <f>IF(AND(AD47&gt;=Premissas!$F$100,AC47&lt;Premissas!$F$100),AD2,"")</f>
        <v/>
      </c>
      <c r="AE76" s="8">
        <f>IF(AND(AE47&gt;=Premissas!$F$100,AD47&lt;Premissas!$F$100),AE2,"")</f>
        <v/>
      </c>
      <c r="AF76" s="8">
        <f>IF(AND(AF47&gt;=Premissas!$F$100,AE47&lt;Premissas!$F$100),AF2,"")</f>
        <v/>
      </c>
      <c r="AG76" s="8">
        <f>IF(AND(AG47&gt;=Premissas!$F$100,AF47&lt;Premissas!$F$100),AG2,"")</f>
        <v/>
      </c>
      <c r="AH76" s="8">
        <f>IF(AND(AH47&gt;=Premissas!$F$100,AG47&lt;Premissas!$F$100),AH2,"")</f>
        <v/>
      </c>
      <c r="AI76" s="8">
        <f>IF(AND(AI47&gt;=Premissas!$F$100,AH47&lt;Premissas!$F$100),AI2,"")</f>
        <v/>
      </c>
      <c r="AJ76" s="8">
        <f>IF(AND(AJ47&gt;=Premissas!$F$100,AI47&lt;Premissas!$F$100),AJ2,"")</f>
        <v/>
      </c>
      <c r="AK76" s="8">
        <f>IF(AND(AK47&gt;=Premissas!$F$100,AJ47&lt;Premissas!$F$100),AK2,"")</f>
        <v/>
      </c>
      <c r="AL76" s="8">
        <f>IF(AND(AL47&gt;=Premissas!$F$100,AK47&lt;Premissas!$F$100),AL2,"")</f>
        <v/>
      </c>
      <c r="AM76" s="8">
        <f>IF(AND(AM47&gt;=Premissas!$F$100,AL47&lt;Premissas!$F$100),AM2,"")</f>
        <v/>
      </c>
      <c r="AN76" s="8">
        <f>IF(AND(AN47&gt;=Premissas!$F$100,AM47&lt;Premissas!$F$100),AN2,"")</f>
        <v/>
      </c>
      <c r="AO76" s="8">
        <f>IF(AND(AO47&gt;=Premissas!$F$100,AN47&lt;Premissas!$F$100),AO2,"")</f>
        <v/>
      </c>
      <c r="AP76" s="8">
        <f>IF(AND(AP47&gt;=Premissas!$F$100,AO47&lt;Premissas!$F$100),AP2,"")</f>
        <v/>
      </c>
      <c r="AQ76" s="8">
        <f>IF(AND(AQ47&gt;=Premissas!$F$100,AP47&lt;Premissas!$F$100),AQ2,"")</f>
        <v/>
      </c>
      <c r="AR76" s="8">
        <f>IF(AND(AR47&gt;=Premissas!$F$100,AQ47&lt;Premissas!$F$100),AR2,"")</f>
        <v/>
      </c>
      <c r="AS76" s="8">
        <f>IF(AND(AS47&gt;=Premissas!$F$100,AR47&lt;Premissas!$F$100),AS2,"")</f>
        <v/>
      </c>
      <c r="AT76" s="8">
        <f>IF(AND(AT47&gt;=Premissas!$F$100,AS47&lt;Premissas!$F$100),AT2,"")</f>
        <v/>
      </c>
      <c r="AU76" s="8">
        <f>IF(AND(AU47&gt;=Premissas!$F$100,AT47&lt;Premissas!$F$100),AU2,"")</f>
        <v/>
      </c>
      <c r="AV76" s="8">
        <f>IF(AND(AV47&gt;=Premissas!$F$100,AU47&lt;Premissas!$F$100),AV2,"")</f>
        <v/>
      </c>
      <c r="AW76" s="8">
        <f>IF(AND(AW47&gt;=Premissas!$F$100,AV47&lt;Premissas!$F$100),AW2,"")</f>
        <v/>
      </c>
      <c r="AX76" s="8">
        <f>IF(AND(AX47&gt;=Premissas!$F$100,AW47&lt;Premissas!$F$100),AX2,"")</f>
        <v/>
      </c>
      <c r="AY76" s="8">
        <f>IF(AND(AY47&gt;=Premissas!$F$100,AX47&lt;Premissas!$F$100),AY2,"")</f>
        <v/>
      </c>
      <c r="AZ76" s="8">
        <f>IF(AND(AZ47&gt;=Premissas!$F$100,AY47&lt;Premissas!$F$100),AZ2,"")</f>
        <v/>
      </c>
      <c r="BA76" s="8">
        <f>IF(AND(BA47&gt;=Premissas!$F$100,AZ47&lt;Premissas!$F$100),BA2,"")</f>
        <v/>
      </c>
      <c r="BB76" s="8">
        <f>IF(AND(BB47&gt;=Premissas!$F$100,BA47&lt;Premissas!$F$100),BB2,"")</f>
        <v/>
      </c>
      <c r="BC76" s="8">
        <f>IF(AND(BC47&gt;=Premissas!$F$100,BB47&lt;Premissas!$F$100),BC2,"")</f>
        <v/>
      </c>
      <c r="BD76" s="8">
        <f>IF(AND(BD47&gt;=Premissas!$F$100,BC47&lt;Premissas!$F$100),BD2,"")</f>
        <v/>
      </c>
      <c r="BE76" s="8">
        <f>IF(AND(BE47&gt;=Premissas!$F$100,BD47&lt;Premissas!$F$100),BE2,"")</f>
        <v/>
      </c>
      <c r="BF76" s="8">
        <f>IF(AND(BF47&gt;=Premissas!$F$100,BE47&lt;Premissas!$F$100),BF2,"")</f>
        <v/>
      </c>
      <c r="BG76" s="8">
        <f>IF(AND(BG47&gt;=Premissas!$F$100,BF47&lt;Premissas!$F$100),BG2,"")</f>
        <v/>
      </c>
      <c r="BH76" s="8">
        <f>IF(AND(BH47&gt;=Premissas!$F$100,BG47&lt;Premissas!$F$100),BH2,"")</f>
        <v/>
      </c>
      <c r="BI76" s="8">
        <f>IF(AND(BI47&gt;=Premissas!$F$100,BH47&lt;Premissas!$F$100),BI2,"")</f>
        <v/>
      </c>
      <c r="BJ76" s="8">
        <f>IF(AND(BJ47&gt;=Premissas!$F$100,BI47&lt;Premissas!$F$100),BJ2,"")</f>
        <v/>
      </c>
      <c r="BK76" s="8">
        <f>IF(AND(BK47&gt;=Premissas!$F$100,BJ47&lt;Premissas!$F$100),BK2,"")</f>
        <v/>
      </c>
      <c r="BL76" s="8">
        <f>IF(AND(BL47&gt;=Premissas!$F$100,BK47&lt;Premissas!$F$100),BL2,"")</f>
        <v/>
      </c>
      <c r="BM76" s="8">
        <f>IF(AND(BM47&gt;=Premissas!$F$100,BL47&lt;Premissas!$F$100),BM2,"")</f>
        <v/>
      </c>
      <c r="BN76" s="8">
        <f>IF(AND(BN47&gt;=Premissas!$F$100,BM47&lt;Premissas!$F$100),BN2,"")</f>
        <v/>
      </c>
      <c r="BO76" s="8">
        <f>IF(AND(BO47&gt;=Premissas!$F$100,BN47&lt;Premissas!$F$100),BO2,"")</f>
        <v/>
      </c>
      <c r="BP76" s="8">
        <f>IF(AND(BP47&gt;=Premissas!$F$100,BO47&lt;Premissas!$F$100),BP2,"")</f>
        <v/>
      </c>
      <c r="BQ76" s="8">
        <f>IF(AND(BQ47&gt;=Premissas!$F$100,BP47&lt;Premissas!$F$100),BQ2,"")</f>
        <v/>
      </c>
      <c r="BR76" s="8">
        <f>IF(AND(BR47&gt;=Premissas!$F$100,BQ47&lt;Premissas!$F$100),BR2,"")</f>
        <v/>
      </c>
      <c r="BS76" s="8">
        <f>IF(AND(BS47&gt;=Premissas!$F$100,BR47&lt;Premissas!$F$100),BS2,"")</f>
        <v/>
      </c>
      <c r="BT76" s="8">
        <f>IF(AND(BT47&gt;=Premissas!$F$100,BS47&lt;Premissas!$F$100),BT2,"")</f>
        <v/>
      </c>
      <c r="BU76" s="8">
        <f>IF(AND(BU47&gt;=Premissas!$F$100,BT47&lt;Premissas!$F$100),BU2,"")</f>
        <v/>
      </c>
      <c r="BV76" s="8">
        <f>IF(AND(BV47&gt;=Premissas!$F$100,BU47&lt;Premissas!$F$100),BV2,"")</f>
        <v/>
      </c>
      <c r="BW76" s="8">
        <f>IF(AND(BW47&gt;=Premissas!$F$100,BV47&lt;Premissas!$F$100),BW2,"")</f>
        <v/>
      </c>
      <c r="BX76" s="8">
        <f>IF(AND(BX47&gt;=Premissas!$F$100,BW47&lt;Premissas!$F$100),BX2,"")</f>
        <v/>
      </c>
      <c r="BY76" s="8">
        <f>IF(AND(BY47&gt;=Premissas!$F$100,BX47&lt;Premissas!$F$100),BY2,"")</f>
        <v/>
      </c>
      <c r="BZ76" s="8">
        <f>IF(AND(BZ47&gt;=Premissas!$F$100,BY47&lt;Premissas!$F$100),BZ2,"")</f>
        <v/>
      </c>
      <c r="CA76" s="8">
        <f>IF(AND(CA47&gt;=Premissas!$F$100,BZ47&lt;Premissas!$F$100),CA2,"")</f>
        <v/>
      </c>
      <c r="CB76" s="8">
        <f>IF(AND(CB47&gt;=Premissas!$F$100,CA47&lt;Premissas!$F$100),CB2,"")</f>
        <v/>
      </c>
      <c r="CC76" s="8">
        <f>IF(AND(CC47&gt;=Premissas!$F$100,CB47&lt;Premissas!$F$100),CC2,"")</f>
        <v/>
      </c>
      <c r="CD76" s="8">
        <f>IF(AND(CD47&gt;=Premissas!$F$100,CC47&lt;Premissas!$F$100),CD2,"")</f>
        <v/>
      </c>
      <c r="CE76" s="8">
        <f>IF(AND(CE47&gt;=Premissas!$F$100,CD47&lt;Premissas!$F$100),CE2,"")</f>
        <v/>
      </c>
      <c r="CF76" s="8">
        <f>IF(AND(CF47&gt;=Premissas!$F$100,CE47&lt;Premissas!$F$100),CF2,"")</f>
        <v/>
      </c>
      <c r="CG76" s="8">
        <f>IF(AND(CG47&gt;=Premissas!$F$100,CF47&lt;Premissas!$F$100),CG2,"")</f>
        <v/>
      </c>
      <c r="CH76" s="8">
        <f>IF(AND(CH47&gt;=Premissas!$F$100,CG47&lt;Premissas!$F$100),CH2,"")</f>
        <v/>
      </c>
    </row>
    <row r="77">
      <c r="A77" s="3" t="inlineStr">
        <is>
          <t>Pessoas no total (fundadores, equipe e especialistas)</t>
        </is>
      </c>
      <c r="C77" s="12">
        <f>Premissas!$F$35+INDEX(Premissas!$C$24:$I$24,1,C3)+INDEX(Premissas!$C$27:$I$27,1,C3)+INDEX(Premissas!$C$25:$I$25,1,C3)+C54</f>
        <v/>
      </c>
      <c r="D77" s="12">
        <f>Premissas!$F$35+INDEX(Premissas!$C$24:$I$24,1,D3)+INDEX(Premissas!$C$27:$I$27,1,D3)+INDEX(Premissas!$C$25:$I$25,1,D3)+D54</f>
        <v/>
      </c>
      <c r="E77" s="12">
        <f>Premissas!$F$35+INDEX(Premissas!$C$24:$I$24,1,E3)+INDEX(Premissas!$C$27:$I$27,1,E3)+INDEX(Premissas!$C$25:$I$25,1,E3)+E54</f>
        <v/>
      </c>
      <c r="F77" s="12">
        <f>Premissas!$F$35+INDEX(Premissas!$C$24:$I$24,1,F3)+INDEX(Premissas!$C$27:$I$27,1,F3)+INDEX(Premissas!$C$25:$I$25,1,F3)+F54</f>
        <v/>
      </c>
      <c r="G77" s="12">
        <f>Premissas!$F$35+INDEX(Premissas!$C$24:$I$24,1,G3)+INDEX(Premissas!$C$27:$I$27,1,G3)+INDEX(Premissas!$C$25:$I$25,1,G3)+G54</f>
        <v/>
      </c>
      <c r="H77" s="12">
        <f>Premissas!$F$35+INDEX(Premissas!$C$24:$I$24,1,H3)+INDEX(Premissas!$C$27:$I$27,1,H3)+INDEX(Premissas!$C$25:$I$25,1,H3)+H54</f>
        <v/>
      </c>
      <c r="I77" s="12">
        <f>Premissas!$F$35+INDEX(Premissas!$C$24:$I$24,1,I3)+INDEX(Premissas!$C$27:$I$27,1,I3)+INDEX(Premissas!$C$25:$I$25,1,I3)+I54</f>
        <v/>
      </c>
      <c r="J77" s="12">
        <f>Premissas!$F$35+INDEX(Premissas!$C$24:$I$24,1,J3)+INDEX(Premissas!$C$27:$I$27,1,J3)+INDEX(Premissas!$C$25:$I$25,1,J3)+J54</f>
        <v/>
      </c>
      <c r="K77" s="12">
        <f>Premissas!$F$35+INDEX(Premissas!$C$24:$I$24,1,K3)+INDEX(Premissas!$C$27:$I$27,1,K3)+INDEX(Premissas!$C$25:$I$25,1,K3)+K54</f>
        <v/>
      </c>
      <c r="L77" s="12">
        <f>Premissas!$F$35+INDEX(Premissas!$C$24:$I$24,1,L3)+INDEX(Premissas!$C$27:$I$27,1,L3)+INDEX(Premissas!$C$25:$I$25,1,L3)+L54</f>
        <v/>
      </c>
      <c r="M77" s="12">
        <f>Premissas!$F$35+INDEX(Premissas!$C$24:$I$24,1,M3)+INDEX(Premissas!$C$27:$I$27,1,M3)+INDEX(Premissas!$C$25:$I$25,1,M3)+M54</f>
        <v/>
      </c>
      <c r="N77" s="12">
        <f>Premissas!$F$35+INDEX(Premissas!$C$24:$I$24,1,N3)+INDEX(Premissas!$C$27:$I$27,1,N3)+INDEX(Premissas!$C$25:$I$25,1,N3)+N54</f>
        <v/>
      </c>
      <c r="O77" s="12">
        <f>Premissas!$F$35+INDEX(Premissas!$C$24:$I$24,1,O3)+INDEX(Premissas!$C$27:$I$27,1,O3)+INDEX(Premissas!$C$25:$I$25,1,O3)+O54</f>
        <v/>
      </c>
      <c r="P77" s="12">
        <f>Premissas!$F$35+INDEX(Premissas!$C$24:$I$24,1,P3)+INDEX(Premissas!$C$27:$I$27,1,P3)+INDEX(Premissas!$C$25:$I$25,1,P3)+P54</f>
        <v/>
      </c>
      <c r="Q77" s="12">
        <f>Premissas!$F$35+INDEX(Premissas!$C$24:$I$24,1,Q3)+INDEX(Premissas!$C$27:$I$27,1,Q3)+INDEX(Premissas!$C$25:$I$25,1,Q3)+Q54</f>
        <v/>
      </c>
      <c r="R77" s="12">
        <f>Premissas!$F$35+INDEX(Premissas!$C$24:$I$24,1,R3)+INDEX(Premissas!$C$27:$I$27,1,R3)+INDEX(Premissas!$C$25:$I$25,1,R3)+R54</f>
        <v/>
      </c>
      <c r="S77" s="12">
        <f>Premissas!$F$35+INDEX(Premissas!$C$24:$I$24,1,S3)+INDEX(Premissas!$C$27:$I$27,1,S3)+INDEX(Premissas!$C$25:$I$25,1,S3)+S54</f>
        <v/>
      </c>
      <c r="T77" s="12">
        <f>Premissas!$F$35+INDEX(Premissas!$C$24:$I$24,1,T3)+INDEX(Premissas!$C$27:$I$27,1,T3)+INDEX(Premissas!$C$25:$I$25,1,T3)+T54</f>
        <v/>
      </c>
      <c r="U77" s="12">
        <f>Premissas!$F$35+INDEX(Premissas!$C$24:$I$24,1,U3)+INDEX(Premissas!$C$27:$I$27,1,U3)+INDEX(Premissas!$C$25:$I$25,1,U3)+U54</f>
        <v/>
      </c>
      <c r="V77" s="12">
        <f>Premissas!$F$35+INDEX(Premissas!$C$24:$I$24,1,V3)+INDEX(Premissas!$C$27:$I$27,1,V3)+INDEX(Premissas!$C$25:$I$25,1,V3)+V54</f>
        <v/>
      </c>
      <c r="W77" s="12">
        <f>Premissas!$F$35+INDEX(Premissas!$C$24:$I$24,1,W3)+INDEX(Premissas!$C$27:$I$27,1,W3)+INDEX(Premissas!$C$25:$I$25,1,W3)+W54</f>
        <v/>
      </c>
      <c r="X77" s="12">
        <f>Premissas!$F$35+INDEX(Premissas!$C$24:$I$24,1,X3)+INDEX(Premissas!$C$27:$I$27,1,X3)+INDEX(Premissas!$C$25:$I$25,1,X3)+X54</f>
        <v/>
      </c>
      <c r="Y77" s="12">
        <f>Premissas!$F$35+INDEX(Premissas!$C$24:$I$24,1,Y3)+INDEX(Premissas!$C$27:$I$27,1,Y3)+INDEX(Premissas!$C$25:$I$25,1,Y3)+Y54</f>
        <v/>
      </c>
      <c r="Z77" s="12">
        <f>Premissas!$F$35+INDEX(Premissas!$C$24:$I$24,1,Z3)+INDEX(Premissas!$C$27:$I$27,1,Z3)+INDEX(Premissas!$C$25:$I$25,1,Z3)+Z54</f>
        <v/>
      </c>
      <c r="AA77" s="12">
        <f>Premissas!$F$35+INDEX(Premissas!$C$24:$I$24,1,AA3)+INDEX(Premissas!$C$27:$I$27,1,AA3)+INDEX(Premissas!$C$25:$I$25,1,AA3)+AA54</f>
        <v/>
      </c>
      <c r="AB77" s="12">
        <f>Premissas!$F$35+INDEX(Premissas!$C$24:$I$24,1,AB3)+INDEX(Premissas!$C$27:$I$27,1,AB3)+INDEX(Premissas!$C$25:$I$25,1,AB3)+AB54</f>
        <v/>
      </c>
      <c r="AC77" s="12">
        <f>Premissas!$F$35+INDEX(Premissas!$C$24:$I$24,1,AC3)+INDEX(Premissas!$C$27:$I$27,1,AC3)+INDEX(Premissas!$C$25:$I$25,1,AC3)+AC54</f>
        <v/>
      </c>
      <c r="AD77" s="12">
        <f>Premissas!$F$35+INDEX(Premissas!$C$24:$I$24,1,AD3)+INDEX(Premissas!$C$27:$I$27,1,AD3)+INDEX(Premissas!$C$25:$I$25,1,AD3)+AD54</f>
        <v/>
      </c>
      <c r="AE77" s="12">
        <f>Premissas!$F$35+INDEX(Premissas!$C$24:$I$24,1,AE3)+INDEX(Premissas!$C$27:$I$27,1,AE3)+INDEX(Premissas!$C$25:$I$25,1,AE3)+AE54</f>
        <v/>
      </c>
      <c r="AF77" s="12">
        <f>Premissas!$F$35+INDEX(Premissas!$C$24:$I$24,1,AF3)+INDEX(Premissas!$C$27:$I$27,1,AF3)+INDEX(Premissas!$C$25:$I$25,1,AF3)+AF54</f>
        <v/>
      </c>
      <c r="AG77" s="12">
        <f>Premissas!$F$35+INDEX(Premissas!$C$24:$I$24,1,AG3)+INDEX(Premissas!$C$27:$I$27,1,AG3)+INDEX(Premissas!$C$25:$I$25,1,AG3)+AG54</f>
        <v/>
      </c>
      <c r="AH77" s="12">
        <f>Premissas!$F$35+INDEX(Premissas!$C$24:$I$24,1,AH3)+INDEX(Premissas!$C$27:$I$27,1,AH3)+INDEX(Premissas!$C$25:$I$25,1,AH3)+AH54</f>
        <v/>
      </c>
      <c r="AI77" s="12">
        <f>Premissas!$F$35+INDEX(Premissas!$C$24:$I$24,1,AI3)+INDEX(Premissas!$C$27:$I$27,1,AI3)+INDEX(Premissas!$C$25:$I$25,1,AI3)+AI54</f>
        <v/>
      </c>
      <c r="AJ77" s="12">
        <f>Premissas!$F$35+INDEX(Premissas!$C$24:$I$24,1,AJ3)+INDEX(Premissas!$C$27:$I$27,1,AJ3)+INDEX(Premissas!$C$25:$I$25,1,AJ3)+AJ54</f>
        <v/>
      </c>
      <c r="AK77" s="12">
        <f>Premissas!$F$35+INDEX(Premissas!$C$24:$I$24,1,AK3)+INDEX(Premissas!$C$27:$I$27,1,AK3)+INDEX(Premissas!$C$25:$I$25,1,AK3)+AK54</f>
        <v/>
      </c>
      <c r="AL77" s="12">
        <f>Premissas!$F$35+INDEX(Premissas!$C$24:$I$24,1,AL3)+INDEX(Premissas!$C$27:$I$27,1,AL3)+INDEX(Premissas!$C$25:$I$25,1,AL3)+AL54</f>
        <v/>
      </c>
      <c r="AM77" s="12">
        <f>Premissas!$F$35+INDEX(Premissas!$C$24:$I$24,1,AM3)+INDEX(Premissas!$C$27:$I$27,1,AM3)+INDEX(Premissas!$C$25:$I$25,1,AM3)+AM54</f>
        <v/>
      </c>
      <c r="AN77" s="12">
        <f>Premissas!$F$35+INDEX(Premissas!$C$24:$I$24,1,AN3)+INDEX(Premissas!$C$27:$I$27,1,AN3)+INDEX(Premissas!$C$25:$I$25,1,AN3)+AN54</f>
        <v/>
      </c>
      <c r="AO77" s="12">
        <f>Premissas!$F$35+INDEX(Premissas!$C$24:$I$24,1,AO3)+INDEX(Premissas!$C$27:$I$27,1,AO3)+INDEX(Premissas!$C$25:$I$25,1,AO3)+AO54</f>
        <v/>
      </c>
      <c r="AP77" s="12">
        <f>Premissas!$F$35+INDEX(Premissas!$C$24:$I$24,1,AP3)+INDEX(Premissas!$C$27:$I$27,1,AP3)+INDEX(Premissas!$C$25:$I$25,1,AP3)+AP54</f>
        <v/>
      </c>
      <c r="AQ77" s="12">
        <f>Premissas!$F$35+INDEX(Premissas!$C$24:$I$24,1,AQ3)+INDEX(Premissas!$C$27:$I$27,1,AQ3)+INDEX(Premissas!$C$25:$I$25,1,AQ3)+AQ54</f>
        <v/>
      </c>
      <c r="AR77" s="12">
        <f>Premissas!$F$35+INDEX(Premissas!$C$24:$I$24,1,AR3)+INDEX(Premissas!$C$27:$I$27,1,AR3)+INDEX(Premissas!$C$25:$I$25,1,AR3)+AR54</f>
        <v/>
      </c>
      <c r="AS77" s="12">
        <f>Premissas!$F$35+INDEX(Premissas!$C$24:$I$24,1,AS3)+INDEX(Premissas!$C$27:$I$27,1,AS3)+INDEX(Premissas!$C$25:$I$25,1,AS3)+AS54</f>
        <v/>
      </c>
      <c r="AT77" s="12">
        <f>Premissas!$F$35+INDEX(Premissas!$C$24:$I$24,1,AT3)+INDEX(Premissas!$C$27:$I$27,1,AT3)+INDEX(Premissas!$C$25:$I$25,1,AT3)+AT54</f>
        <v/>
      </c>
      <c r="AU77" s="12">
        <f>Premissas!$F$35+INDEX(Premissas!$C$24:$I$24,1,AU3)+INDEX(Premissas!$C$27:$I$27,1,AU3)+INDEX(Premissas!$C$25:$I$25,1,AU3)+AU54</f>
        <v/>
      </c>
      <c r="AV77" s="12">
        <f>Premissas!$F$35+INDEX(Premissas!$C$24:$I$24,1,AV3)+INDEX(Premissas!$C$27:$I$27,1,AV3)+INDEX(Premissas!$C$25:$I$25,1,AV3)+AV54</f>
        <v/>
      </c>
      <c r="AW77" s="12">
        <f>Premissas!$F$35+INDEX(Premissas!$C$24:$I$24,1,AW3)+INDEX(Premissas!$C$27:$I$27,1,AW3)+INDEX(Premissas!$C$25:$I$25,1,AW3)+AW54</f>
        <v/>
      </c>
      <c r="AX77" s="12">
        <f>Premissas!$F$35+INDEX(Premissas!$C$24:$I$24,1,AX3)+INDEX(Premissas!$C$27:$I$27,1,AX3)+INDEX(Premissas!$C$25:$I$25,1,AX3)+AX54</f>
        <v/>
      </c>
      <c r="AY77" s="12">
        <f>Premissas!$F$35+INDEX(Premissas!$C$24:$I$24,1,AY3)+INDEX(Premissas!$C$27:$I$27,1,AY3)+INDEX(Premissas!$C$25:$I$25,1,AY3)+AY54</f>
        <v/>
      </c>
      <c r="AZ77" s="12">
        <f>Premissas!$F$35+INDEX(Premissas!$C$24:$I$24,1,AZ3)+INDEX(Premissas!$C$27:$I$27,1,AZ3)+INDEX(Premissas!$C$25:$I$25,1,AZ3)+AZ54</f>
        <v/>
      </c>
      <c r="BA77" s="12">
        <f>Premissas!$F$35+INDEX(Premissas!$C$24:$I$24,1,BA3)+INDEX(Premissas!$C$27:$I$27,1,BA3)+INDEX(Premissas!$C$25:$I$25,1,BA3)+BA54</f>
        <v/>
      </c>
      <c r="BB77" s="12">
        <f>Premissas!$F$35+INDEX(Premissas!$C$24:$I$24,1,BB3)+INDEX(Premissas!$C$27:$I$27,1,BB3)+INDEX(Premissas!$C$25:$I$25,1,BB3)+BB54</f>
        <v/>
      </c>
      <c r="BC77" s="12">
        <f>Premissas!$F$35+INDEX(Premissas!$C$24:$I$24,1,BC3)+INDEX(Premissas!$C$27:$I$27,1,BC3)+INDEX(Premissas!$C$25:$I$25,1,BC3)+BC54</f>
        <v/>
      </c>
      <c r="BD77" s="12">
        <f>Premissas!$F$35+INDEX(Premissas!$C$24:$I$24,1,BD3)+INDEX(Premissas!$C$27:$I$27,1,BD3)+INDEX(Premissas!$C$25:$I$25,1,BD3)+BD54</f>
        <v/>
      </c>
      <c r="BE77" s="12">
        <f>Premissas!$F$35+INDEX(Premissas!$C$24:$I$24,1,BE3)+INDEX(Premissas!$C$27:$I$27,1,BE3)+INDEX(Premissas!$C$25:$I$25,1,BE3)+BE54</f>
        <v/>
      </c>
      <c r="BF77" s="12">
        <f>Premissas!$F$35+INDEX(Premissas!$C$24:$I$24,1,BF3)+INDEX(Premissas!$C$27:$I$27,1,BF3)+INDEX(Premissas!$C$25:$I$25,1,BF3)+BF54</f>
        <v/>
      </c>
      <c r="BG77" s="12">
        <f>Premissas!$F$35+INDEX(Premissas!$C$24:$I$24,1,BG3)+INDEX(Premissas!$C$27:$I$27,1,BG3)+INDEX(Premissas!$C$25:$I$25,1,BG3)+BG54</f>
        <v/>
      </c>
      <c r="BH77" s="12">
        <f>Premissas!$F$35+INDEX(Premissas!$C$24:$I$24,1,BH3)+INDEX(Premissas!$C$27:$I$27,1,BH3)+INDEX(Premissas!$C$25:$I$25,1,BH3)+BH54</f>
        <v/>
      </c>
      <c r="BI77" s="12">
        <f>Premissas!$F$35+INDEX(Premissas!$C$24:$I$24,1,BI3)+INDEX(Premissas!$C$27:$I$27,1,BI3)+INDEX(Premissas!$C$25:$I$25,1,BI3)+BI54</f>
        <v/>
      </c>
      <c r="BJ77" s="12">
        <f>Premissas!$F$35+INDEX(Premissas!$C$24:$I$24,1,BJ3)+INDEX(Premissas!$C$27:$I$27,1,BJ3)+INDEX(Premissas!$C$25:$I$25,1,BJ3)+BJ54</f>
        <v/>
      </c>
      <c r="BK77" s="12">
        <f>Premissas!$F$35+INDEX(Premissas!$C$24:$I$24,1,BK3)+INDEX(Premissas!$C$27:$I$27,1,BK3)+INDEX(Premissas!$C$25:$I$25,1,BK3)+BK54</f>
        <v/>
      </c>
      <c r="BL77" s="12">
        <f>Premissas!$F$35+INDEX(Premissas!$C$24:$I$24,1,BL3)+INDEX(Premissas!$C$27:$I$27,1,BL3)+INDEX(Premissas!$C$25:$I$25,1,BL3)+BL54</f>
        <v/>
      </c>
      <c r="BM77" s="12">
        <f>Premissas!$F$35+INDEX(Premissas!$C$24:$I$24,1,BM3)+INDEX(Premissas!$C$27:$I$27,1,BM3)+INDEX(Premissas!$C$25:$I$25,1,BM3)+BM54</f>
        <v/>
      </c>
      <c r="BN77" s="12">
        <f>Premissas!$F$35+INDEX(Premissas!$C$24:$I$24,1,BN3)+INDEX(Premissas!$C$27:$I$27,1,BN3)+INDEX(Premissas!$C$25:$I$25,1,BN3)+BN54</f>
        <v/>
      </c>
      <c r="BO77" s="12">
        <f>Premissas!$F$35+INDEX(Premissas!$C$24:$I$24,1,BO3)+INDEX(Premissas!$C$27:$I$27,1,BO3)+INDEX(Premissas!$C$25:$I$25,1,BO3)+BO54</f>
        <v/>
      </c>
      <c r="BP77" s="12">
        <f>Premissas!$F$35+INDEX(Premissas!$C$24:$I$24,1,BP3)+INDEX(Premissas!$C$27:$I$27,1,BP3)+INDEX(Premissas!$C$25:$I$25,1,BP3)+BP54</f>
        <v/>
      </c>
      <c r="BQ77" s="12">
        <f>Premissas!$F$35+INDEX(Premissas!$C$24:$I$24,1,BQ3)+INDEX(Premissas!$C$27:$I$27,1,BQ3)+INDEX(Premissas!$C$25:$I$25,1,BQ3)+BQ54</f>
        <v/>
      </c>
      <c r="BR77" s="12">
        <f>Premissas!$F$35+INDEX(Premissas!$C$24:$I$24,1,BR3)+INDEX(Premissas!$C$27:$I$27,1,BR3)+INDEX(Premissas!$C$25:$I$25,1,BR3)+BR54</f>
        <v/>
      </c>
      <c r="BS77" s="12">
        <f>Premissas!$F$35+INDEX(Premissas!$C$24:$I$24,1,BS3)+INDEX(Premissas!$C$27:$I$27,1,BS3)+INDEX(Premissas!$C$25:$I$25,1,BS3)+BS54</f>
        <v/>
      </c>
      <c r="BT77" s="12">
        <f>Premissas!$F$35+INDEX(Premissas!$C$24:$I$24,1,BT3)+INDEX(Premissas!$C$27:$I$27,1,BT3)+INDEX(Premissas!$C$25:$I$25,1,BT3)+BT54</f>
        <v/>
      </c>
      <c r="BU77" s="12">
        <f>Premissas!$F$35+INDEX(Premissas!$C$24:$I$24,1,BU3)+INDEX(Premissas!$C$27:$I$27,1,BU3)+INDEX(Premissas!$C$25:$I$25,1,BU3)+BU54</f>
        <v/>
      </c>
      <c r="BV77" s="12">
        <f>Premissas!$F$35+INDEX(Premissas!$C$24:$I$24,1,BV3)+INDEX(Premissas!$C$27:$I$27,1,BV3)+INDEX(Premissas!$C$25:$I$25,1,BV3)+BV54</f>
        <v/>
      </c>
      <c r="BW77" s="12">
        <f>Premissas!$F$35+INDEX(Premissas!$C$24:$I$24,1,BW3)+INDEX(Premissas!$C$27:$I$27,1,BW3)+INDEX(Premissas!$C$25:$I$25,1,BW3)+BW54</f>
        <v/>
      </c>
      <c r="BX77" s="12">
        <f>Premissas!$F$35+INDEX(Premissas!$C$24:$I$24,1,BX3)+INDEX(Premissas!$C$27:$I$27,1,BX3)+INDEX(Premissas!$C$25:$I$25,1,BX3)+BX54</f>
        <v/>
      </c>
      <c r="BY77" s="12">
        <f>Premissas!$F$35+INDEX(Premissas!$C$24:$I$24,1,BY3)+INDEX(Premissas!$C$27:$I$27,1,BY3)+INDEX(Premissas!$C$25:$I$25,1,BY3)+BY54</f>
        <v/>
      </c>
      <c r="BZ77" s="12">
        <f>Premissas!$F$35+INDEX(Premissas!$C$24:$I$24,1,BZ3)+INDEX(Premissas!$C$27:$I$27,1,BZ3)+INDEX(Premissas!$C$25:$I$25,1,BZ3)+BZ54</f>
        <v/>
      </c>
      <c r="CA77" s="12">
        <f>Premissas!$F$35+INDEX(Premissas!$C$24:$I$24,1,CA3)+INDEX(Premissas!$C$27:$I$27,1,CA3)+INDEX(Premissas!$C$25:$I$25,1,CA3)+CA54</f>
        <v/>
      </c>
      <c r="CB77" s="12">
        <f>Premissas!$F$35+INDEX(Premissas!$C$24:$I$24,1,CB3)+INDEX(Premissas!$C$27:$I$27,1,CB3)+INDEX(Premissas!$C$25:$I$25,1,CB3)+CB54</f>
        <v/>
      </c>
      <c r="CC77" s="12">
        <f>Premissas!$F$35+INDEX(Premissas!$C$24:$I$24,1,CC3)+INDEX(Premissas!$C$27:$I$27,1,CC3)+INDEX(Premissas!$C$25:$I$25,1,CC3)+CC54</f>
        <v/>
      </c>
      <c r="CD77" s="12">
        <f>Premissas!$F$35+INDEX(Premissas!$C$24:$I$24,1,CD3)+INDEX(Premissas!$C$27:$I$27,1,CD3)+INDEX(Premissas!$C$25:$I$25,1,CD3)+CD54</f>
        <v/>
      </c>
      <c r="CE77" s="12">
        <f>Premissas!$F$35+INDEX(Premissas!$C$24:$I$24,1,CE3)+INDEX(Premissas!$C$27:$I$27,1,CE3)+INDEX(Premissas!$C$25:$I$25,1,CE3)+CE54</f>
        <v/>
      </c>
      <c r="CF77" s="12">
        <f>Premissas!$F$35+INDEX(Premissas!$C$24:$I$24,1,CF3)+INDEX(Premissas!$C$27:$I$27,1,CF3)+INDEX(Premissas!$C$25:$I$25,1,CF3)+CF54</f>
        <v/>
      </c>
      <c r="CG77" s="12">
        <f>Premissas!$F$35+INDEX(Premissas!$C$24:$I$24,1,CG3)+INDEX(Premissas!$C$27:$I$27,1,CG3)+INDEX(Premissas!$C$25:$I$25,1,CG3)+CG54</f>
        <v/>
      </c>
      <c r="CH77" s="12">
        <f>Premissas!$F$35+INDEX(Premissas!$C$24:$I$24,1,CH3)+INDEX(Premissas!$C$27:$I$27,1,CH3)+INDEX(Premissas!$C$25:$I$25,1,CH3)+CH54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H71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2" customWidth="1" min="1" max="1"/>
    <col width="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  <col width="11" customWidth="1" min="73" max="73"/>
    <col width="11" customWidth="1" min="74" max="74"/>
    <col width="11" customWidth="1" min="75" max="75"/>
    <col width="11" customWidth="1" min="76" max="76"/>
    <col width="11" customWidth="1" min="77" max="77"/>
    <col width="11" customWidth="1" min="78" max="78"/>
    <col width="11" customWidth="1" min="79" max="79"/>
    <col width="11" customWidth="1" min="80" max="80"/>
    <col width="11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</cols>
  <sheetData>
    <row r="1">
      <c r="A1" s="1" t="inlineStr">
        <is>
          <t>Modelo B: agência operada por agentes · mês a mês</t>
        </is>
      </c>
    </row>
    <row r="2">
      <c r="A2" s="2" t="inlineStr">
        <is>
          <t>Mês</t>
        </is>
      </c>
      <c r="C2" s="21" t="n">
        <v>1</v>
      </c>
      <c r="D2" s="21" t="n">
        <v>2</v>
      </c>
      <c r="E2" s="21" t="n">
        <v>3</v>
      </c>
      <c r="F2" s="21" t="n">
        <v>4</v>
      </c>
      <c r="G2" s="21" t="n">
        <v>5</v>
      </c>
      <c r="H2" s="21" t="n">
        <v>6</v>
      </c>
      <c r="I2" s="21" t="n">
        <v>7</v>
      </c>
      <c r="J2" s="21" t="n">
        <v>8</v>
      </c>
      <c r="K2" s="21" t="n">
        <v>9</v>
      </c>
      <c r="L2" s="21" t="n">
        <v>10</v>
      </c>
      <c r="M2" s="21" t="n">
        <v>11</v>
      </c>
      <c r="N2" s="21" t="n">
        <v>12</v>
      </c>
      <c r="O2" s="21" t="n">
        <v>13</v>
      </c>
      <c r="P2" s="21" t="n">
        <v>14</v>
      </c>
      <c r="Q2" s="21" t="n">
        <v>15</v>
      </c>
      <c r="R2" s="21" t="n">
        <v>16</v>
      </c>
      <c r="S2" s="21" t="n">
        <v>17</v>
      </c>
      <c r="T2" s="21" t="n">
        <v>18</v>
      </c>
      <c r="U2" s="21" t="n">
        <v>19</v>
      </c>
      <c r="V2" s="21" t="n">
        <v>20</v>
      </c>
      <c r="W2" s="21" t="n">
        <v>21</v>
      </c>
      <c r="X2" s="21" t="n">
        <v>22</v>
      </c>
      <c r="Y2" s="21" t="n">
        <v>23</v>
      </c>
      <c r="Z2" s="21" t="n">
        <v>24</v>
      </c>
      <c r="AA2" s="21" t="n">
        <v>25</v>
      </c>
      <c r="AB2" s="21" t="n">
        <v>26</v>
      </c>
      <c r="AC2" s="21" t="n">
        <v>27</v>
      </c>
      <c r="AD2" s="21" t="n">
        <v>28</v>
      </c>
      <c r="AE2" s="21" t="n">
        <v>29</v>
      </c>
      <c r="AF2" s="21" t="n">
        <v>30</v>
      </c>
      <c r="AG2" s="21" t="n">
        <v>31</v>
      </c>
      <c r="AH2" s="21" t="n">
        <v>32</v>
      </c>
      <c r="AI2" s="21" t="n">
        <v>33</v>
      </c>
      <c r="AJ2" s="21" t="n">
        <v>34</v>
      </c>
      <c r="AK2" s="21" t="n">
        <v>35</v>
      </c>
      <c r="AL2" s="21" t="n">
        <v>36</v>
      </c>
      <c r="AM2" s="21" t="n">
        <v>37</v>
      </c>
      <c r="AN2" s="21" t="n">
        <v>38</v>
      </c>
      <c r="AO2" s="21" t="n">
        <v>39</v>
      </c>
      <c r="AP2" s="21" t="n">
        <v>40</v>
      </c>
      <c r="AQ2" s="21" t="n">
        <v>41</v>
      </c>
      <c r="AR2" s="21" t="n">
        <v>42</v>
      </c>
      <c r="AS2" s="21" t="n">
        <v>43</v>
      </c>
      <c r="AT2" s="21" t="n">
        <v>44</v>
      </c>
      <c r="AU2" s="21" t="n">
        <v>45</v>
      </c>
      <c r="AV2" s="21" t="n">
        <v>46</v>
      </c>
      <c r="AW2" s="21" t="n">
        <v>47</v>
      </c>
      <c r="AX2" s="21" t="n">
        <v>48</v>
      </c>
      <c r="AY2" s="21" t="n">
        <v>49</v>
      </c>
      <c r="AZ2" s="21" t="n">
        <v>50</v>
      </c>
      <c r="BA2" s="21" t="n">
        <v>51</v>
      </c>
      <c r="BB2" s="21" t="n">
        <v>52</v>
      </c>
      <c r="BC2" s="21" t="n">
        <v>53</v>
      </c>
      <c r="BD2" s="21" t="n">
        <v>54</v>
      </c>
      <c r="BE2" s="21" t="n">
        <v>55</v>
      </c>
      <c r="BF2" s="21" t="n">
        <v>56</v>
      </c>
      <c r="BG2" s="21" t="n">
        <v>57</v>
      </c>
      <c r="BH2" s="21" t="n">
        <v>58</v>
      </c>
      <c r="BI2" s="21" t="n">
        <v>59</v>
      </c>
      <c r="BJ2" s="21" t="n">
        <v>60</v>
      </c>
      <c r="BK2" s="21" t="n">
        <v>61</v>
      </c>
      <c r="BL2" s="21" t="n">
        <v>62</v>
      </c>
      <c r="BM2" s="21" t="n">
        <v>63</v>
      </c>
      <c r="BN2" s="21" t="n">
        <v>64</v>
      </c>
      <c r="BO2" s="21" t="n">
        <v>65</v>
      </c>
      <c r="BP2" s="21" t="n">
        <v>66</v>
      </c>
      <c r="BQ2" s="21" t="n">
        <v>67</v>
      </c>
      <c r="BR2" s="21" t="n">
        <v>68</v>
      </c>
      <c r="BS2" s="21" t="n">
        <v>69</v>
      </c>
      <c r="BT2" s="21" t="n">
        <v>70</v>
      </c>
      <c r="BU2" s="21" t="n">
        <v>71</v>
      </c>
      <c r="BV2" s="21" t="n">
        <v>72</v>
      </c>
      <c r="BW2" s="21" t="n">
        <v>73</v>
      </c>
      <c r="BX2" s="21" t="n">
        <v>74</v>
      </c>
      <c r="BY2" s="21" t="n">
        <v>75</v>
      </c>
      <c r="BZ2" s="21" t="n">
        <v>76</v>
      </c>
      <c r="CA2" s="21" t="n">
        <v>77</v>
      </c>
      <c r="CB2" s="21" t="n">
        <v>78</v>
      </c>
      <c r="CC2" s="21" t="n">
        <v>79</v>
      </c>
      <c r="CD2" s="21" t="n">
        <v>80</v>
      </c>
      <c r="CE2" s="21" t="n">
        <v>81</v>
      </c>
      <c r="CF2" s="21" t="n">
        <v>82</v>
      </c>
      <c r="CG2" s="21" t="n">
        <v>83</v>
      </c>
      <c r="CH2" s="21" t="n">
        <v>84</v>
      </c>
    </row>
    <row r="3">
      <c r="A3" s="3" t="inlineStr">
        <is>
          <t>Ano</t>
        </is>
      </c>
      <c r="C3" s="8">
        <f>ROUNDUP(C2/12,0)</f>
        <v/>
      </c>
      <c r="D3" s="8">
        <f>ROUNDUP(D2/12,0)</f>
        <v/>
      </c>
      <c r="E3" s="8">
        <f>ROUNDUP(E2/12,0)</f>
        <v/>
      </c>
      <c r="F3" s="8">
        <f>ROUNDUP(F2/12,0)</f>
        <v/>
      </c>
      <c r="G3" s="8">
        <f>ROUNDUP(G2/12,0)</f>
        <v/>
      </c>
      <c r="H3" s="8">
        <f>ROUNDUP(H2/12,0)</f>
        <v/>
      </c>
      <c r="I3" s="8">
        <f>ROUNDUP(I2/12,0)</f>
        <v/>
      </c>
      <c r="J3" s="8">
        <f>ROUNDUP(J2/12,0)</f>
        <v/>
      </c>
      <c r="K3" s="8">
        <f>ROUNDUP(K2/12,0)</f>
        <v/>
      </c>
      <c r="L3" s="8">
        <f>ROUNDUP(L2/12,0)</f>
        <v/>
      </c>
      <c r="M3" s="8">
        <f>ROUNDUP(M2/12,0)</f>
        <v/>
      </c>
      <c r="N3" s="8">
        <f>ROUNDUP(N2/12,0)</f>
        <v/>
      </c>
      <c r="O3" s="8">
        <f>ROUNDUP(O2/12,0)</f>
        <v/>
      </c>
      <c r="P3" s="8">
        <f>ROUNDUP(P2/12,0)</f>
        <v/>
      </c>
      <c r="Q3" s="8">
        <f>ROUNDUP(Q2/12,0)</f>
        <v/>
      </c>
      <c r="R3" s="8">
        <f>ROUNDUP(R2/12,0)</f>
        <v/>
      </c>
      <c r="S3" s="8">
        <f>ROUNDUP(S2/12,0)</f>
        <v/>
      </c>
      <c r="T3" s="8">
        <f>ROUNDUP(T2/12,0)</f>
        <v/>
      </c>
      <c r="U3" s="8">
        <f>ROUNDUP(U2/12,0)</f>
        <v/>
      </c>
      <c r="V3" s="8">
        <f>ROUNDUP(V2/12,0)</f>
        <v/>
      </c>
      <c r="W3" s="8">
        <f>ROUNDUP(W2/12,0)</f>
        <v/>
      </c>
      <c r="X3" s="8">
        <f>ROUNDUP(X2/12,0)</f>
        <v/>
      </c>
      <c r="Y3" s="8">
        <f>ROUNDUP(Y2/12,0)</f>
        <v/>
      </c>
      <c r="Z3" s="8">
        <f>ROUNDUP(Z2/12,0)</f>
        <v/>
      </c>
      <c r="AA3" s="8">
        <f>ROUNDUP(AA2/12,0)</f>
        <v/>
      </c>
      <c r="AB3" s="8">
        <f>ROUNDUP(AB2/12,0)</f>
        <v/>
      </c>
      <c r="AC3" s="8">
        <f>ROUNDUP(AC2/12,0)</f>
        <v/>
      </c>
      <c r="AD3" s="8">
        <f>ROUNDUP(AD2/12,0)</f>
        <v/>
      </c>
      <c r="AE3" s="8">
        <f>ROUNDUP(AE2/12,0)</f>
        <v/>
      </c>
      <c r="AF3" s="8">
        <f>ROUNDUP(AF2/12,0)</f>
        <v/>
      </c>
      <c r="AG3" s="8">
        <f>ROUNDUP(AG2/12,0)</f>
        <v/>
      </c>
      <c r="AH3" s="8">
        <f>ROUNDUP(AH2/12,0)</f>
        <v/>
      </c>
      <c r="AI3" s="8">
        <f>ROUNDUP(AI2/12,0)</f>
        <v/>
      </c>
      <c r="AJ3" s="8">
        <f>ROUNDUP(AJ2/12,0)</f>
        <v/>
      </c>
      <c r="AK3" s="8">
        <f>ROUNDUP(AK2/12,0)</f>
        <v/>
      </c>
      <c r="AL3" s="8">
        <f>ROUNDUP(AL2/12,0)</f>
        <v/>
      </c>
      <c r="AM3" s="8">
        <f>ROUNDUP(AM2/12,0)</f>
        <v/>
      </c>
      <c r="AN3" s="8">
        <f>ROUNDUP(AN2/12,0)</f>
        <v/>
      </c>
      <c r="AO3" s="8">
        <f>ROUNDUP(AO2/12,0)</f>
        <v/>
      </c>
      <c r="AP3" s="8">
        <f>ROUNDUP(AP2/12,0)</f>
        <v/>
      </c>
      <c r="AQ3" s="8">
        <f>ROUNDUP(AQ2/12,0)</f>
        <v/>
      </c>
      <c r="AR3" s="8">
        <f>ROUNDUP(AR2/12,0)</f>
        <v/>
      </c>
      <c r="AS3" s="8">
        <f>ROUNDUP(AS2/12,0)</f>
        <v/>
      </c>
      <c r="AT3" s="8">
        <f>ROUNDUP(AT2/12,0)</f>
        <v/>
      </c>
      <c r="AU3" s="8">
        <f>ROUNDUP(AU2/12,0)</f>
        <v/>
      </c>
      <c r="AV3" s="8">
        <f>ROUNDUP(AV2/12,0)</f>
        <v/>
      </c>
      <c r="AW3" s="8">
        <f>ROUNDUP(AW2/12,0)</f>
        <v/>
      </c>
      <c r="AX3" s="8">
        <f>ROUNDUP(AX2/12,0)</f>
        <v/>
      </c>
      <c r="AY3" s="8">
        <f>ROUNDUP(AY2/12,0)</f>
        <v/>
      </c>
      <c r="AZ3" s="8">
        <f>ROUNDUP(AZ2/12,0)</f>
        <v/>
      </c>
      <c r="BA3" s="8">
        <f>ROUNDUP(BA2/12,0)</f>
        <v/>
      </c>
      <c r="BB3" s="8">
        <f>ROUNDUP(BB2/12,0)</f>
        <v/>
      </c>
      <c r="BC3" s="8">
        <f>ROUNDUP(BC2/12,0)</f>
        <v/>
      </c>
      <c r="BD3" s="8">
        <f>ROUNDUP(BD2/12,0)</f>
        <v/>
      </c>
      <c r="BE3" s="8">
        <f>ROUNDUP(BE2/12,0)</f>
        <v/>
      </c>
      <c r="BF3" s="8">
        <f>ROUNDUP(BF2/12,0)</f>
        <v/>
      </c>
      <c r="BG3" s="8">
        <f>ROUNDUP(BG2/12,0)</f>
        <v/>
      </c>
      <c r="BH3" s="8">
        <f>ROUNDUP(BH2/12,0)</f>
        <v/>
      </c>
      <c r="BI3" s="8">
        <f>ROUNDUP(BI2/12,0)</f>
        <v/>
      </c>
      <c r="BJ3" s="8">
        <f>ROUNDUP(BJ2/12,0)</f>
        <v/>
      </c>
      <c r="BK3" s="8">
        <f>ROUNDUP(BK2/12,0)</f>
        <v/>
      </c>
      <c r="BL3" s="8">
        <f>ROUNDUP(BL2/12,0)</f>
        <v/>
      </c>
      <c r="BM3" s="8">
        <f>ROUNDUP(BM2/12,0)</f>
        <v/>
      </c>
      <c r="BN3" s="8">
        <f>ROUNDUP(BN2/12,0)</f>
        <v/>
      </c>
      <c r="BO3" s="8">
        <f>ROUNDUP(BO2/12,0)</f>
        <v/>
      </c>
      <c r="BP3" s="8">
        <f>ROUNDUP(BP2/12,0)</f>
        <v/>
      </c>
      <c r="BQ3" s="8">
        <f>ROUNDUP(BQ2/12,0)</f>
        <v/>
      </c>
      <c r="BR3" s="8">
        <f>ROUNDUP(BR2/12,0)</f>
        <v/>
      </c>
      <c r="BS3" s="8">
        <f>ROUNDUP(BS2/12,0)</f>
        <v/>
      </c>
      <c r="BT3" s="8">
        <f>ROUNDUP(BT2/12,0)</f>
        <v/>
      </c>
      <c r="BU3" s="8">
        <f>ROUNDUP(BU2/12,0)</f>
        <v/>
      </c>
      <c r="BV3" s="8">
        <f>ROUNDUP(BV2/12,0)</f>
        <v/>
      </c>
      <c r="BW3" s="8">
        <f>ROUNDUP(BW2/12,0)</f>
        <v/>
      </c>
      <c r="BX3" s="8">
        <f>ROUNDUP(BX2/12,0)</f>
        <v/>
      </c>
      <c r="BY3" s="8">
        <f>ROUNDUP(BY2/12,0)</f>
        <v/>
      </c>
      <c r="BZ3" s="8">
        <f>ROUNDUP(BZ2/12,0)</f>
        <v/>
      </c>
      <c r="CA3" s="8">
        <f>ROUNDUP(CA2/12,0)</f>
        <v/>
      </c>
      <c r="CB3" s="8">
        <f>ROUNDUP(CB2/12,0)</f>
        <v/>
      </c>
      <c r="CC3" s="8">
        <f>ROUNDUP(CC2/12,0)</f>
        <v/>
      </c>
      <c r="CD3" s="8">
        <f>ROUNDUP(CD2/12,0)</f>
        <v/>
      </c>
      <c r="CE3" s="8">
        <f>ROUNDUP(CE2/12,0)</f>
        <v/>
      </c>
      <c r="CF3" s="8">
        <f>ROUNDUP(CF2/12,0)</f>
        <v/>
      </c>
      <c r="CG3" s="8">
        <f>ROUNDUP(CG2/12,0)</f>
        <v/>
      </c>
      <c r="CH3" s="8">
        <f>ROUNDUP(CH2/12,0)</f>
        <v/>
      </c>
    </row>
    <row r="4">
      <c r="A4" s="3" t="inlineStr">
        <is>
          <t>Venda ativa (1 a partir do lançamento)</t>
        </is>
      </c>
      <c r="C4" s="8">
        <f>IF(C2&gt;=Premissas!$F$8,1,0)</f>
        <v/>
      </c>
      <c r="D4" s="8">
        <f>IF(D2&gt;=Premissas!$F$8,1,0)</f>
        <v/>
      </c>
      <c r="E4" s="8">
        <f>IF(E2&gt;=Premissas!$F$8,1,0)</f>
        <v/>
      </c>
      <c r="F4" s="8">
        <f>IF(F2&gt;=Premissas!$F$8,1,0)</f>
        <v/>
      </c>
      <c r="G4" s="8">
        <f>IF(G2&gt;=Premissas!$F$8,1,0)</f>
        <v/>
      </c>
      <c r="H4" s="8">
        <f>IF(H2&gt;=Premissas!$F$8,1,0)</f>
        <v/>
      </c>
      <c r="I4" s="8">
        <f>IF(I2&gt;=Premissas!$F$8,1,0)</f>
        <v/>
      </c>
      <c r="J4" s="8">
        <f>IF(J2&gt;=Premissas!$F$8,1,0)</f>
        <v/>
      </c>
      <c r="K4" s="8">
        <f>IF(K2&gt;=Premissas!$F$8,1,0)</f>
        <v/>
      </c>
      <c r="L4" s="8">
        <f>IF(L2&gt;=Premissas!$F$8,1,0)</f>
        <v/>
      </c>
      <c r="M4" s="8">
        <f>IF(M2&gt;=Premissas!$F$8,1,0)</f>
        <v/>
      </c>
      <c r="N4" s="8">
        <f>IF(N2&gt;=Premissas!$F$8,1,0)</f>
        <v/>
      </c>
      <c r="O4" s="8">
        <f>IF(O2&gt;=Premissas!$F$8,1,0)</f>
        <v/>
      </c>
      <c r="P4" s="8">
        <f>IF(P2&gt;=Premissas!$F$8,1,0)</f>
        <v/>
      </c>
      <c r="Q4" s="8">
        <f>IF(Q2&gt;=Premissas!$F$8,1,0)</f>
        <v/>
      </c>
      <c r="R4" s="8">
        <f>IF(R2&gt;=Premissas!$F$8,1,0)</f>
        <v/>
      </c>
      <c r="S4" s="8">
        <f>IF(S2&gt;=Premissas!$F$8,1,0)</f>
        <v/>
      </c>
      <c r="T4" s="8">
        <f>IF(T2&gt;=Premissas!$F$8,1,0)</f>
        <v/>
      </c>
      <c r="U4" s="8">
        <f>IF(U2&gt;=Premissas!$F$8,1,0)</f>
        <v/>
      </c>
      <c r="V4" s="8">
        <f>IF(V2&gt;=Premissas!$F$8,1,0)</f>
        <v/>
      </c>
      <c r="W4" s="8">
        <f>IF(W2&gt;=Premissas!$F$8,1,0)</f>
        <v/>
      </c>
      <c r="X4" s="8">
        <f>IF(X2&gt;=Premissas!$F$8,1,0)</f>
        <v/>
      </c>
      <c r="Y4" s="8">
        <f>IF(Y2&gt;=Premissas!$F$8,1,0)</f>
        <v/>
      </c>
      <c r="Z4" s="8">
        <f>IF(Z2&gt;=Premissas!$F$8,1,0)</f>
        <v/>
      </c>
      <c r="AA4" s="8">
        <f>IF(AA2&gt;=Premissas!$F$8,1,0)</f>
        <v/>
      </c>
      <c r="AB4" s="8">
        <f>IF(AB2&gt;=Premissas!$F$8,1,0)</f>
        <v/>
      </c>
      <c r="AC4" s="8">
        <f>IF(AC2&gt;=Premissas!$F$8,1,0)</f>
        <v/>
      </c>
      <c r="AD4" s="8">
        <f>IF(AD2&gt;=Premissas!$F$8,1,0)</f>
        <v/>
      </c>
      <c r="AE4" s="8">
        <f>IF(AE2&gt;=Premissas!$F$8,1,0)</f>
        <v/>
      </c>
      <c r="AF4" s="8">
        <f>IF(AF2&gt;=Premissas!$F$8,1,0)</f>
        <v/>
      </c>
      <c r="AG4" s="8">
        <f>IF(AG2&gt;=Premissas!$F$8,1,0)</f>
        <v/>
      </c>
      <c r="AH4" s="8">
        <f>IF(AH2&gt;=Premissas!$F$8,1,0)</f>
        <v/>
      </c>
      <c r="AI4" s="8">
        <f>IF(AI2&gt;=Premissas!$F$8,1,0)</f>
        <v/>
      </c>
      <c r="AJ4" s="8">
        <f>IF(AJ2&gt;=Premissas!$F$8,1,0)</f>
        <v/>
      </c>
      <c r="AK4" s="8">
        <f>IF(AK2&gt;=Premissas!$F$8,1,0)</f>
        <v/>
      </c>
      <c r="AL4" s="8">
        <f>IF(AL2&gt;=Premissas!$F$8,1,0)</f>
        <v/>
      </c>
      <c r="AM4" s="8">
        <f>IF(AM2&gt;=Premissas!$F$8,1,0)</f>
        <v/>
      </c>
      <c r="AN4" s="8">
        <f>IF(AN2&gt;=Premissas!$F$8,1,0)</f>
        <v/>
      </c>
      <c r="AO4" s="8">
        <f>IF(AO2&gt;=Premissas!$F$8,1,0)</f>
        <v/>
      </c>
      <c r="AP4" s="8">
        <f>IF(AP2&gt;=Premissas!$F$8,1,0)</f>
        <v/>
      </c>
      <c r="AQ4" s="8">
        <f>IF(AQ2&gt;=Premissas!$F$8,1,0)</f>
        <v/>
      </c>
      <c r="AR4" s="8">
        <f>IF(AR2&gt;=Premissas!$F$8,1,0)</f>
        <v/>
      </c>
      <c r="AS4" s="8">
        <f>IF(AS2&gt;=Premissas!$F$8,1,0)</f>
        <v/>
      </c>
      <c r="AT4" s="8">
        <f>IF(AT2&gt;=Premissas!$F$8,1,0)</f>
        <v/>
      </c>
      <c r="AU4" s="8">
        <f>IF(AU2&gt;=Premissas!$F$8,1,0)</f>
        <v/>
      </c>
      <c r="AV4" s="8">
        <f>IF(AV2&gt;=Premissas!$F$8,1,0)</f>
        <v/>
      </c>
      <c r="AW4" s="8">
        <f>IF(AW2&gt;=Premissas!$F$8,1,0)</f>
        <v/>
      </c>
      <c r="AX4" s="8">
        <f>IF(AX2&gt;=Premissas!$F$8,1,0)</f>
        <v/>
      </c>
      <c r="AY4" s="8">
        <f>IF(AY2&gt;=Premissas!$F$8,1,0)</f>
        <v/>
      </c>
      <c r="AZ4" s="8">
        <f>IF(AZ2&gt;=Premissas!$F$8,1,0)</f>
        <v/>
      </c>
      <c r="BA4" s="8">
        <f>IF(BA2&gt;=Premissas!$F$8,1,0)</f>
        <v/>
      </c>
      <c r="BB4" s="8">
        <f>IF(BB2&gt;=Premissas!$F$8,1,0)</f>
        <v/>
      </c>
      <c r="BC4" s="8">
        <f>IF(BC2&gt;=Premissas!$F$8,1,0)</f>
        <v/>
      </c>
      <c r="BD4" s="8">
        <f>IF(BD2&gt;=Premissas!$F$8,1,0)</f>
        <v/>
      </c>
      <c r="BE4" s="8">
        <f>IF(BE2&gt;=Premissas!$F$8,1,0)</f>
        <v/>
      </c>
      <c r="BF4" s="8">
        <f>IF(BF2&gt;=Premissas!$F$8,1,0)</f>
        <v/>
      </c>
      <c r="BG4" s="8">
        <f>IF(BG2&gt;=Premissas!$F$8,1,0)</f>
        <v/>
      </c>
      <c r="BH4" s="8">
        <f>IF(BH2&gt;=Premissas!$F$8,1,0)</f>
        <v/>
      </c>
      <c r="BI4" s="8">
        <f>IF(BI2&gt;=Premissas!$F$8,1,0)</f>
        <v/>
      </c>
      <c r="BJ4" s="8">
        <f>IF(BJ2&gt;=Premissas!$F$8,1,0)</f>
        <v/>
      </c>
      <c r="BK4" s="8">
        <f>IF(BK2&gt;=Premissas!$F$8,1,0)</f>
        <v/>
      </c>
      <c r="BL4" s="8">
        <f>IF(BL2&gt;=Premissas!$F$8,1,0)</f>
        <v/>
      </c>
      <c r="BM4" s="8">
        <f>IF(BM2&gt;=Premissas!$F$8,1,0)</f>
        <v/>
      </c>
      <c r="BN4" s="8">
        <f>IF(BN2&gt;=Premissas!$F$8,1,0)</f>
        <v/>
      </c>
      <c r="BO4" s="8">
        <f>IF(BO2&gt;=Premissas!$F$8,1,0)</f>
        <v/>
      </c>
      <c r="BP4" s="8">
        <f>IF(BP2&gt;=Premissas!$F$8,1,0)</f>
        <v/>
      </c>
      <c r="BQ4" s="8">
        <f>IF(BQ2&gt;=Premissas!$F$8,1,0)</f>
        <v/>
      </c>
      <c r="BR4" s="8">
        <f>IF(BR2&gt;=Premissas!$F$8,1,0)</f>
        <v/>
      </c>
      <c r="BS4" s="8">
        <f>IF(BS2&gt;=Premissas!$F$8,1,0)</f>
        <v/>
      </c>
      <c r="BT4" s="8">
        <f>IF(BT2&gt;=Premissas!$F$8,1,0)</f>
        <v/>
      </c>
      <c r="BU4" s="8">
        <f>IF(BU2&gt;=Premissas!$F$8,1,0)</f>
        <v/>
      </c>
      <c r="BV4" s="8">
        <f>IF(BV2&gt;=Premissas!$F$8,1,0)</f>
        <v/>
      </c>
      <c r="BW4" s="8">
        <f>IF(BW2&gt;=Premissas!$F$8,1,0)</f>
        <v/>
      </c>
      <c r="BX4" s="8">
        <f>IF(BX2&gt;=Premissas!$F$8,1,0)</f>
        <v/>
      </c>
      <c r="BY4" s="8">
        <f>IF(BY2&gt;=Premissas!$F$8,1,0)</f>
        <v/>
      </c>
      <c r="BZ4" s="8">
        <f>IF(BZ2&gt;=Premissas!$F$8,1,0)</f>
        <v/>
      </c>
      <c r="CA4" s="8">
        <f>IF(CA2&gt;=Premissas!$F$8,1,0)</f>
        <v/>
      </c>
      <c r="CB4" s="8">
        <f>IF(CB2&gt;=Premissas!$F$8,1,0)</f>
        <v/>
      </c>
      <c r="CC4" s="8">
        <f>IF(CC2&gt;=Premissas!$F$8,1,0)</f>
        <v/>
      </c>
      <c r="CD4" s="8">
        <f>IF(CD2&gt;=Premissas!$F$8,1,0)</f>
        <v/>
      </c>
      <c r="CE4" s="8">
        <f>IF(CE2&gt;=Premissas!$F$8,1,0)</f>
        <v/>
      </c>
      <c r="CF4" s="8">
        <f>IF(CF2&gt;=Premissas!$F$8,1,0)</f>
        <v/>
      </c>
      <c r="CG4" s="8">
        <f>IF(CG2&gt;=Premissas!$F$8,1,0)</f>
        <v/>
      </c>
      <c r="CH4" s="8">
        <f>IF(CH2&gt;=Premissas!$F$8,1,0)</f>
        <v/>
      </c>
    </row>
    <row r="5">
      <c r="A5" s="3" t="inlineStr">
        <is>
          <t>Fator de expansão para dentistas</t>
        </is>
      </c>
      <c r="C5" s="11">
        <f>IF(C2&gt;=Premissas!$F$13,1+Premissas!$F$14,1)</f>
        <v/>
      </c>
      <c r="D5" s="11">
        <f>IF(D2&gt;=Premissas!$F$13,1+Premissas!$F$14,1)</f>
        <v/>
      </c>
      <c r="E5" s="11">
        <f>IF(E2&gt;=Premissas!$F$13,1+Premissas!$F$14,1)</f>
        <v/>
      </c>
      <c r="F5" s="11">
        <f>IF(F2&gt;=Premissas!$F$13,1+Premissas!$F$14,1)</f>
        <v/>
      </c>
      <c r="G5" s="11">
        <f>IF(G2&gt;=Premissas!$F$13,1+Premissas!$F$14,1)</f>
        <v/>
      </c>
      <c r="H5" s="11">
        <f>IF(H2&gt;=Premissas!$F$13,1+Premissas!$F$14,1)</f>
        <v/>
      </c>
      <c r="I5" s="11">
        <f>IF(I2&gt;=Premissas!$F$13,1+Premissas!$F$14,1)</f>
        <v/>
      </c>
      <c r="J5" s="11">
        <f>IF(J2&gt;=Premissas!$F$13,1+Premissas!$F$14,1)</f>
        <v/>
      </c>
      <c r="K5" s="11">
        <f>IF(K2&gt;=Premissas!$F$13,1+Premissas!$F$14,1)</f>
        <v/>
      </c>
      <c r="L5" s="11">
        <f>IF(L2&gt;=Premissas!$F$13,1+Premissas!$F$14,1)</f>
        <v/>
      </c>
      <c r="M5" s="11">
        <f>IF(M2&gt;=Premissas!$F$13,1+Premissas!$F$14,1)</f>
        <v/>
      </c>
      <c r="N5" s="11">
        <f>IF(N2&gt;=Premissas!$F$13,1+Premissas!$F$14,1)</f>
        <v/>
      </c>
      <c r="O5" s="11">
        <f>IF(O2&gt;=Premissas!$F$13,1+Premissas!$F$14,1)</f>
        <v/>
      </c>
      <c r="P5" s="11">
        <f>IF(P2&gt;=Premissas!$F$13,1+Premissas!$F$14,1)</f>
        <v/>
      </c>
      <c r="Q5" s="11">
        <f>IF(Q2&gt;=Premissas!$F$13,1+Premissas!$F$14,1)</f>
        <v/>
      </c>
      <c r="R5" s="11">
        <f>IF(R2&gt;=Premissas!$F$13,1+Premissas!$F$14,1)</f>
        <v/>
      </c>
      <c r="S5" s="11">
        <f>IF(S2&gt;=Premissas!$F$13,1+Premissas!$F$14,1)</f>
        <v/>
      </c>
      <c r="T5" s="11">
        <f>IF(T2&gt;=Premissas!$F$13,1+Premissas!$F$14,1)</f>
        <v/>
      </c>
      <c r="U5" s="11">
        <f>IF(U2&gt;=Premissas!$F$13,1+Premissas!$F$14,1)</f>
        <v/>
      </c>
      <c r="V5" s="11">
        <f>IF(V2&gt;=Premissas!$F$13,1+Premissas!$F$14,1)</f>
        <v/>
      </c>
      <c r="W5" s="11">
        <f>IF(W2&gt;=Premissas!$F$13,1+Premissas!$F$14,1)</f>
        <v/>
      </c>
      <c r="X5" s="11">
        <f>IF(X2&gt;=Premissas!$F$13,1+Premissas!$F$14,1)</f>
        <v/>
      </c>
      <c r="Y5" s="11">
        <f>IF(Y2&gt;=Premissas!$F$13,1+Premissas!$F$14,1)</f>
        <v/>
      </c>
      <c r="Z5" s="11">
        <f>IF(Z2&gt;=Premissas!$F$13,1+Premissas!$F$14,1)</f>
        <v/>
      </c>
      <c r="AA5" s="11">
        <f>IF(AA2&gt;=Premissas!$F$13,1+Premissas!$F$14,1)</f>
        <v/>
      </c>
      <c r="AB5" s="11">
        <f>IF(AB2&gt;=Premissas!$F$13,1+Premissas!$F$14,1)</f>
        <v/>
      </c>
      <c r="AC5" s="11">
        <f>IF(AC2&gt;=Premissas!$F$13,1+Premissas!$F$14,1)</f>
        <v/>
      </c>
      <c r="AD5" s="11">
        <f>IF(AD2&gt;=Premissas!$F$13,1+Premissas!$F$14,1)</f>
        <v/>
      </c>
      <c r="AE5" s="11">
        <f>IF(AE2&gt;=Premissas!$F$13,1+Premissas!$F$14,1)</f>
        <v/>
      </c>
      <c r="AF5" s="11">
        <f>IF(AF2&gt;=Premissas!$F$13,1+Premissas!$F$14,1)</f>
        <v/>
      </c>
      <c r="AG5" s="11">
        <f>IF(AG2&gt;=Premissas!$F$13,1+Premissas!$F$14,1)</f>
        <v/>
      </c>
      <c r="AH5" s="11">
        <f>IF(AH2&gt;=Premissas!$F$13,1+Premissas!$F$14,1)</f>
        <v/>
      </c>
      <c r="AI5" s="11">
        <f>IF(AI2&gt;=Premissas!$F$13,1+Premissas!$F$14,1)</f>
        <v/>
      </c>
      <c r="AJ5" s="11">
        <f>IF(AJ2&gt;=Premissas!$F$13,1+Premissas!$F$14,1)</f>
        <v/>
      </c>
      <c r="AK5" s="11">
        <f>IF(AK2&gt;=Premissas!$F$13,1+Premissas!$F$14,1)</f>
        <v/>
      </c>
      <c r="AL5" s="11">
        <f>IF(AL2&gt;=Premissas!$F$13,1+Premissas!$F$14,1)</f>
        <v/>
      </c>
      <c r="AM5" s="11">
        <f>IF(AM2&gt;=Premissas!$F$13,1+Premissas!$F$14,1)</f>
        <v/>
      </c>
      <c r="AN5" s="11">
        <f>IF(AN2&gt;=Premissas!$F$13,1+Premissas!$F$14,1)</f>
        <v/>
      </c>
      <c r="AO5" s="11">
        <f>IF(AO2&gt;=Premissas!$F$13,1+Premissas!$F$14,1)</f>
        <v/>
      </c>
      <c r="AP5" s="11">
        <f>IF(AP2&gt;=Premissas!$F$13,1+Premissas!$F$14,1)</f>
        <v/>
      </c>
      <c r="AQ5" s="11">
        <f>IF(AQ2&gt;=Premissas!$F$13,1+Premissas!$F$14,1)</f>
        <v/>
      </c>
      <c r="AR5" s="11">
        <f>IF(AR2&gt;=Premissas!$F$13,1+Premissas!$F$14,1)</f>
        <v/>
      </c>
      <c r="AS5" s="11">
        <f>IF(AS2&gt;=Premissas!$F$13,1+Premissas!$F$14,1)</f>
        <v/>
      </c>
      <c r="AT5" s="11">
        <f>IF(AT2&gt;=Premissas!$F$13,1+Premissas!$F$14,1)</f>
        <v/>
      </c>
      <c r="AU5" s="11">
        <f>IF(AU2&gt;=Premissas!$F$13,1+Premissas!$F$14,1)</f>
        <v/>
      </c>
      <c r="AV5" s="11">
        <f>IF(AV2&gt;=Premissas!$F$13,1+Premissas!$F$14,1)</f>
        <v/>
      </c>
      <c r="AW5" s="11">
        <f>IF(AW2&gt;=Premissas!$F$13,1+Premissas!$F$14,1)</f>
        <v/>
      </c>
      <c r="AX5" s="11">
        <f>IF(AX2&gt;=Premissas!$F$13,1+Premissas!$F$14,1)</f>
        <v/>
      </c>
      <c r="AY5" s="11">
        <f>IF(AY2&gt;=Premissas!$F$13,1+Premissas!$F$14,1)</f>
        <v/>
      </c>
      <c r="AZ5" s="11">
        <f>IF(AZ2&gt;=Premissas!$F$13,1+Premissas!$F$14,1)</f>
        <v/>
      </c>
      <c r="BA5" s="11">
        <f>IF(BA2&gt;=Premissas!$F$13,1+Premissas!$F$14,1)</f>
        <v/>
      </c>
      <c r="BB5" s="11">
        <f>IF(BB2&gt;=Premissas!$F$13,1+Premissas!$F$14,1)</f>
        <v/>
      </c>
      <c r="BC5" s="11">
        <f>IF(BC2&gt;=Premissas!$F$13,1+Premissas!$F$14,1)</f>
        <v/>
      </c>
      <c r="BD5" s="11">
        <f>IF(BD2&gt;=Premissas!$F$13,1+Premissas!$F$14,1)</f>
        <v/>
      </c>
      <c r="BE5" s="11">
        <f>IF(BE2&gt;=Premissas!$F$13,1+Premissas!$F$14,1)</f>
        <v/>
      </c>
      <c r="BF5" s="11">
        <f>IF(BF2&gt;=Premissas!$F$13,1+Premissas!$F$14,1)</f>
        <v/>
      </c>
      <c r="BG5" s="11">
        <f>IF(BG2&gt;=Premissas!$F$13,1+Premissas!$F$14,1)</f>
        <v/>
      </c>
      <c r="BH5" s="11">
        <f>IF(BH2&gt;=Premissas!$F$13,1+Premissas!$F$14,1)</f>
        <v/>
      </c>
      <c r="BI5" s="11">
        <f>IF(BI2&gt;=Premissas!$F$13,1+Premissas!$F$14,1)</f>
        <v/>
      </c>
      <c r="BJ5" s="11">
        <f>IF(BJ2&gt;=Premissas!$F$13,1+Premissas!$F$14,1)</f>
        <v/>
      </c>
      <c r="BK5" s="11">
        <f>IF(BK2&gt;=Premissas!$F$13,1+Premissas!$F$14,1)</f>
        <v/>
      </c>
      <c r="BL5" s="11">
        <f>IF(BL2&gt;=Premissas!$F$13,1+Premissas!$F$14,1)</f>
        <v/>
      </c>
      <c r="BM5" s="11">
        <f>IF(BM2&gt;=Premissas!$F$13,1+Premissas!$F$14,1)</f>
        <v/>
      </c>
      <c r="BN5" s="11">
        <f>IF(BN2&gt;=Premissas!$F$13,1+Premissas!$F$14,1)</f>
        <v/>
      </c>
      <c r="BO5" s="11">
        <f>IF(BO2&gt;=Premissas!$F$13,1+Premissas!$F$14,1)</f>
        <v/>
      </c>
      <c r="BP5" s="11">
        <f>IF(BP2&gt;=Premissas!$F$13,1+Premissas!$F$14,1)</f>
        <v/>
      </c>
      <c r="BQ5" s="11">
        <f>IF(BQ2&gt;=Premissas!$F$13,1+Premissas!$F$14,1)</f>
        <v/>
      </c>
      <c r="BR5" s="11">
        <f>IF(BR2&gt;=Premissas!$F$13,1+Premissas!$F$14,1)</f>
        <v/>
      </c>
      <c r="BS5" s="11">
        <f>IF(BS2&gt;=Premissas!$F$13,1+Premissas!$F$14,1)</f>
        <v/>
      </c>
      <c r="BT5" s="11">
        <f>IF(BT2&gt;=Premissas!$F$13,1+Premissas!$F$14,1)</f>
        <v/>
      </c>
      <c r="BU5" s="11">
        <f>IF(BU2&gt;=Premissas!$F$13,1+Premissas!$F$14,1)</f>
        <v/>
      </c>
      <c r="BV5" s="11">
        <f>IF(BV2&gt;=Premissas!$F$13,1+Premissas!$F$14,1)</f>
        <v/>
      </c>
      <c r="BW5" s="11">
        <f>IF(BW2&gt;=Premissas!$F$13,1+Premissas!$F$14,1)</f>
        <v/>
      </c>
      <c r="BX5" s="11">
        <f>IF(BX2&gt;=Premissas!$F$13,1+Premissas!$F$14,1)</f>
        <v/>
      </c>
      <c r="BY5" s="11">
        <f>IF(BY2&gt;=Premissas!$F$13,1+Premissas!$F$14,1)</f>
        <v/>
      </c>
      <c r="BZ5" s="11">
        <f>IF(BZ2&gt;=Premissas!$F$13,1+Premissas!$F$14,1)</f>
        <v/>
      </c>
      <c r="CA5" s="11">
        <f>IF(CA2&gt;=Premissas!$F$13,1+Premissas!$F$14,1)</f>
        <v/>
      </c>
      <c r="CB5" s="11">
        <f>IF(CB2&gt;=Premissas!$F$13,1+Premissas!$F$14,1)</f>
        <v/>
      </c>
      <c r="CC5" s="11">
        <f>IF(CC2&gt;=Premissas!$F$13,1+Premissas!$F$14,1)</f>
        <v/>
      </c>
      <c r="CD5" s="11">
        <f>IF(CD2&gt;=Premissas!$F$13,1+Premissas!$F$14,1)</f>
        <v/>
      </c>
      <c r="CE5" s="11">
        <f>IF(CE2&gt;=Premissas!$F$13,1+Premissas!$F$14,1)</f>
        <v/>
      </c>
      <c r="CF5" s="11">
        <f>IF(CF2&gt;=Premissas!$F$13,1+Premissas!$F$14,1)</f>
        <v/>
      </c>
      <c r="CG5" s="11">
        <f>IF(CG2&gt;=Premissas!$F$13,1+Premissas!$F$14,1)</f>
        <v/>
      </c>
      <c r="CH5" s="11">
        <f>IF(CH2&gt;=Premissas!$F$13,1+Premissas!$F$14,1)</f>
        <v/>
      </c>
    </row>
    <row r="7">
      <c r="A7" s="4" t="inlineStr">
        <is>
          <t>Aquisição</t>
        </is>
      </c>
      <c r="B7" s="5" t="n"/>
    </row>
    <row r="8">
      <c r="A8" s="3" t="inlineStr">
        <is>
          <t>Mídia paga no mês</t>
        </is>
      </c>
      <c r="C8" s="26">
        <f>INDEX(Premissas!$C$22:$I$22,1,C3)*C4*C5</f>
        <v/>
      </c>
      <c r="D8" s="26">
        <f>INDEX(Premissas!$C$22:$I$22,1,D3)*D4*D5</f>
        <v/>
      </c>
      <c r="E8" s="26">
        <f>INDEX(Premissas!$C$22:$I$22,1,E3)*E4*E5</f>
        <v/>
      </c>
      <c r="F8" s="26">
        <f>INDEX(Premissas!$C$22:$I$22,1,F3)*F4*F5</f>
        <v/>
      </c>
      <c r="G8" s="26">
        <f>INDEX(Premissas!$C$22:$I$22,1,G3)*G4*G5</f>
        <v/>
      </c>
      <c r="H8" s="26">
        <f>INDEX(Premissas!$C$22:$I$22,1,H3)*H4*H5</f>
        <v/>
      </c>
      <c r="I8" s="26">
        <f>INDEX(Premissas!$C$22:$I$22,1,I3)*I4*I5</f>
        <v/>
      </c>
      <c r="J8" s="26">
        <f>INDEX(Premissas!$C$22:$I$22,1,J3)*J4*J5</f>
        <v/>
      </c>
      <c r="K8" s="26">
        <f>INDEX(Premissas!$C$22:$I$22,1,K3)*K4*K5</f>
        <v/>
      </c>
      <c r="L8" s="26">
        <f>INDEX(Premissas!$C$22:$I$22,1,L3)*L4*L5</f>
        <v/>
      </c>
      <c r="M8" s="26">
        <f>INDEX(Premissas!$C$22:$I$22,1,M3)*M4*M5</f>
        <v/>
      </c>
      <c r="N8" s="26">
        <f>INDEX(Premissas!$C$22:$I$22,1,N3)*N4*N5</f>
        <v/>
      </c>
      <c r="O8" s="26">
        <f>INDEX(Premissas!$C$22:$I$22,1,O3)*O4*O5</f>
        <v/>
      </c>
      <c r="P8" s="26">
        <f>INDEX(Premissas!$C$22:$I$22,1,P3)*P4*P5</f>
        <v/>
      </c>
      <c r="Q8" s="26">
        <f>INDEX(Premissas!$C$22:$I$22,1,Q3)*Q4*Q5</f>
        <v/>
      </c>
      <c r="R8" s="26">
        <f>INDEX(Premissas!$C$22:$I$22,1,R3)*R4*R5</f>
        <v/>
      </c>
      <c r="S8" s="26">
        <f>INDEX(Premissas!$C$22:$I$22,1,S3)*S4*S5</f>
        <v/>
      </c>
      <c r="T8" s="26">
        <f>INDEX(Premissas!$C$22:$I$22,1,T3)*T4*T5</f>
        <v/>
      </c>
      <c r="U8" s="26">
        <f>INDEX(Premissas!$C$22:$I$22,1,U3)*U4*U5</f>
        <v/>
      </c>
      <c r="V8" s="26">
        <f>INDEX(Premissas!$C$22:$I$22,1,V3)*V4*V5</f>
        <v/>
      </c>
      <c r="W8" s="26">
        <f>INDEX(Premissas!$C$22:$I$22,1,W3)*W4*W5</f>
        <v/>
      </c>
      <c r="X8" s="26">
        <f>INDEX(Premissas!$C$22:$I$22,1,X3)*X4*X5</f>
        <v/>
      </c>
      <c r="Y8" s="26">
        <f>INDEX(Premissas!$C$22:$I$22,1,Y3)*Y4*Y5</f>
        <v/>
      </c>
      <c r="Z8" s="26">
        <f>INDEX(Premissas!$C$22:$I$22,1,Z3)*Z4*Z5</f>
        <v/>
      </c>
      <c r="AA8" s="26">
        <f>INDEX(Premissas!$C$22:$I$22,1,AA3)*AA4*AA5</f>
        <v/>
      </c>
      <c r="AB8" s="26">
        <f>INDEX(Premissas!$C$22:$I$22,1,AB3)*AB4*AB5</f>
        <v/>
      </c>
      <c r="AC8" s="26">
        <f>INDEX(Premissas!$C$22:$I$22,1,AC3)*AC4*AC5</f>
        <v/>
      </c>
      <c r="AD8" s="26">
        <f>INDEX(Premissas!$C$22:$I$22,1,AD3)*AD4*AD5</f>
        <v/>
      </c>
      <c r="AE8" s="26">
        <f>INDEX(Premissas!$C$22:$I$22,1,AE3)*AE4*AE5</f>
        <v/>
      </c>
      <c r="AF8" s="26">
        <f>INDEX(Premissas!$C$22:$I$22,1,AF3)*AF4*AF5</f>
        <v/>
      </c>
      <c r="AG8" s="26">
        <f>INDEX(Premissas!$C$22:$I$22,1,AG3)*AG4*AG5</f>
        <v/>
      </c>
      <c r="AH8" s="26">
        <f>INDEX(Premissas!$C$22:$I$22,1,AH3)*AH4*AH5</f>
        <v/>
      </c>
      <c r="AI8" s="26">
        <f>INDEX(Premissas!$C$22:$I$22,1,AI3)*AI4*AI5</f>
        <v/>
      </c>
      <c r="AJ8" s="26">
        <f>INDEX(Premissas!$C$22:$I$22,1,AJ3)*AJ4*AJ5</f>
        <v/>
      </c>
      <c r="AK8" s="26">
        <f>INDEX(Premissas!$C$22:$I$22,1,AK3)*AK4*AK5</f>
        <v/>
      </c>
      <c r="AL8" s="26">
        <f>INDEX(Premissas!$C$22:$I$22,1,AL3)*AL4*AL5</f>
        <v/>
      </c>
      <c r="AM8" s="26">
        <f>INDEX(Premissas!$C$22:$I$22,1,AM3)*AM4*AM5</f>
        <v/>
      </c>
      <c r="AN8" s="26">
        <f>INDEX(Premissas!$C$22:$I$22,1,AN3)*AN4*AN5</f>
        <v/>
      </c>
      <c r="AO8" s="26">
        <f>INDEX(Premissas!$C$22:$I$22,1,AO3)*AO4*AO5</f>
        <v/>
      </c>
      <c r="AP8" s="26">
        <f>INDEX(Premissas!$C$22:$I$22,1,AP3)*AP4*AP5</f>
        <v/>
      </c>
      <c r="AQ8" s="26">
        <f>INDEX(Premissas!$C$22:$I$22,1,AQ3)*AQ4*AQ5</f>
        <v/>
      </c>
      <c r="AR8" s="26">
        <f>INDEX(Premissas!$C$22:$I$22,1,AR3)*AR4*AR5</f>
        <v/>
      </c>
      <c r="AS8" s="26">
        <f>INDEX(Premissas!$C$22:$I$22,1,AS3)*AS4*AS5</f>
        <v/>
      </c>
      <c r="AT8" s="26">
        <f>INDEX(Premissas!$C$22:$I$22,1,AT3)*AT4*AT5</f>
        <v/>
      </c>
      <c r="AU8" s="26">
        <f>INDEX(Premissas!$C$22:$I$22,1,AU3)*AU4*AU5</f>
        <v/>
      </c>
      <c r="AV8" s="26">
        <f>INDEX(Premissas!$C$22:$I$22,1,AV3)*AV4*AV5</f>
        <v/>
      </c>
      <c r="AW8" s="26">
        <f>INDEX(Premissas!$C$22:$I$22,1,AW3)*AW4*AW5</f>
        <v/>
      </c>
      <c r="AX8" s="26">
        <f>INDEX(Premissas!$C$22:$I$22,1,AX3)*AX4*AX5</f>
        <v/>
      </c>
      <c r="AY8" s="26">
        <f>INDEX(Premissas!$C$22:$I$22,1,AY3)*AY4*AY5</f>
        <v/>
      </c>
      <c r="AZ8" s="26">
        <f>INDEX(Premissas!$C$22:$I$22,1,AZ3)*AZ4*AZ5</f>
        <v/>
      </c>
      <c r="BA8" s="26">
        <f>INDEX(Premissas!$C$22:$I$22,1,BA3)*BA4*BA5</f>
        <v/>
      </c>
      <c r="BB8" s="26">
        <f>INDEX(Premissas!$C$22:$I$22,1,BB3)*BB4*BB5</f>
        <v/>
      </c>
      <c r="BC8" s="26">
        <f>INDEX(Premissas!$C$22:$I$22,1,BC3)*BC4*BC5</f>
        <v/>
      </c>
      <c r="BD8" s="26">
        <f>INDEX(Premissas!$C$22:$I$22,1,BD3)*BD4*BD5</f>
        <v/>
      </c>
      <c r="BE8" s="26">
        <f>INDEX(Premissas!$C$22:$I$22,1,BE3)*BE4*BE5</f>
        <v/>
      </c>
      <c r="BF8" s="26">
        <f>INDEX(Premissas!$C$22:$I$22,1,BF3)*BF4*BF5</f>
        <v/>
      </c>
      <c r="BG8" s="26">
        <f>INDEX(Premissas!$C$22:$I$22,1,BG3)*BG4*BG5</f>
        <v/>
      </c>
      <c r="BH8" s="26">
        <f>INDEX(Premissas!$C$22:$I$22,1,BH3)*BH4*BH5</f>
        <v/>
      </c>
      <c r="BI8" s="26">
        <f>INDEX(Premissas!$C$22:$I$22,1,BI3)*BI4*BI5</f>
        <v/>
      </c>
      <c r="BJ8" s="26">
        <f>INDEX(Premissas!$C$22:$I$22,1,BJ3)*BJ4*BJ5</f>
        <v/>
      </c>
      <c r="BK8" s="26">
        <f>INDEX(Premissas!$C$22:$I$22,1,BK3)*BK4*BK5</f>
        <v/>
      </c>
      <c r="BL8" s="26">
        <f>INDEX(Premissas!$C$22:$I$22,1,BL3)*BL4*BL5</f>
        <v/>
      </c>
      <c r="BM8" s="26">
        <f>INDEX(Premissas!$C$22:$I$22,1,BM3)*BM4*BM5</f>
        <v/>
      </c>
      <c r="BN8" s="26">
        <f>INDEX(Premissas!$C$22:$I$22,1,BN3)*BN4*BN5</f>
        <v/>
      </c>
      <c r="BO8" s="26">
        <f>INDEX(Premissas!$C$22:$I$22,1,BO3)*BO4*BO5</f>
        <v/>
      </c>
      <c r="BP8" s="26">
        <f>INDEX(Premissas!$C$22:$I$22,1,BP3)*BP4*BP5</f>
        <v/>
      </c>
      <c r="BQ8" s="26">
        <f>INDEX(Premissas!$C$22:$I$22,1,BQ3)*BQ4*BQ5</f>
        <v/>
      </c>
      <c r="BR8" s="26">
        <f>INDEX(Premissas!$C$22:$I$22,1,BR3)*BR4*BR5</f>
        <v/>
      </c>
      <c r="BS8" s="26">
        <f>INDEX(Premissas!$C$22:$I$22,1,BS3)*BS4*BS5</f>
        <v/>
      </c>
      <c r="BT8" s="26">
        <f>INDEX(Premissas!$C$22:$I$22,1,BT3)*BT4*BT5</f>
        <v/>
      </c>
      <c r="BU8" s="26">
        <f>INDEX(Premissas!$C$22:$I$22,1,BU3)*BU4*BU5</f>
        <v/>
      </c>
      <c r="BV8" s="26">
        <f>INDEX(Premissas!$C$22:$I$22,1,BV3)*BV4*BV5</f>
        <v/>
      </c>
      <c r="BW8" s="26">
        <f>INDEX(Premissas!$C$22:$I$22,1,BW3)*BW4*BW5</f>
        <v/>
      </c>
      <c r="BX8" s="26">
        <f>INDEX(Premissas!$C$22:$I$22,1,BX3)*BX4*BX5</f>
        <v/>
      </c>
      <c r="BY8" s="26">
        <f>INDEX(Premissas!$C$22:$I$22,1,BY3)*BY4*BY5</f>
        <v/>
      </c>
      <c r="BZ8" s="26">
        <f>INDEX(Premissas!$C$22:$I$22,1,BZ3)*BZ4*BZ5</f>
        <v/>
      </c>
      <c r="CA8" s="26">
        <f>INDEX(Premissas!$C$22:$I$22,1,CA3)*CA4*CA5</f>
        <v/>
      </c>
      <c r="CB8" s="26">
        <f>INDEX(Premissas!$C$22:$I$22,1,CB3)*CB4*CB5</f>
        <v/>
      </c>
      <c r="CC8" s="26">
        <f>INDEX(Premissas!$C$22:$I$22,1,CC3)*CC4*CC5</f>
        <v/>
      </c>
      <c r="CD8" s="26">
        <f>INDEX(Premissas!$C$22:$I$22,1,CD3)*CD4*CD5</f>
        <v/>
      </c>
      <c r="CE8" s="26">
        <f>INDEX(Premissas!$C$22:$I$22,1,CE3)*CE4*CE5</f>
        <v/>
      </c>
      <c r="CF8" s="26">
        <f>INDEX(Premissas!$C$22:$I$22,1,CF3)*CF4*CF5</f>
        <v/>
      </c>
      <c r="CG8" s="26">
        <f>INDEX(Premissas!$C$22:$I$22,1,CG3)*CG4*CG5</f>
        <v/>
      </c>
      <c r="CH8" s="26">
        <f>INDEX(Premissas!$C$22:$I$22,1,CH3)*CH4*CH5</f>
        <v/>
      </c>
    </row>
    <row r="9">
      <c r="A9" s="3" t="inlineStr">
        <is>
          <t>Novos clientes por mídia paga</t>
        </is>
      </c>
      <c r="C9" s="12">
        <f>C8/Premissas!$F$70</f>
        <v/>
      </c>
      <c r="D9" s="12">
        <f>D8/Premissas!$F$70</f>
        <v/>
      </c>
      <c r="E9" s="12">
        <f>E8/Premissas!$F$70</f>
        <v/>
      </c>
      <c r="F9" s="12">
        <f>F8/Premissas!$F$70</f>
        <v/>
      </c>
      <c r="G9" s="12">
        <f>G8/Premissas!$F$70</f>
        <v/>
      </c>
      <c r="H9" s="12">
        <f>H8/Premissas!$F$70</f>
        <v/>
      </c>
      <c r="I9" s="12">
        <f>I8/Premissas!$F$70</f>
        <v/>
      </c>
      <c r="J9" s="12">
        <f>J8/Premissas!$F$70</f>
        <v/>
      </c>
      <c r="K9" s="12">
        <f>K8/Premissas!$F$70</f>
        <v/>
      </c>
      <c r="L9" s="12">
        <f>L8/Premissas!$F$70</f>
        <v/>
      </c>
      <c r="M9" s="12">
        <f>M8/Premissas!$F$70</f>
        <v/>
      </c>
      <c r="N9" s="12">
        <f>N8/Premissas!$F$70</f>
        <v/>
      </c>
      <c r="O9" s="12">
        <f>O8/Premissas!$F$70</f>
        <v/>
      </c>
      <c r="P9" s="12">
        <f>P8/Premissas!$F$70</f>
        <v/>
      </c>
      <c r="Q9" s="12">
        <f>Q8/Premissas!$F$70</f>
        <v/>
      </c>
      <c r="R9" s="12">
        <f>R8/Premissas!$F$70</f>
        <v/>
      </c>
      <c r="S9" s="12">
        <f>S8/Premissas!$F$70</f>
        <v/>
      </c>
      <c r="T9" s="12">
        <f>T8/Premissas!$F$70</f>
        <v/>
      </c>
      <c r="U9" s="12">
        <f>U8/Premissas!$F$70</f>
        <v/>
      </c>
      <c r="V9" s="12">
        <f>V8/Premissas!$F$70</f>
        <v/>
      </c>
      <c r="W9" s="12">
        <f>W8/Premissas!$F$70</f>
        <v/>
      </c>
      <c r="X9" s="12">
        <f>X8/Premissas!$F$70</f>
        <v/>
      </c>
      <c r="Y9" s="12">
        <f>Y8/Premissas!$F$70</f>
        <v/>
      </c>
      <c r="Z9" s="12">
        <f>Z8/Premissas!$F$70</f>
        <v/>
      </c>
      <c r="AA9" s="12">
        <f>AA8/Premissas!$F$70</f>
        <v/>
      </c>
      <c r="AB9" s="12">
        <f>AB8/Premissas!$F$70</f>
        <v/>
      </c>
      <c r="AC9" s="12">
        <f>AC8/Premissas!$F$70</f>
        <v/>
      </c>
      <c r="AD9" s="12">
        <f>AD8/Premissas!$F$70</f>
        <v/>
      </c>
      <c r="AE9" s="12">
        <f>AE8/Premissas!$F$70</f>
        <v/>
      </c>
      <c r="AF9" s="12">
        <f>AF8/Premissas!$F$70</f>
        <v/>
      </c>
      <c r="AG9" s="12">
        <f>AG8/Premissas!$F$70</f>
        <v/>
      </c>
      <c r="AH9" s="12">
        <f>AH8/Premissas!$F$70</f>
        <v/>
      </c>
      <c r="AI9" s="12">
        <f>AI8/Premissas!$F$70</f>
        <v/>
      </c>
      <c r="AJ9" s="12">
        <f>AJ8/Premissas!$F$70</f>
        <v/>
      </c>
      <c r="AK9" s="12">
        <f>AK8/Premissas!$F$70</f>
        <v/>
      </c>
      <c r="AL9" s="12">
        <f>AL8/Premissas!$F$70</f>
        <v/>
      </c>
      <c r="AM9" s="12">
        <f>AM8/Premissas!$F$70</f>
        <v/>
      </c>
      <c r="AN9" s="12">
        <f>AN8/Premissas!$F$70</f>
        <v/>
      </c>
      <c r="AO9" s="12">
        <f>AO8/Premissas!$F$70</f>
        <v/>
      </c>
      <c r="AP9" s="12">
        <f>AP8/Premissas!$F$70</f>
        <v/>
      </c>
      <c r="AQ9" s="12">
        <f>AQ8/Premissas!$F$70</f>
        <v/>
      </c>
      <c r="AR9" s="12">
        <f>AR8/Premissas!$F$70</f>
        <v/>
      </c>
      <c r="AS9" s="12">
        <f>AS8/Premissas!$F$70</f>
        <v/>
      </c>
      <c r="AT9" s="12">
        <f>AT8/Premissas!$F$70</f>
        <v/>
      </c>
      <c r="AU9" s="12">
        <f>AU8/Premissas!$F$70</f>
        <v/>
      </c>
      <c r="AV9" s="12">
        <f>AV8/Premissas!$F$70</f>
        <v/>
      </c>
      <c r="AW9" s="12">
        <f>AW8/Premissas!$F$70</f>
        <v/>
      </c>
      <c r="AX9" s="12">
        <f>AX8/Premissas!$F$70</f>
        <v/>
      </c>
      <c r="AY9" s="12">
        <f>AY8/Premissas!$F$70</f>
        <v/>
      </c>
      <c r="AZ9" s="12">
        <f>AZ8/Premissas!$F$70</f>
        <v/>
      </c>
      <c r="BA9" s="12">
        <f>BA8/Premissas!$F$70</f>
        <v/>
      </c>
      <c r="BB9" s="12">
        <f>BB8/Premissas!$F$70</f>
        <v/>
      </c>
      <c r="BC9" s="12">
        <f>BC8/Premissas!$F$70</f>
        <v/>
      </c>
      <c r="BD9" s="12">
        <f>BD8/Premissas!$F$70</f>
        <v/>
      </c>
      <c r="BE9" s="12">
        <f>BE8/Premissas!$F$70</f>
        <v/>
      </c>
      <c r="BF9" s="12">
        <f>BF8/Premissas!$F$70</f>
        <v/>
      </c>
      <c r="BG9" s="12">
        <f>BG8/Premissas!$F$70</f>
        <v/>
      </c>
      <c r="BH9" s="12">
        <f>BH8/Premissas!$F$70</f>
        <v/>
      </c>
      <c r="BI9" s="12">
        <f>BI8/Premissas!$F$70</f>
        <v/>
      </c>
      <c r="BJ9" s="12">
        <f>BJ8/Premissas!$F$70</f>
        <v/>
      </c>
      <c r="BK9" s="12">
        <f>BK8/Premissas!$F$70</f>
        <v/>
      </c>
      <c r="BL9" s="12">
        <f>BL8/Premissas!$F$70</f>
        <v/>
      </c>
      <c r="BM9" s="12">
        <f>BM8/Premissas!$F$70</f>
        <v/>
      </c>
      <c r="BN9" s="12">
        <f>BN8/Premissas!$F$70</f>
        <v/>
      </c>
      <c r="BO9" s="12">
        <f>BO8/Premissas!$F$70</f>
        <v/>
      </c>
      <c r="BP9" s="12">
        <f>BP8/Premissas!$F$70</f>
        <v/>
      </c>
      <c r="BQ9" s="12">
        <f>BQ8/Premissas!$F$70</f>
        <v/>
      </c>
      <c r="BR9" s="12">
        <f>BR8/Premissas!$F$70</f>
        <v/>
      </c>
      <c r="BS9" s="12">
        <f>BS8/Premissas!$F$70</f>
        <v/>
      </c>
      <c r="BT9" s="12">
        <f>BT8/Premissas!$F$70</f>
        <v/>
      </c>
      <c r="BU9" s="12">
        <f>BU8/Premissas!$F$70</f>
        <v/>
      </c>
      <c r="BV9" s="12">
        <f>BV8/Premissas!$F$70</f>
        <v/>
      </c>
      <c r="BW9" s="12">
        <f>BW8/Premissas!$F$70</f>
        <v/>
      </c>
      <c r="BX9" s="12">
        <f>BX8/Premissas!$F$70</f>
        <v/>
      </c>
      <c r="BY9" s="12">
        <f>BY8/Premissas!$F$70</f>
        <v/>
      </c>
      <c r="BZ9" s="12">
        <f>BZ8/Premissas!$F$70</f>
        <v/>
      </c>
      <c r="CA9" s="12">
        <f>CA8/Premissas!$F$70</f>
        <v/>
      </c>
      <c r="CB9" s="12">
        <f>CB8/Premissas!$F$70</f>
        <v/>
      </c>
      <c r="CC9" s="12">
        <f>CC8/Premissas!$F$70</f>
        <v/>
      </c>
      <c r="CD9" s="12">
        <f>CD8/Premissas!$F$70</f>
        <v/>
      </c>
      <c r="CE9" s="12">
        <f>CE8/Premissas!$F$70</f>
        <v/>
      </c>
      <c r="CF9" s="12">
        <f>CF8/Premissas!$F$70</f>
        <v/>
      </c>
      <c r="CG9" s="12">
        <f>CG8/Premissas!$F$70</f>
        <v/>
      </c>
      <c r="CH9" s="12">
        <f>CH8/Premissas!$F$70</f>
        <v/>
      </c>
    </row>
    <row r="10">
      <c r="A10" s="3" t="inlineStr">
        <is>
          <t>Novos clientes por parcerias</t>
        </is>
      </c>
      <c r="C10" s="12">
        <f>INDEX(Premissas!$C$23:$I$23,1,C3)*Premissas!$F$18*C4*C5</f>
        <v/>
      </c>
      <c r="D10" s="12">
        <f>INDEX(Premissas!$C$23:$I$23,1,D3)*Premissas!$F$18*D4*D5</f>
        <v/>
      </c>
      <c r="E10" s="12">
        <f>INDEX(Premissas!$C$23:$I$23,1,E3)*Premissas!$F$18*E4*E5</f>
        <v/>
      </c>
      <c r="F10" s="12">
        <f>INDEX(Premissas!$C$23:$I$23,1,F3)*Premissas!$F$18*F4*F5</f>
        <v/>
      </c>
      <c r="G10" s="12">
        <f>INDEX(Premissas!$C$23:$I$23,1,G3)*Premissas!$F$18*G4*G5</f>
        <v/>
      </c>
      <c r="H10" s="12">
        <f>INDEX(Premissas!$C$23:$I$23,1,H3)*Premissas!$F$18*H4*H5</f>
        <v/>
      </c>
      <c r="I10" s="12">
        <f>INDEX(Premissas!$C$23:$I$23,1,I3)*Premissas!$F$18*I4*I5</f>
        <v/>
      </c>
      <c r="J10" s="12">
        <f>INDEX(Premissas!$C$23:$I$23,1,J3)*Premissas!$F$18*J4*J5</f>
        <v/>
      </c>
      <c r="K10" s="12">
        <f>INDEX(Premissas!$C$23:$I$23,1,K3)*Premissas!$F$18*K4*K5</f>
        <v/>
      </c>
      <c r="L10" s="12">
        <f>INDEX(Premissas!$C$23:$I$23,1,L3)*Premissas!$F$18*L4*L5</f>
        <v/>
      </c>
      <c r="M10" s="12">
        <f>INDEX(Premissas!$C$23:$I$23,1,M3)*Premissas!$F$18*M4*M5</f>
        <v/>
      </c>
      <c r="N10" s="12">
        <f>INDEX(Premissas!$C$23:$I$23,1,N3)*Premissas!$F$18*N4*N5</f>
        <v/>
      </c>
      <c r="O10" s="12">
        <f>INDEX(Premissas!$C$23:$I$23,1,O3)*Premissas!$F$18*O4*O5</f>
        <v/>
      </c>
      <c r="P10" s="12">
        <f>INDEX(Premissas!$C$23:$I$23,1,P3)*Premissas!$F$18*P4*P5</f>
        <v/>
      </c>
      <c r="Q10" s="12">
        <f>INDEX(Premissas!$C$23:$I$23,1,Q3)*Premissas!$F$18*Q4*Q5</f>
        <v/>
      </c>
      <c r="R10" s="12">
        <f>INDEX(Premissas!$C$23:$I$23,1,R3)*Premissas!$F$18*R4*R5</f>
        <v/>
      </c>
      <c r="S10" s="12">
        <f>INDEX(Premissas!$C$23:$I$23,1,S3)*Premissas!$F$18*S4*S5</f>
        <v/>
      </c>
      <c r="T10" s="12">
        <f>INDEX(Premissas!$C$23:$I$23,1,T3)*Premissas!$F$18*T4*T5</f>
        <v/>
      </c>
      <c r="U10" s="12">
        <f>INDEX(Premissas!$C$23:$I$23,1,U3)*Premissas!$F$18*U4*U5</f>
        <v/>
      </c>
      <c r="V10" s="12">
        <f>INDEX(Premissas!$C$23:$I$23,1,V3)*Premissas!$F$18*V4*V5</f>
        <v/>
      </c>
      <c r="W10" s="12">
        <f>INDEX(Premissas!$C$23:$I$23,1,W3)*Premissas!$F$18*W4*W5</f>
        <v/>
      </c>
      <c r="X10" s="12">
        <f>INDEX(Premissas!$C$23:$I$23,1,X3)*Premissas!$F$18*X4*X5</f>
        <v/>
      </c>
      <c r="Y10" s="12">
        <f>INDEX(Premissas!$C$23:$I$23,1,Y3)*Premissas!$F$18*Y4*Y5</f>
        <v/>
      </c>
      <c r="Z10" s="12">
        <f>INDEX(Premissas!$C$23:$I$23,1,Z3)*Premissas!$F$18*Z4*Z5</f>
        <v/>
      </c>
      <c r="AA10" s="12">
        <f>INDEX(Premissas!$C$23:$I$23,1,AA3)*Premissas!$F$18*AA4*AA5</f>
        <v/>
      </c>
      <c r="AB10" s="12">
        <f>INDEX(Premissas!$C$23:$I$23,1,AB3)*Premissas!$F$18*AB4*AB5</f>
        <v/>
      </c>
      <c r="AC10" s="12">
        <f>INDEX(Premissas!$C$23:$I$23,1,AC3)*Premissas!$F$18*AC4*AC5</f>
        <v/>
      </c>
      <c r="AD10" s="12">
        <f>INDEX(Premissas!$C$23:$I$23,1,AD3)*Premissas!$F$18*AD4*AD5</f>
        <v/>
      </c>
      <c r="AE10" s="12">
        <f>INDEX(Premissas!$C$23:$I$23,1,AE3)*Premissas!$F$18*AE4*AE5</f>
        <v/>
      </c>
      <c r="AF10" s="12">
        <f>INDEX(Premissas!$C$23:$I$23,1,AF3)*Premissas!$F$18*AF4*AF5</f>
        <v/>
      </c>
      <c r="AG10" s="12">
        <f>INDEX(Premissas!$C$23:$I$23,1,AG3)*Premissas!$F$18*AG4*AG5</f>
        <v/>
      </c>
      <c r="AH10" s="12">
        <f>INDEX(Premissas!$C$23:$I$23,1,AH3)*Premissas!$F$18*AH4*AH5</f>
        <v/>
      </c>
      <c r="AI10" s="12">
        <f>INDEX(Premissas!$C$23:$I$23,1,AI3)*Premissas!$F$18*AI4*AI5</f>
        <v/>
      </c>
      <c r="AJ10" s="12">
        <f>INDEX(Premissas!$C$23:$I$23,1,AJ3)*Premissas!$F$18*AJ4*AJ5</f>
        <v/>
      </c>
      <c r="AK10" s="12">
        <f>INDEX(Premissas!$C$23:$I$23,1,AK3)*Premissas!$F$18*AK4*AK5</f>
        <v/>
      </c>
      <c r="AL10" s="12">
        <f>INDEX(Premissas!$C$23:$I$23,1,AL3)*Premissas!$F$18*AL4*AL5</f>
        <v/>
      </c>
      <c r="AM10" s="12">
        <f>INDEX(Premissas!$C$23:$I$23,1,AM3)*Premissas!$F$18*AM4*AM5</f>
        <v/>
      </c>
      <c r="AN10" s="12">
        <f>INDEX(Premissas!$C$23:$I$23,1,AN3)*Premissas!$F$18*AN4*AN5</f>
        <v/>
      </c>
      <c r="AO10" s="12">
        <f>INDEX(Premissas!$C$23:$I$23,1,AO3)*Premissas!$F$18*AO4*AO5</f>
        <v/>
      </c>
      <c r="AP10" s="12">
        <f>INDEX(Premissas!$C$23:$I$23,1,AP3)*Premissas!$F$18*AP4*AP5</f>
        <v/>
      </c>
      <c r="AQ10" s="12">
        <f>INDEX(Premissas!$C$23:$I$23,1,AQ3)*Premissas!$F$18*AQ4*AQ5</f>
        <v/>
      </c>
      <c r="AR10" s="12">
        <f>INDEX(Premissas!$C$23:$I$23,1,AR3)*Premissas!$F$18*AR4*AR5</f>
        <v/>
      </c>
      <c r="AS10" s="12">
        <f>INDEX(Premissas!$C$23:$I$23,1,AS3)*Premissas!$F$18*AS4*AS5</f>
        <v/>
      </c>
      <c r="AT10" s="12">
        <f>INDEX(Premissas!$C$23:$I$23,1,AT3)*Premissas!$F$18*AT4*AT5</f>
        <v/>
      </c>
      <c r="AU10" s="12">
        <f>INDEX(Premissas!$C$23:$I$23,1,AU3)*Premissas!$F$18*AU4*AU5</f>
        <v/>
      </c>
      <c r="AV10" s="12">
        <f>INDEX(Premissas!$C$23:$I$23,1,AV3)*Premissas!$F$18*AV4*AV5</f>
        <v/>
      </c>
      <c r="AW10" s="12">
        <f>INDEX(Premissas!$C$23:$I$23,1,AW3)*Premissas!$F$18*AW4*AW5</f>
        <v/>
      </c>
      <c r="AX10" s="12">
        <f>INDEX(Premissas!$C$23:$I$23,1,AX3)*Premissas!$F$18*AX4*AX5</f>
        <v/>
      </c>
      <c r="AY10" s="12">
        <f>INDEX(Premissas!$C$23:$I$23,1,AY3)*Premissas!$F$18*AY4*AY5</f>
        <v/>
      </c>
      <c r="AZ10" s="12">
        <f>INDEX(Premissas!$C$23:$I$23,1,AZ3)*Premissas!$F$18*AZ4*AZ5</f>
        <v/>
      </c>
      <c r="BA10" s="12">
        <f>INDEX(Premissas!$C$23:$I$23,1,BA3)*Premissas!$F$18*BA4*BA5</f>
        <v/>
      </c>
      <c r="BB10" s="12">
        <f>INDEX(Premissas!$C$23:$I$23,1,BB3)*Premissas!$F$18*BB4*BB5</f>
        <v/>
      </c>
      <c r="BC10" s="12">
        <f>INDEX(Premissas!$C$23:$I$23,1,BC3)*Premissas!$F$18*BC4*BC5</f>
        <v/>
      </c>
      <c r="BD10" s="12">
        <f>INDEX(Premissas!$C$23:$I$23,1,BD3)*Premissas!$F$18*BD4*BD5</f>
        <v/>
      </c>
      <c r="BE10" s="12">
        <f>INDEX(Premissas!$C$23:$I$23,1,BE3)*Premissas!$F$18*BE4*BE5</f>
        <v/>
      </c>
      <c r="BF10" s="12">
        <f>INDEX(Premissas!$C$23:$I$23,1,BF3)*Premissas!$F$18*BF4*BF5</f>
        <v/>
      </c>
      <c r="BG10" s="12">
        <f>INDEX(Premissas!$C$23:$I$23,1,BG3)*Premissas!$F$18*BG4*BG5</f>
        <v/>
      </c>
      <c r="BH10" s="12">
        <f>INDEX(Premissas!$C$23:$I$23,1,BH3)*Premissas!$F$18*BH4*BH5</f>
        <v/>
      </c>
      <c r="BI10" s="12">
        <f>INDEX(Premissas!$C$23:$I$23,1,BI3)*Premissas!$F$18*BI4*BI5</f>
        <v/>
      </c>
      <c r="BJ10" s="12">
        <f>INDEX(Premissas!$C$23:$I$23,1,BJ3)*Premissas!$F$18*BJ4*BJ5</f>
        <v/>
      </c>
      <c r="BK10" s="12">
        <f>INDEX(Premissas!$C$23:$I$23,1,BK3)*Premissas!$F$18*BK4*BK5</f>
        <v/>
      </c>
      <c r="BL10" s="12">
        <f>INDEX(Premissas!$C$23:$I$23,1,BL3)*Premissas!$F$18*BL4*BL5</f>
        <v/>
      </c>
      <c r="BM10" s="12">
        <f>INDEX(Premissas!$C$23:$I$23,1,BM3)*Premissas!$F$18*BM4*BM5</f>
        <v/>
      </c>
      <c r="BN10" s="12">
        <f>INDEX(Premissas!$C$23:$I$23,1,BN3)*Premissas!$F$18*BN4*BN5</f>
        <v/>
      </c>
      <c r="BO10" s="12">
        <f>INDEX(Premissas!$C$23:$I$23,1,BO3)*Premissas!$F$18*BO4*BO5</f>
        <v/>
      </c>
      <c r="BP10" s="12">
        <f>INDEX(Premissas!$C$23:$I$23,1,BP3)*Premissas!$F$18*BP4*BP5</f>
        <v/>
      </c>
      <c r="BQ10" s="12">
        <f>INDEX(Premissas!$C$23:$I$23,1,BQ3)*Premissas!$F$18*BQ4*BQ5</f>
        <v/>
      </c>
      <c r="BR10" s="12">
        <f>INDEX(Premissas!$C$23:$I$23,1,BR3)*Premissas!$F$18*BR4*BR5</f>
        <v/>
      </c>
      <c r="BS10" s="12">
        <f>INDEX(Premissas!$C$23:$I$23,1,BS3)*Premissas!$F$18*BS4*BS5</f>
        <v/>
      </c>
      <c r="BT10" s="12">
        <f>INDEX(Premissas!$C$23:$I$23,1,BT3)*Premissas!$F$18*BT4*BT5</f>
        <v/>
      </c>
      <c r="BU10" s="12">
        <f>INDEX(Premissas!$C$23:$I$23,1,BU3)*Premissas!$F$18*BU4*BU5</f>
        <v/>
      </c>
      <c r="BV10" s="12">
        <f>INDEX(Premissas!$C$23:$I$23,1,BV3)*Premissas!$F$18*BV4*BV5</f>
        <v/>
      </c>
      <c r="BW10" s="12">
        <f>INDEX(Premissas!$C$23:$I$23,1,BW3)*Premissas!$F$18*BW4*BW5</f>
        <v/>
      </c>
      <c r="BX10" s="12">
        <f>INDEX(Premissas!$C$23:$I$23,1,BX3)*Premissas!$F$18*BX4*BX5</f>
        <v/>
      </c>
      <c r="BY10" s="12">
        <f>INDEX(Premissas!$C$23:$I$23,1,BY3)*Premissas!$F$18*BY4*BY5</f>
        <v/>
      </c>
      <c r="BZ10" s="12">
        <f>INDEX(Premissas!$C$23:$I$23,1,BZ3)*Premissas!$F$18*BZ4*BZ5</f>
        <v/>
      </c>
      <c r="CA10" s="12">
        <f>INDEX(Premissas!$C$23:$I$23,1,CA3)*Premissas!$F$18*CA4*CA5</f>
        <v/>
      </c>
      <c r="CB10" s="12">
        <f>INDEX(Premissas!$C$23:$I$23,1,CB3)*Premissas!$F$18*CB4*CB5</f>
        <v/>
      </c>
      <c r="CC10" s="12">
        <f>INDEX(Premissas!$C$23:$I$23,1,CC3)*Premissas!$F$18*CC4*CC5</f>
        <v/>
      </c>
      <c r="CD10" s="12">
        <f>INDEX(Premissas!$C$23:$I$23,1,CD3)*Premissas!$F$18*CD4*CD5</f>
        <v/>
      </c>
      <c r="CE10" s="12">
        <f>INDEX(Premissas!$C$23:$I$23,1,CE3)*Premissas!$F$18*CE4*CE5</f>
        <v/>
      </c>
      <c r="CF10" s="12">
        <f>INDEX(Premissas!$C$23:$I$23,1,CF3)*Premissas!$F$18*CF4*CF5</f>
        <v/>
      </c>
      <c r="CG10" s="12">
        <f>INDEX(Premissas!$C$23:$I$23,1,CG3)*Premissas!$F$18*CG4*CG5</f>
        <v/>
      </c>
      <c r="CH10" s="12">
        <f>INDEX(Premissas!$C$23:$I$23,1,CH3)*Premissas!$F$18*CH4*CH5</f>
        <v/>
      </c>
    </row>
    <row r="11">
      <c r="A11" s="3" t="inlineStr">
        <is>
          <t>Novos clientes por indicação</t>
        </is>
      </c>
      <c r="C11" s="12">
        <f>0</f>
        <v/>
      </c>
      <c r="D11" s="12">
        <f>C33*Premissas!$F$17*D4</f>
        <v/>
      </c>
      <c r="E11" s="12">
        <f>D33*Premissas!$F$17*E4</f>
        <v/>
      </c>
      <c r="F11" s="12">
        <f>E33*Premissas!$F$17*F4</f>
        <v/>
      </c>
      <c r="G11" s="12">
        <f>F33*Premissas!$F$17*G4</f>
        <v/>
      </c>
      <c r="H11" s="12">
        <f>G33*Premissas!$F$17*H4</f>
        <v/>
      </c>
      <c r="I11" s="12">
        <f>H33*Premissas!$F$17*I4</f>
        <v/>
      </c>
      <c r="J11" s="12">
        <f>I33*Premissas!$F$17*J4</f>
        <v/>
      </c>
      <c r="K11" s="12">
        <f>J33*Premissas!$F$17*K4</f>
        <v/>
      </c>
      <c r="L11" s="12">
        <f>K33*Premissas!$F$17*L4</f>
        <v/>
      </c>
      <c r="M11" s="12">
        <f>L33*Premissas!$F$17*M4</f>
        <v/>
      </c>
      <c r="N11" s="12">
        <f>M33*Premissas!$F$17*N4</f>
        <v/>
      </c>
      <c r="O11" s="12">
        <f>N33*Premissas!$F$17*O4</f>
        <v/>
      </c>
      <c r="P11" s="12">
        <f>O33*Premissas!$F$17*P4</f>
        <v/>
      </c>
      <c r="Q11" s="12">
        <f>P33*Premissas!$F$17*Q4</f>
        <v/>
      </c>
      <c r="R11" s="12">
        <f>Q33*Premissas!$F$17*R4</f>
        <v/>
      </c>
      <c r="S11" s="12">
        <f>R33*Premissas!$F$17*S4</f>
        <v/>
      </c>
      <c r="T11" s="12">
        <f>S33*Premissas!$F$17*T4</f>
        <v/>
      </c>
      <c r="U11" s="12">
        <f>T33*Premissas!$F$17*U4</f>
        <v/>
      </c>
      <c r="V11" s="12">
        <f>U33*Premissas!$F$17*V4</f>
        <v/>
      </c>
      <c r="W11" s="12">
        <f>V33*Premissas!$F$17*W4</f>
        <v/>
      </c>
      <c r="X11" s="12">
        <f>W33*Premissas!$F$17*X4</f>
        <v/>
      </c>
      <c r="Y11" s="12">
        <f>X33*Premissas!$F$17*Y4</f>
        <v/>
      </c>
      <c r="Z11" s="12">
        <f>Y33*Premissas!$F$17*Z4</f>
        <v/>
      </c>
      <c r="AA11" s="12">
        <f>Z33*Premissas!$F$17*AA4</f>
        <v/>
      </c>
      <c r="AB11" s="12">
        <f>AA33*Premissas!$F$17*AB4</f>
        <v/>
      </c>
      <c r="AC11" s="12">
        <f>AB33*Premissas!$F$17*AC4</f>
        <v/>
      </c>
      <c r="AD11" s="12">
        <f>AC33*Premissas!$F$17*AD4</f>
        <v/>
      </c>
      <c r="AE11" s="12">
        <f>AD33*Premissas!$F$17*AE4</f>
        <v/>
      </c>
      <c r="AF11" s="12">
        <f>AE33*Premissas!$F$17*AF4</f>
        <v/>
      </c>
      <c r="AG11" s="12">
        <f>AF33*Premissas!$F$17*AG4</f>
        <v/>
      </c>
      <c r="AH11" s="12">
        <f>AG33*Premissas!$F$17*AH4</f>
        <v/>
      </c>
      <c r="AI11" s="12">
        <f>AH33*Premissas!$F$17*AI4</f>
        <v/>
      </c>
      <c r="AJ11" s="12">
        <f>AI33*Premissas!$F$17*AJ4</f>
        <v/>
      </c>
      <c r="AK11" s="12">
        <f>AJ33*Premissas!$F$17*AK4</f>
        <v/>
      </c>
      <c r="AL11" s="12">
        <f>AK33*Premissas!$F$17*AL4</f>
        <v/>
      </c>
      <c r="AM11" s="12">
        <f>AL33*Premissas!$F$17*AM4</f>
        <v/>
      </c>
      <c r="AN11" s="12">
        <f>AM33*Premissas!$F$17*AN4</f>
        <v/>
      </c>
      <c r="AO11" s="12">
        <f>AN33*Premissas!$F$17*AO4</f>
        <v/>
      </c>
      <c r="AP11" s="12">
        <f>AO33*Premissas!$F$17*AP4</f>
        <v/>
      </c>
      <c r="AQ11" s="12">
        <f>AP33*Premissas!$F$17*AQ4</f>
        <v/>
      </c>
      <c r="AR11" s="12">
        <f>AQ33*Premissas!$F$17*AR4</f>
        <v/>
      </c>
      <c r="AS11" s="12">
        <f>AR33*Premissas!$F$17*AS4</f>
        <v/>
      </c>
      <c r="AT11" s="12">
        <f>AS33*Premissas!$F$17*AT4</f>
        <v/>
      </c>
      <c r="AU11" s="12">
        <f>AT33*Premissas!$F$17*AU4</f>
        <v/>
      </c>
      <c r="AV11" s="12">
        <f>AU33*Premissas!$F$17*AV4</f>
        <v/>
      </c>
      <c r="AW11" s="12">
        <f>AV33*Premissas!$F$17*AW4</f>
        <v/>
      </c>
      <c r="AX11" s="12">
        <f>AW33*Premissas!$F$17*AX4</f>
        <v/>
      </c>
      <c r="AY11" s="12">
        <f>AX33*Premissas!$F$17*AY4</f>
        <v/>
      </c>
      <c r="AZ11" s="12">
        <f>AY33*Premissas!$F$17*AZ4</f>
        <v/>
      </c>
      <c r="BA11" s="12">
        <f>AZ33*Premissas!$F$17*BA4</f>
        <v/>
      </c>
      <c r="BB11" s="12">
        <f>BA33*Premissas!$F$17*BB4</f>
        <v/>
      </c>
      <c r="BC11" s="12">
        <f>BB33*Premissas!$F$17*BC4</f>
        <v/>
      </c>
      <c r="BD11" s="12">
        <f>BC33*Premissas!$F$17*BD4</f>
        <v/>
      </c>
      <c r="BE11" s="12">
        <f>BD33*Premissas!$F$17*BE4</f>
        <v/>
      </c>
      <c r="BF11" s="12">
        <f>BE33*Premissas!$F$17*BF4</f>
        <v/>
      </c>
      <c r="BG11" s="12">
        <f>BF33*Premissas!$F$17*BG4</f>
        <v/>
      </c>
      <c r="BH11" s="12">
        <f>BG33*Premissas!$F$17*BH4</f>
        <v/>
      </c>
      <c r="BI11" s="12">
        <f>BH33*Premissas!$F$17*BI4</f>
        <v/>
      </c>
      <c r="BJ11" s="12">
        <f>BI33*Premissas!$F$17*BJ4</f>
        <v/>
      </c>
      <c r="BK11" s="12">
        <f>BJ33*Premissas!$F$17*BK4</f>
        <v/>
      </c>
      <c r="BL11" s="12">
        <f>BK33*Premissas!$F$17*BL4</f>
        <v/>
      </c>
      <c r="BM11" s="12">
        <f>BL33*Premissas!$F$17*BM4</f>
        <v/>
      </c>
      <c r="BN11" s="12">
        <f>BM33*Premissas!$F$17*BN4</f>
        <v/>
      </c>
      <c r="BO11" s="12">
        <f>BN33*Premissas!$F$17*BO4</f>
        <v/>
      </c>
      <c r="BP11" s="12">
        <f>BO33*Premissas!$F$17*BP4</f>
        <v/>
      </c>
      <c r="BQ11" s="12">
        <f>BP33*Premissas!$F$17*BQ4</f>
        <v/>
      </c>
      <c r="BR11" s="12">
        <f>BQ33*Premissas!$F$17*BR4</f>
        <v/>
      </c>
      <c r="BS11" s="12">
        <f>BR33*Premissas!$F$17*BS4</f>
        <v/>
      </c>
      <c r="BT11" s="12">
        <f>BS33*Premissas!$F$17*BT4</f>
        <v/>
      </c>
      <c r="BU11" s="12">
        <f>BT33*Premissas!$F$17*BU4</f>
        <v/>
      </c>
      <c r="BV11" s="12">
        <f>BU33*Premissas!$F$17*BV4</f>
        <v/>
      </c>
      <c r="BW11" s="12">
        <f>BV33*Premissas!$F$17*BW4</f>
        <v/>
      </c>
      <c r="BX11" s="12">
        <f>BW33*Premissas!$F$17*BX4</f>
        <v/>
      </c>
      <c r="BY11" s="12">
        <f>BX33*Premissas!$F$17*BY4</f>
        <v/>
      </c>
      <c r="BZ11" s="12">
        <f>BY33*Premissas!$F$17*BZ4</f>
        <v/>
      </c>
      <c r="CA11" s="12">
        <f>BZ33*Premissas!$F$17*CA4</f>
        <v/>
      </c>
      <c r="CB11" s="12">
        <f>CA33*Premissas!$F$17*CB4</f>
        <v/>
      </c>
      <c r="CC11" s="12">
        <f>CB33*Premissas!$F$17*CC4</f>
        <v/>
      </c>
      <c r="CD11" s="12">
        <f>CC33*Premissas!$F$17*CD4</f>
        <v/>
      </c>
      <c r="CE11" s="12">
        <f>CD33*Premissas!$F$17*CE4</f>
        <v/>
      </c>
      <c r="CF11" s="12">
        <f>CE33*Premissas!$F$17*CF4</f>
        <v/>
      </c>
      <c r="CG11" s="12">
        <f>CF33*Premissas!$F$17*CG4</f>
        <v/>
      </c>
      <c r="CH11" s="12">
        <f>CG33*Premissas!$F$17*CH4</f>
        <v/>
      </c>
    </row>
    <row r="12">
      <c r="A12" s="2" t="inlineStr">
        <is>
          <t>Novos clientes no mês</t>
        </is>
      </c>
      <c r="C12" s="22">
        <f>C9+C10+C11</f>
        <v/>
      </c>
      <c r="D12" s="22">
        <f>D9+D10+D11</f>
        <v/>
      </c>
      <c r="E12" s="22">
        <f>E9+E10+E11</f>
        <v/>
      </c>
      <c r="F12" s="22">
        <f>F9+F10+F11</f>
        <v/>
      </c>
      <c r="G12" s="22">
        <f>G9+G10+G11</f>
        <v/>
      </c>
      <c r="H12" s="22">
        <f>H9+H10+H11</f>
        <v/>
      </c>
      <c r="I12" s="22">
        <f>I9+I10+I11</f>
        <v/>
      </c>
      <c r="J12" s="22">
        <f>J9+J10+J11</f>
        <v/>
      </c>
      <c r="K12" s="22">
        <f>K9+K10+K11</f>
        <v/>
      </c>
      <c r="L12" s="22">
        <f>L9+L10+L11</f>
        <v/>
      </c>
      <c r="M12" s="22">
        <f>M9+M10+M11</f>
        <v/>
      </c>
      <c r="N12" s="22">
        <f>N9+N10+N11</f>
        <v/>
      </c>
      <c r="O12" s="22">
        <f>O9+O10+O11</f>
        <v/>
      </c>
      <c r="P12" s="22">
        <f>P9+P10+P11</f>
        <v/>
      </c>
      <c r="Q12" s="22">
        <f>Q9+Q10+Q11</f>
        <v/>
      </c>
      <c r="R12" s="22">
        <f>R9+R10+R11</f>
        <v/>
      </c>
      <c r="S12" s="22">
        <f>S9+S10+S11</f>
        <v/>
      </c>
      <c r="T12" s="22">
        <f>T9+T10+T11</f>
        <v/>
      </c>
      <c r="U12" s="22">
        <f>U9+U10+U11</f>
        <v/>
      </c>
      <c r="V12" s="22">
        <f>V9+V10+V11</f>
        <v/>
      </c>
      <c r="W12" s="22">
        <f>W9+W10+W11</f>
        <v/>
      </c>
      <c r="X12" s="22">
        <f>X9+X10+X11</f>
        <v/>
      </c>
      <c r="Y12" s="22">
        <f>Y9+Y10+Y11</f>
        <v/>
      </c>
      <c r="Z12" s="22">
        <f>Z9+Z10+Z11</f>
        <v/>
      </c>
      <c r="AA12" s="22">
        <f>AA9+AA10+AA11</f>
        <v/>
      </c>
      <c r="AB12" s="22">
        <f>AB9+AB10+AB11</f>
        <v/>
      </c>
      <c r="AC12" s="22">
        <f>AC9+AC10+AC11</f>
        <v/>
      </c>
      <c r="AD12" s="22">
        <f>AD9+AD10+AD11</f>
        <v/>
      </c>
      <c r="AE12" s="22">
        <f>AE9+AE10+AE11</f>
        <v/>
      </c>
      <c r="AF12" s="22">
        <f>AF9+AF10+AF11</f>
        <v/>
      </c>
      <c r="AG12" s="22">
        <f>AG9+AG10+AG11</f>
        <v/>
      </c>
      <c r="AH12" s="22">
        <f>AH9+AH10+AH11</f>
        <v/>
      </c>
      <c r="AI12" s="22">
        <f>AI9+AI10+AI11</f>
        <v/>
      </c>
      <c r="AJ12" s="22">
        <f>AJ9+AJ10+AJ11</f>
        <v/>
      </c>
      <c r="AK12" s="22">
        <f>AK9+AK10+AK11</f>
        <v/>
      </c>
      <c r="AL12" s="22">
        <f>AL9+AL10+AL11</f>
        <v/>
      </c>
      <c r="AM12" s="22">
        <f>AM9+AM10+AM11</f>
        <v/>
      </c>
      <c r="AN12" s="22">
        <f>AN9+AN10+AN11</f>
        <v/>
      </c>
      <c r="AO12" s="22">
        <f>AO9+AO10+AO11</f>
        <v/>
      </c>
      <c r="AP12" s="22">
        <f>AP9+AP10+AP11</f>
        <v/>
      </c>
      <c r="AQ12" s="22">
        <f>AQ9+AQ10+AQ11</f>
        <v/>
      </c>
      <c r="AR12" s="22">
        <f>AR9+AR10+AR11</f>
        <v/>
      </c>
      <c r="AS12" s="22">
        <f>AS9+AS10+AS11</f>
        <v/>
      </c>
      <c r="AT12" s="22">
        <f>AT9+AT10+AT11</f>
        <v/>
      </c>
      <c r="AU12" s="22">
        <f>AU9+AU10+AU11</f>
        <v/>
      </c>
      <c r="AV12" s="22">
        <f>AV9+AV10+AV11</f>
        <v/>
      </c>
      <c r="AW12" s="22">
        <f>AW9+AW10+AW11</f>
        <v/>
      </c>
      <c r="AX12" s="22">
        <f>AX9+AX10+AX11</f>
        <v/>
      </c>
      <c r="AY12" s="22">
        <f>AY9+AY10+AY11</f>
        <v/>
      </c>
      <c r="AZ12" s="22">
        <f>AZ9+AZ10+AZ11</f>
        <v/>
      </c>
      <c r="BA12" s="22">
        <f>BA9+BA10+BA11</f>
        <v/>
      </c>
      <c r="BB12" s="22">
        <f>BB9+BB10+BB11</f>
        <v/>
      </c>
      <c r="BC12" s="22">
        <f>BC9+BC10+BC11</f>
        <v/>
      </c>
      <c r="BD12" s="22">
        <f>BD9+BD10+BD11</f>
        <v/>
      </c>
      <c r="BE12" s="22">
        <f>BE9+BE10+BE11</f>
        <v/>
      </c>
      <c r="BF12" s="22">
        <f>BF9+BF10+BF11</f>
        <v/>
      </c>
      <c r="BG12" s="22">
        <f>BG9+BG10+BG11</f>
        <v/>
      </c>
      <c r="BH12" s="22">
        <f>BH9+BH10+BH11</f>
        <v/>
      </c>
      <c r="BI12" s="22">
        <f>BI9+BI10+BI11</f>
        <v/>
      </c>
      <c r="BJ12" s="22">
        <f>BJ9+BJ10+BJ11</f>
        <v/>
      </c>
      <c r="BK12" s="22">
        <f>BK9+BK10+BK11</f>
        <v/>
      </c>
      <c r="BL12" s="22">
        <f>BL9+BL10+BL11</f>
        <v/>
      </c>
      <c r="BM12" s="22">
        <f>BM9+BM10+BM11</f>
        <v/>
      </c>
      <c r="BN12" s="22">
        <f>BN9+BN10+BN11</f>
        <v/>
      </c>
      <c r="BO12" s="22">
        <f>BO9+BO10+BO11</f>
        <v/>
      </c>
      <c r="BP12" s="22">
        <f>BP9+BP10+BP11</f>
        <v/>
      </c>
      <c r="BQ12" s="22">
        <f>BQ9+BQ10+BQ11</f>
        <v/>
      </c>
      <c r="BR12" s="22">
        <f>BR9+BR10+BR11</f>
        <v/>
      </c>
      <c r="BS12" s="22">
        <f>BS9+BS10+BS11</f>
        <v/>
      </c>
      <c r="BT12" s="22">
        <f>BT9+BT10+BT11</f>
        <v/>
      </c>
      <c r="BU12" s="22">
        <f>BU9+BU10+BU11</f>
        <v/>
      </c>
      <c r="BV12" s="22">
        <f>BV9+BV10+BV11</f>
        <v/>
      </c>
      <c r="BW12" s="22">
        <f>BW9+BW10+BW11</f>
        <v/>
      </c>
      <c r="BX12" s="22">
        <f>BX9+BX10+BX11</f>
        <v/>
      </c>
      <c r="BY12" s="22">
        <f>BY9+BY10+BY11</f>
        <v/>
      </c>
      <c r="BZ12" s="22">
        <f>BZ9+BZ10+BZ11</f>
        <v/>
      </c>
      <c r="CA12" s="22">
        <f>CA9+CA10+CA11</f>
        <v/>
      </c>
      <c r="CB12" s="22">
        <f>CB9+CB10+CB11</f>
        <v/>
      </c>
      <c r="CC12" s="22">
        <f>CC9+CC10+CC11</f>
        <v/>
      </c>
      <c r="CD12" s="22">
        <f>CD9+CD10+CD11</f>
        <v/>
      </c>
      <c r="CE12" s="22">
        <f>CE9+CE10+CE11</f>
        <v/>
      </c>
      <c r="CF12" s="22">
        <f>CF9+CF10+CF11</f>
        <v/>
      </c>
      <c r="CG12" s="22">
        <f>CG9+CG10+CG11</f>
        <v/>
      </c>
      <c r="CH12" s="22">
        <f>CH9+CH10+CH11</f>
        <v/>
      </c>
    </row>
    <row r="14">
      <c r="A14" s="4" t="inlineStr">
        <is>
          <t>Plano Presença</t>
        </is>
      </c>
      <c r="B14" s="5" t="n"/>
    </row>
    <row r="15">
      <c r="A15" s="3" t="inlineStr">
        <is>
          <t>Participação nos novos</t>
        </is>
      </c>
      <c r="C15" s="27">
        <f>Premissas!$F$76+IF(C2&lt;9,Premissas!$F$82+IF(C2&lt;13,Premissas!$F$89,0),0)</f>
        <v/>
      </c>
      <c r="D15" s="27">
        <f>Premissas!$F$76+IF(D2&lt;9,Premissas!$F$82+IF(D2&lt;13,Premissas!$F$89,0),0)</f>
        <v/>
      </c>
      <c r="E15" s="27">
        <f>Premissas!$F$76+IF(E2&lt;9,Premissas!$F$82+IF(E2&lt;13,Premissas!$F$89,0),0)</f>
        <v/>
      </c>
      <c r="F15" s="27">
        <f>Premissas!$F$76+IF(F2&lt;9,Premissas!$F$82+IF(F2&lt;13,Premissas!$F$89,0),0)</f>
        <v/>
      </c>
      <c r="G15" s="27">
        <f>Premissas!$F$76+IF(G2&lt;9,Premissas!$F$82+IF(G2&lt;13,Premissas!$F$89,0),0)</f>
        <v/>
      </c>
      <c r="H15" s="27">
        <f>Premissas!$F$76+IF(H2&lt;9,Premissas!$F$82+IF(H2&lt;13,Premissas!$F$89,0),0)</f>
        <v/>
      </c>
      <c r="I15" s="27">
        <f>Premissas!$F$76+IF(I2&lt;9,Premissas!$F$82+IF(I2&lt;13,Premissas!$F$89,0),0)</f>
        <v/>
      </c>
      <c r="J15" s="27">
        <f>Premissas!$F$76+IF(J2&lt;9,Premissas!$F$82+IF(J2&lt;13,Premissas!$F$89,0),0)</f>
        <v/>
      </c>
      <c r="K15" s="27">
        <f>Premissas!$F$76+IF(K2&lt;9,Premissas!$F$82+IF(K2&lt;13,Premissas!$F$89,0),0)</f>
        <v/>
      </c>
      <c r="L15" s="27">
        <f>Premissas!$F$76+IF(L2&lt;9,Premissas!$F$82+IF(L2&lt;13,Premissas!$F$89,0),0)</f>
        <v/>
      </c>
      <c r="M15" s="27">
        <f>Premissas!$F$76+IF(M2&lt;9,Premissas!$F$82+IF(M2&lt;13,Premissas!$F$89,0),0)</f>
        <v/>
      </c>
      <c r="N15" s="27">
        <f>Premissas!$F$76+IF(N2&lt;9,Premissas!$F$82+IF(N2&lt;13,Premissas!$F$89,0),0)</f>
        <v/>
      </c>
      <c r="O15" s="27">
        <f>Premissas!$F$76+IF(O2&lt;9,Premissas!$F$82+IF(O2&lt;13,Premissas!$F$89,0),0)</f>
        <v/>
      </c>
      <c r="P15" s="27">
        <f>Premissas!$F$76+IF(P2&lt;9,Premissas!$F$82+IF(P2&lt;13,Premissas!$F$89,0),0)</f>
        <v/>
      </c>
      <c r="Q15" s="27">
        <f>Premissas!$F$76+IF(Q2&lt;9,Premissas!$F$82+IF(Q2&lt;13,Premissas!$F$89,0),0)</f>
        <v/>
      </c>
      <c r="R15" s="27">
        <f>Premissas!$F$76+IF(R2&lt;9,Premissas!$F$82+IF(R2&lt;13,Premissas!$F$89,0),0)</f>
        <v/>
      </c>
      <c r="S15" s="27">
        <f>Premissas!$F$76+IF(S2&lt;9,Premissas!$F$82+IF(S2&lt;13,Premissas!$F$89,0),0)</f>
        <v/>
      </c>
      <c r="T15" s="27">
        <f>Premissas!$F$76+IF(T2&lt;9,Premissas!$F$82+IF(T2&lt;13,Premissas!$F$89,0),0)</f>
        <v/>
      </c>
      <c r="U15" s="27">
        <f>Premissas!$F$76+IF(U2&lt;9,Premissas!$F$82+IF(U2&lt;13,Premissas!$F$89,0),0)</f>
        <v/>
      </c>
      <c r="V15" s="27">
        <f>Premissas!$F$76+IF(V2&lt;9,Premissas!$F$82+IF(V2&lt;13,Premissas!$F$89,0),0)</f>
        <v/>
      </c>
      <c r="W15" s="27">
        <f>Premissas!$F$76+IF(W2&lt;9,Premissas!$F$82+IF(W2&lt;13,Premissas!$F$89,0),0)</f>
        <v/>
      </c>
      <c r="X15" s="27">
        <f>Premissas!$F$76+IF(X2&lt;9,Premissas!$F$82+IF(X2&lt;13,Premissas!$F$89,0),0)</f>
        <v/>
      </c>
      <c r="Y15" s="27">
        <f>Premissas!$F$76+IF(Y2&lt;9,Premissas!$F$82+IF(Y2&lt;13,Premissas!$F$89,0),0)</f>
        <v/>
      </c>
      <c r="Z15" s="27">
        <f>Premissas!$F$76+IF(Z2&lt;9,Premissas!$F$82+IF(Z2&lt;13,Premissas!$F$89,0),0)</f>
        <v/>
      </c>
      <c r="AA15" s="27">
        <f>Premissas!$F$76+IF(AA2&lt;9,Premissas!$F$82+IF(AA2&lt;13,Premissas!$F$89,0),0)</f>
        <v/>
      </c>
      <c r="AB15" s="27">
        <f>Premissas!$F$76+IF(AB2&lt;9,Premissas!$F$82+IF(AB2&lt;13,Premissas!$F$89,0),0)</f>
        <v/>
      </c>
      <c r="AC15" s="27">
        <f>Premissas!$F$76+IF(AC2&lt;9,Premissas!$F$82+IF(AC2&lt;13,Premissas!$F$89,0),0)</f>
        <v/>
      </c>
      <c r="AD15" s="27">
        <f>Premissas!$F$76+IF(AD2&lt;9,Premissas!$F$82+IF(AD2&lt;13,Premissas!$F$89,0),0)</f>
        <v/>
      </c>
      <c r="AE15" s="27">
        <f>Premissas!$F$76+IF(AE2&lt;9,Premissas!$F$82+IF(AE2&lt;13,Premissas!$F$89,0),0)</f>
        <v/>
      </c>
      <c r="AF15" s="27">
        <f>Premissas!$F$76+IF(AF2&lt;9,Premissas!$F$82+IF(AF2&lt;13,Premissas!$F$89,0),0)</f>
        <v/>
      </c>
      <c r="AG15" s="27">
        <f>Premissas!$F$76+IF(AG2&lt;9,Premissas!$F$82+IF(AG2&lt;13,Premissas!$F$89,0),0)</f>
        <v/>
      </c>
      <c r="AH15" s="27">
        <f>Premissas!$F$76+IF(AH2&lt;9,Premissas!$F$82+IF(AH2&lt;13,Premissas!$F$89,0),0)</f>
        <v/>
      </c>
      <c r="AI15" s="27">
        <f>Premissas!$F$76+IF(AI2&lt;9,Premissas!$F$82+IF(AI2&lt;13,Premissas!$F$89,0),0)</f>
        <v/>
      </c>
      <c r="AJ15" s="27">
        <f>Premissas!$F$76+IF(AJ2&lt;9,Premissas!$F$82+IF(AJ2&lt;13,Premissas!$F$89,0),0)</f>
        <v/>
      </c>
      <c r="AK15" s="27">
        <f>Premissas!$F$76+IF(AK2&lt;9,Premissas!$F$82+IF(AK2&lt;13,Premissas!$F$89,0),0)</f>
        <v/>
      </c>
      <c r="AL15" s="27">
        <f>Premissas!$F$76+IF(AL2&lt;9,Premissas!$F$82+IF(AL2&lt;13,Premissas!$F$89,0),0)</f>
        <v/>
      </c>
      <c r="AM15" s="27">
        <f>Premissas!$F$76+IF(AM2&lt;9,Premissas!$F$82+IF(AM2&lt;13,Premissas!$F$89,0),0)</f>
        <v/>
      </c>
      <c r="AN15" s="27">
        <f>Premissas!$F$76+IF(AN2&lt;9,Premissas!$F$82+IF(AN2&lt;13,Premissas!$F$89,0),0)</f>
        <v/>
      </c>
      <c r="AO15" s="27">
        <f>Premissas!$F$76+IF(AO2&lt;9,Premissas!$F$82+IF(AO2&lt;13,Premissas!$F$89,0),0)</f>
        <v/>
      </c>
      <c r="AP15" s="27">
        <f>Premissas!$F$76+IF(AP2&lt;9,Premissas!$F$82+IF(AP2&lt;13,Premissas!$F$89,0),0)</f>
        <v/>
      </c>
      <c r="AQ15" s="27">
        <f>Premissas!$F$76+IF(AQ2&lt;9,Premissas!$F$82+IF(AQ2&lt;13,Premissas!$F$89,0),0)</f>
        <v/>
      </c>
      <c r="AR15" s="27">
        <f>Premissas!$F$76+IF(AR2&lt;9,Premissas!$F$82+IF(AR2&lt;13,Premissas!$F$89,0),0)</f>
        <v/>
      </c>
      <c r="AS15" s="27">
        <f>Premissas!$F$76+IF(AS2&lt;9,Premissas!$F$82+IF(AS2&lt;13,Premissas!$F$89,0),0)</f>
        <v/>
      </c>
      <c r="AT15" s="27">
        <f>Premissas!$F$76+IF(AT2&lt;9,Premissas!$F$82+IF(AT2&lt;13,Premissas!$F$89,0),0)</f>
        <v/>
      </c>
      <c r="AU15" s="27">
        <f>Premissas!$F$76+IF(AU2&lt;9,Premissas!$F$82+IF(AU2&lt;13,Premissas!$F$89,0),0)</f>
        <v/>
      </c>
      <c r="AV15" s="27">
        <f>Premissas!$F$76+IF(AV2&lt;9,Premissas!$F$82+IF(AV2&lt;13,Premissas!$F$89,0),0)</f>
        <v/>
      </c>
      <c r="AW15" s="27">
        <f>Premissas!$F$76+IF(AW2&lt;9,Premissas!$F$82+IF(AW2&lt;13,Premissas!$F$89,0),0)</f>
        <v/>
      </c>
      <c r="AX15" s="27">
        <f>Premissas!$F$76+IF(AX2&lt;9,Premissas!$F$82+IF(AX2&lt;13,Premissas!$F$89,0),0)</f>
        <v/>
      </c>
      <c r="AY15" s="27">
        <f>Premissas!$F$76+IF(AY2&lt;9,Premissas!$F$82+IF(AY2&lt;13,Premissas!$F$89,0),0)</f>
        <v/>
      </c>
      <c r="AZ15" s="27">
        <f>Premissas!$F$76+IF(AZ2&lt;9,Premissas!$F$82+IF(AZ2&lt;13,Premissas!$F$89,0),0)</f>
        <v/>
      </c>
      <c r="BA15" s="27">
        <f>Premissas!$F$76+IF(BA2&lt;9,Premissas!$F$82+IF(BA2&lt;13,Premissas!$F$89,0),0)</f>
        <v/>
      </c>
      <c r="BB15" s="27">
        <f>Premissas!$F$76+IF(BB2&lt;9,Premissas!$F$82+IF(BB2&lt;13,Premissas!$F$89,0),0)</f>
        <v/>
      </c>
      <c r="BC15" s="27">
        <f>Premissas!$F$76+IF(BC2&lt;9,Premissas!$F$82+IF(BC2&lt;13,Premissas!$F$89,0),0)</f>
        <v/>
      </c>
      <c r="BD15" s="27">
        <f>Premissas!$F$76+IF(BD2&lt;9,Premissas!$F$82+IF(BD2&lt;13,Premissas!$F$89,0),0)</f>
        <v/>
      </c>
      <c r="BE15" s="27">
        <f>Premissas!$F$76+IF(BE2&lt;9,Premissas!$F$82+IF(BE2&lt;13,Premissas!$F$89,0),0)</f>
        <v/>
      </c>
      <c r="BF15" s="27">
        <f>Premissas!$F$76+IF(BF2&lt;9,Premissas!$F$82+IF(BF2&lt;13,Premissas!$F$89,0),0)</f>
        <v/>
      </c>
      <c r="BG15" s="27">
        <f>Premissas!$F$76+IF(BG2&lt;9,Premissas!$F$82+IF(BG2&lt;13,Premissas!$F$89,0),0)</f>
        <v/>
      </c>
      <c r="BH15" s="27">
        <f>Premissas!$F$76+IF(BH2&lt;9,Premissas!$F$82+IF(BH2&lt;13,Premissas!$F$89,0),0)</f>
        <v/>
      </c>
      <c r="BI15" s="27">
        <f>Premissas!$F$76+IF(BI2&lt;9,Premissas!$F$82+IF(BI2&lt;13,Premissas!$F$89,0),0)</f>
        <v/>
      </c>
      <c r="BJ15" s="27">
        <f>Premissas!$F$76+IF(BJ2&lt;9,Premissas!$F$82+IF(BJ2&lt;13,Premissas!$F$89,0),0)</f>
        <v/>
      </c>
      <c r="BK15" s="27">
        <f>Premissas!$F$76+IF(BK2&lt;9,Premissas!$F$82+IF(BK2&lt;13,Premissas!$F$89,0),0)</f>
        <v/>
      </c>
      <c r="BL15" s="27">
        <f>Premissas!$F$76+IF(BL2&lt;9,Premissas!$F$82+IF(BL2&lt;13,Premissas!$F$89,0),0)</f>
        <v/>
      </c>
      <c r="BM15" s="27">
        <f>Premissas!$F$76+IF(BM2&lt;9,Premissas!$F$82+IF(BM2&lt;13,Premissas!$F$89,0),0)</f>
        <v/>
      </c>
      <c r="BN15" s="27">
        <f>Premissas!$F$76+IF(BN2&lt;9,Premissas!$F$82+IF(BN2&lt;13,Premissas!$F$89,0),0)</f>
        <v/>
      </c>
      <c r="BO15" s="27">
        <f>Premissas!$F$76+IF(BO2&lt;9,Premissas!$F$82+IF(BO2&lt;13,Premissas!$F$89,0),0)</f>
        <v/>
      </c>
      <c r="BP15" s="27">
        <f>Premissas!$F$76+IF(BP2&lt;9,Premissas!$F$82+IF(BP2&lt;13,Premissas!$F$89,0),0)</f>
        <v/>
      </c>
      <c r="BQ15" s="27">
        <f>Premissas!$F$76+IF(BQ2&lt;9,Premissas!$F$82+IF(BQ2&lt;13,Premissas!$F$89,0),0)</f>
        <v/>
      </c>
      <c r="BR15" s="27">
        <f>Premissas!$F$76+IF(BR2&lt;9,Premissas!$F$82+IF(BR2&lt;13,Premissas!$F$89,0),0)</f>
        <v/>
      </c>
      <c r="BS15" s="27">
        <f>Premissas!$F$76+IF(BS2&lt;9,Premissas!$F$82+IF(BS2&lt;13,Premissas!$F$89,0),0)</f>
        <v/>
      </c>
      <c r="BT15" s="27">
        <f>Premissas!$F$76+IF(BT2&lt;9,Premissas!$F$82+IF(BT2&lt;13,Premissas!$F$89,0),0)</f>
        <v/>
      </c>
      <c r="BU15" s="27">
        <f>Premissas!$F$76+IF(BU2&lt;9,Premissas!$F$82+IF(BU2&lt;13,Premissas!$F$89,0),0)</f>
        <v/>
      </c>
      <c r="BV15" s="27">
        <f>Premissas!$F$76+IF(BV2&lt;9,Premissas!$F$82+IF(BV2&lt;13,Premissas!$F$89,0),0)</f>
        <v/>
      </c>
      <c r="BW15" s="27">
        <f>Premissas!$F$76+IF(BW2&lt;9,Premissas!$F$82+IF(BW2&lt;13,Premissas!$F$89,0),0)</f>
        <v/>
      </c>
      <c r="BX15" s="27">
        <f>Premissas!$F$76+IF(BX2&lt;9,Premissas!$F$82+IF(BX2&lt;13,Premissas!$F$89,0),0)</f>
        <v/>
      </c>
      <c r="BY15" s="27">
        <f>Premissas!$F$76+IF(BY2&lt;9,Premissas!$F$82+IF(BY2&lt;13,Premissas!$F$89,0),0)</f>
        <v/>
      </c>
      <c r="BZ15" s="27">
        <f>Premissas!$F$76+IF(BZ2&lt;9,Premissas!$F$82+IF(BZ2&lt;13,Premissas!$F$89,0),0)</f>
        <v/>
      </c>
      <c r="CA15" s="27">
        <f>Premissas!$F$76+IF(CA2&lt;9,Premissas!$F$82+IF(CA2&lt;13,Premissas!$F$89,0),0)</f>
        <v/>
      </c>
      <c r="CB15" s="27">
        <f>Premissas!$F$76+IF(CB2&lt;9,Premissas!$F$82+IF(CB2&lt;13,Premissas!$F$89,0),0)</f>
        <v/>
      </c>
      <c r="CC15" s="27">
        <f>Premissas!$F$76+IF(CC2&lt;9,Premissas!$F$82+IF(CC2&lt;13,Premissas!$F$89,0),0)</f>
        <v/>
      </c>
      <c r="CD15" s="27">
        <f>Premissas!$F$76+IF(CD2&lt;9,Premissas!$F$82+IF(CD2&lt;13,Premissas!$F$89,0),0)</f>
        <v/>
      </c>
      <c r="CE15" s="27">
        <f>Premissas!$F$76+IF(CE2&lt;9,Premissas!$F$82+IF(CE2&lt;13,Premissas!$F$89,0),0)</f>
        <v/>
      </c>
      <c r="CF15" s="27">
        <f>Premissas!$F$76+IF(CF2&lt;9,Premissas!$F$82+IF(CF2&lt;13,Premissas!$F$89,0),0)</f>
        <v/>
      </c>
      <c r="CG15" s="27">
        <f>Premissas!$F$76+IF(CG2&lt;9,Premissas!$F$82+IF(CG2&lt;13,Premissas!$F$89,0),0)</f>
        <v/>
      </c>
      <c r="CH15" s="27">
        <f>Premissas!$F$76+IF(CH2&lt;9,Premissas!$F$82+IF(CH2&lt;13,Premissas!$F$89,0),0)</f>
        <v/>
      </c>
    </row>
    <row r="16">
      <c r="A16" s="3" t="inlineStr">
        <is>
          <t>Novos</t>
        </is>
      </c>
      <c r="C16" s="12">
        <f>C12*C15</f>
        <v/>
      </c>
      <c r="D16" s="12">
        <f>D12*D15</f>
        <v/>
      </c>
      <c r="E16" s="12">
        <f>E12*E15</f>
        <v/>
      </c>
      <c r="F16" s="12">
        <f>F12*F15</f>
        <v/>
      </c>
      <c r="G16" s="12">
        <f>G12*G15</f>
        <v/>
      </c>
      <c r="H16" s="12">
        <f>H12*H15</f>
        <v/>
      </c>
      <c r="I16" s="12">
        <f>I12*I15</f>
        <v/>
      </c>
      <c r="J16" s="12">
        <f>J12*J15</f>
        <v/>
      </c>
      <c r="K16" s="12">
        <f>K12*K15</f>
        <v/>
      </c>
      <c r="L16" s="12">
        <f>L12*L15</f>
        <v/>
      </c>
      <c r="M16" s="12">
        <f>M12*M15</f>
        <v/>
      </c>
      <c r="N16" s="12">
        <f>N12*N15</f>
        <v/>
      </c>
      <c r="O16" s="12">
        <f>O12*O15</f>
        <v/>
      </c>
      <c r="P16" s="12">
        <f>P12*P15</f>
        <v/>
      </c>
      <c r="Q16" s="12">
        <f>Q12*Q15</f>
        <v/>
      </c>
      <c r="R16" s="12">
        <f>R12*R15</f>
        <v/>
      </c>
      <c r="S16" s="12">
        <f>S12*S15</f>
        <v/>
      </c>
      <c r="T16" s="12">
        <f>T12*T15</f>
        <v/>
      </c>
      <c r="U16" s="12">
        <f>U12*U15</f>
        <v/>
      </c>
      <c r="V16" s="12">
        <f>V12*V15</f>
        <v/>
      </c>
      <c r="W16" s="12">
        <f>W12*W15</f>
        <v/>
      </c>
      <c r="X16" s="12">
        <f>X12*X15</f>
        <v/>
      </c>
      <c r="Y16" s="12">
        <f>Y12*Y15</f>
        <v/>
      </c>
      <c r="Z16" s="12">
        <f>Z12*Z15</f>
        <v/>
      </c>
      <c r="AA16" s="12">
        <f>AA12*AA15</f>
        <v/>
      </c>
      <c r="AB16" s="12">
        <f>AB12*AB15</f>
        <v/>
      </c>
      <c r="AC16" s="12">
        <f>AC12*AC15</f>
        <v/>
      </c>
      <c r="AD16" s="12">
        <f>AD12*AD15</f>
        <v/>
      </c>
      <c r="AE16" s="12">
        <f>AE12*AE15</f>
        <v/>
      </c>
      <c r="AF16" s="12">
        <f>AF12*AF15</f>
        <v/>
      </c>
      <c r="AG16" s="12">
        <f>AG12*AG15</f>
        <v/>
      </c>
      <c r="AH16" s="12">
        <f>AH12*AH15</f>
        <v/>
      </c>
      <c r="AI16" s="12">
        <f>AI12*AI15</f>
        <v/>
      </c>
      <c r="AJ16" s="12">
        <f>AJ12*AJ15</f>
        <v/>
      </c>
      <c r="AK16" s="12">
        <f>AK12*AK15</f>
        <v/>
      </c>
      <c r="AL16" s="12">
        <f>AL12*AL15</f>
        <v/>
      </c>
      <c r="AM16" s="12">
        <f>AM12*AM15</f>
        <v/>
      </c>
      <c r="AN16" s="12">
        <f>AN12*AN15</f>
        <v/>
      </c>
      <c r="AO16" s="12">
        <f>AO12*AO15</f>
        <v/>
      </c>
      <c r="AP16" s="12">
        <f>AP12*AP15</f>
        <v/>
      </c>
      <c r="AQ16" s="12">
        <f>AQ12*AQ15</f>
        <v/>
      </c>
      <c r="AR16" s="12">
        <f>AR12*AR15</f>
        <v/>
      </c>
      <c r="AS16" s="12">
        <f>AS12*AS15</f>
        <v/>
      </c>
      <c r="AT16" s="12">
        <f>AT12*AT15</f>
        <v/>
      </c>
      <c r="AU16" s="12">
        <f>AU12*AU15</f>
        <v/>
      </c>
      <c r="AV16" s="12">
        <f>AV12*AV15</f>
        <v/>
      </c>
      <c r="AW16" s="12">
        <f>AW12*AW15</f>
        <v/>
      </c>
      <c r="AX16" s="12">
        <f>AX12*AX15</f>
        <v/>
      </c>
      <c r="AY16" s="12">
        <f>AY12*AY15</f>
        <v/>
      </c>
      <c r="AZ16" s="12">
        <f>AZ12*AZ15</f>
        <v/>
      </c>
      <c r="BA16" s="12">
        <f>BA12*BA15</f>
        <v/>
      </c>
      <c r="BB16" s="12">
        <f>BB12*BB15</f>
        <v/>
      </c>
      <c r="BC16" s="12">
        <f>BC12*BC15</f>
        <v/>
      </c>
      <c r="BD16" s="12">
        <f>BD12*BD15</f>
        <v/>
      </c>
      <c r="BE16" s="12">
        <f>BE12*BE15</f>
        <v/>
      </c>
      <c r="BF16" s="12">
        <f>BF12*BF15</f>
        <v/>
      </c>
      <c r="BG16" s="12">
        <f>BG12*BG15</f>
        <v/>
      </c>
      <c r="BH16" s="12">
        <f>BH12*BH15</f>
        <v/>
      </c>
      <c r="BI16" s="12">
        <f>BI12*BI15</f>
        <v/>
      </c>
      <c r="BJ16" s="12">
        <f>BJ12*BJ15</f>
        <v/>
      </c>
      <c r="BK16" s="12">
        <f>BK12*BK15</f>
        <v/>
      </c>
      <c r="BL16" s="12">
        <f>BL12*BL15</f>
        <v/>
      </c>
      <c r="BM16" s="12">
        <f>BM12*BM15</f>
        <v/>
      </c>
      <c r="BN16" s="12">
        <f>BN12*BN15</f>
        <v/>
      </c>
      <c r="BO16" s="12">
        <f>BO12*BO15</f>
        <v/>
      </c>
      <c r="BP16" s="12">
        <f>BP12*BP15</f>
        <v/>
      </c>
      <c r="BQ16" s="12">
        <f>BQ12*BQ15</f>
        <v/>
      </c>
      <c r="BR16" s="12">
        <f>BR12*BR15</f>
        <v/>
      </c>
      <c r="BS16" s="12">
        <f>BS12*BS15</f>
        <v/>
      </c>
      <c r="BT16" s="12">
        <f>BT12*BT15</f>
        <v/>
      </c>
      <c r="BU16" s="12">
        <f>BU12*BU15</f>
        <v/>
      </c>
      <c r="BV16" s="12">
        <f>BV12*BV15</f>
        <v/>
      </c>
      <c r="BW16" s="12">
        <f>BW12*BW15</f>
        <v/>
      </c>
      <c r="BX16" s="12">
        <f>BX12*BX15</f>
        <v/>
      </c>
      <c r="BY16" s="12">
        <f>BY12*BY15</f>
        <v/>
      </c>
      <c r="BZ16" s="12">
        <f>BZ12*BZ15</f>
        <v/>
      </c>
      <c r="CA16" s="12">
        <f>CA12*CA15</f>
        <v/>
      </c>
      <c r="CB16" s="12">
        <f>CB12*CB15</f>
        <v/>
      </c>
      <c r="CC16" s="12">
        <f>CC12*CC15</f>
        <v/>
      </c>
      <c r="CD16" s="12">
        <f>CD12*CD15</f>
        <v/>
      </c>
      <c r="CE16" s="12">
        <f>CE12*CE15</f>
        <v/>
      </c>
      <c r="CF16" s="12">
        <f>CF12*CF15</f>
        <v/>
      </c>
      <c r="CG16" s="12">
        <f>CG12*CG15</f>
        <v/>
      </c>
      <c r="CH16" s="12">
        <f>CH12*CH15</f>
        <v/>
      </c>
    </row>
    <row r="17">
      <c r="A17" s="3" t="inlineStr">
        <is>
          <t>Cancelados</t>
        </is>
      </c>
      <c r="C17" s="12">
        <f>0*Premissas!$F$77</f>
        <v/>
      </c>
      <c r="D17" s="12">
        <f>C18*Premissas!$F$77</f>
        <v/>
      </c>
      <c r="E17" s="12">
        <f>D18*Premissas!$F$77</f>
        <v/>
      </c>
      <c r="F17" s="12">
        <f>E18*Premissas!$F$77</f>
        <v/>
      </c>
      <c r="G17" s="12">
        <f>F18*Premissas!$F$77</f>
        <v/>
      </c>
      <c r="H17" s="12">
        <f>G18*Premissas!$F$77</f>
        <v/>
      </c>
      <c r="I17" s="12">
        <f>H18*Premissas!$F$77</f>
        <v/>
      </c>
      <c r="J17" s="12">
        <f>I18*Premissas!$F$77</f>
        <v/>
      </c>
      <c r="K17" s="12">
        <f>J18*Premissas!$F$77</f>
        <v/>
      </c>
      <c r="L17" s="12">
        <f>K18*Premissas!$F$77</f>
        <v/>
      </c>
      <c r="M17" s="12">
        <f>L18*Premissas!$F$77</f>
        <v/>
      </c>
      <c r="N17" s="12">
        <f>M18*Premissas!$F$77</f>
        <v/>
      </c>
      <c r="O17" s="12">
        <f>N18*Premissas!$F$77</f>
        <v/>
      </c>
      <c r="P17" s="12">
        <f>O18*Premissas!$F$77</f>
        <v/>
      </c>
      <c r="Q17" s="12">
        <f>P18*Premissas!$F$77</f>
        <v/>
      </c>
      <c r="R17" s="12">
        <f>Q18*Premissas!$F$77</f>
        <v/>
      </c>
      <c r="S17" s="12">
        <f>R18*Premissas!$F$77</f>
        <v/>
      </c>
      <c r="T17" s="12">
        <f>S18*Premissas!$F$77</f>
        <v/>
      </c>
      <c r="U17" s="12">
        <f>T18*Premissas!$F$77</f>
        <v/>
      </c>
      <c r="V17" s="12">
        <f>U18*Premissas!$F$77</f>
        <v/>
      </c>
      <c r="W17" s="12">
        <f>V18*Premissas!$F$77</f>
        <v/>
      </c>
      <c r="X17" s="12">
        <f>W18*Premissas!$F$77</f>
        <v/>
      </c>
      <c r="Y17" s="12">
        <f>X18*Premissas!$F$77</f>
        <v/>
      </c>
      <c r="Z17" s="12">
        <f>Y18*Premissas!$F$77</f>
        <v/>
      </c>
      <c r="AA17" s="12">
        <f>Z18*Premissas!$F$77</f>
        <v/>
      </c>
      <c r="AB17" s="12">
        <f>AA18*Premissas!$F$77</f>
        <v/>
      </c>
      <c r="AC17" s="12">
        <f>AB18*Premissas!$F$77</f>
        <v/>
      </c>
      <c r="AD17" s="12">
        <f>AC18*Premissas!$F$77</f>
        <v/>
      </c>
      <c r="AE17" s="12">
        <f>AD18*Premissas!$F$77</f>
        <v/>
      </c>
      <c r="AF17" s="12">
        <f>AE18*Premissas!$F$77</f>
        <v/>
      </c>
      <c r="AG17" s="12">
        <f>AF18*Premissas!$F$77</f>
        <v/>
      </c>
      <c r="AH17" s="12">
        <f>AG18*Premissas!$F$77</f>
        <v/>
      </c>
      <c r="AI17" s="12">
        <f>AH18*Premissas!$F$77</f>
        <v/>
      </c>
      <c r="AJ17" s="12">
        <f>AI18*Premissas!$F$77</f>
        <v/>
      </c>
      <c r="AK17" s="12">
        <f>AJ18*Premissas!$F$77</f>
        <v/>
      </c>
      <c r="AL17" s="12">
        <f>AK18*Premissas!$F$77</f>
        <v/>
      </c>
      <c r="AM17" s="12">
        <f>AL18*Premissas!$F$77</f>
        <v/>
      </c>
      <c r="AN17" s="12">
        <f>AM18*Premissas!$F$77</f>
        <v/>
      </c>
      <c r="AO17" s="12">
        <f>AN18*Premissas!$F$77</f>
        <v/>
      </c>
      <c r="AP17" s="12">
        <f>AO18*Premissas!$F$77</f>
        <v/>
      </c>
      <c r="AQ17" s="12">
        <f>AP18*Premissas!$F$77</f>
        <v/>
      </c>
      <c r="AR17" s="12">
        <f>AQ18*Premissas!$F$77</f>
        <v/>
      </c>
      <c r="AS17" s="12">
        <f>AR18*Premissas!$F$77</f>
        <v/>
      </c>
      <c r="AT17" s="12">
        <f>AS18*Premissas!$F$77</f>
        <v/>
      </c>
      <c r="AU17" s="12">
        <f>AT18*Premissas!$F$77</f>
        <v/>
      </c>
      <c r="AV17" s="12">
        <f>AU18*Premissas!$F$77</f>
        <v/>
      </c>
      <c r="AW17" s="12">
        <f>AV18*Premissas!$F$77</f>
        <v/>
      </c>
      <c r="AX17" s="12">
        <f>AW18*Premissas!$F$77</f>
        <v/>
      </c>
      <c r="AY17" s="12">
        <f>AX18*Premissas!$F$77</f>
        <v/>
      </c>
      <c r="AZ17" s="12">
        <f>AY18*Premissas!$F$77</f>
        <v/>
      </c>
      <c r="BA17" s="12">
        <f>AZ18*Premissas!$F$77</f>
        <v/>
      </c>
      <c r="BB17" s="12">
        <f>BA18*Premissas!$F$77</f>
        <v/>
      </c>
      <c r="BC17" s="12">
        <f>BB18*Premissas!$F$77</f>
        <v/>
      </c>
      <c r="BD17" s="12">
        <f>BC18*Premissas!$F$77</f>
        <v/>
      </c>
      <c r="BE17" s="12">
        <f>BD18*Premissas!$F$77</f>
        <v/>
      </c>
      <c r="BF17" s="12">
        <f>BE18*Premissas!$F$77</f>
        <v/>
      </c>
      <c r="BG17" s="12">
        <f>BF18*Premissas!$F$77</f>
        <v/>
      </c>
      <c r="BH17" s="12">
        <f>BG18*Premissas!$F$77</f>
        <v/>
      </c>
      <c r="BI17" s="12">
        <f>BH18*Premissas!$F$77</f>
        <v/>
      </c>
      <c r="BJ17" s="12">
        <f>BI18*Premissas!$F$77</f>
        <v/>
      </c>
      <c r="BK17" s="12">
        <f>BJ18*Premissas!$F$77</f>
        <v/>
      </c>
      <c r="BL17" s="12">
        <f>BK18*Premissas!$F$77</f>
        <v/>
      </c>
      <c r="BM17" s="12">
        <f>BL18*Premissas!$F$77</f>
        <v/>
      </c>
      <c r="BN17" s="12">
        <f>BM18*Premissas!$F$77</f>
        <v/>
      </c>
      <c r="BO17" s="12">
        <f>BN18*Premissas!$F$77</f>
        <v/>
      </c>
      <c r="BP17" s="12">
        <f>BO18*Premissas!$F$77</f>
        <v/>
      </c>
      <c r="BQ17" s="12">
        <f>BP18*Premissas!$F$77</f>
        <v/>
      </c>
      <c r="BR17" s="12">
        <f>BQ18*Premissas!$F$77</f>
        <v/>
      </c>
      <c r="BS17" s="12">
        <f>BR18*Premissas!$F$77</f>
        <v/>
      </c>
      <c r="BT17" s="12">
        <f>BS18*Premissas!$F$77</f>
        <v/>
      </c>
      <c r="BU17" s="12">
        <f>BT18*Premissas!$F$77</f>
        <v/>
      </c>
      <c r="BV17" s="12">
        <f>BU18*Premissas!$F$77</f>
        <v/>
      </c>
      <c r="BW17" s="12">
        <f>BV18*Premissas!$F$77</f>
        <v/>
      </c>
      <c r="BX17" s="12">
        <f>BW18*Premissas!$F$77</f>
        <v/>
      </c>
      <c r="BY17" s="12">
        <f>BX18*Premissas!$F$77</f>
        <v/>
      </c>
      <c r="BZ17" s="12">
        <f>BY18*Premissas!$F$77</f>
        <v/>
      </c>
      <c r="CA17" s="12">
        <f>BZ18*Premissas!$F$77</f>
        <v/>
      </c>
      <c r="CB17" s="12">
        <f>CA18*Premissas!$F$77</f>
        <v/>
      </c>
      <c r="CC17" s="12">
        <f>CB18*Premissas!$F$77</f>
        <v/>
      </c>
      <c r="CD17" s="12">
        <f>CC18*Premissas!$F$77</f>
        <v/>
      </c>
      <c r="CE17" s="12">
        <f>CD18*Premissas!$F$77</f>
        <v/>
      </c>
      <c r="CF17" s="12">
        <f>CE18*Premissas!$F$77</f>
        <v/>
      </c>
      <c r="CG17" s="12">
        <f>CF18*Premissas!$F$77</f>
        <v/>
      </c>
      <c r="CH17" s="12">
        <f>CG18*Premissas!$F$77</f>
        <v/>
      </c>
    </row>
    <row r="18">
      <c r="A18" s="2" t="inlineStr">
        <is>
          <t>Ativos no fim do mês</t>
        </is>
      </c>
      <c r="C18" s="22">
        <f>0+C16-C17</f>
        <v/>
      </c>
      <c r="D18" s="22">
        <f>C18+D16-D17</f>
        <v/>
      </c>
      <c r="E18" s="22">
        <f>D18+E16-E17</f>
        <v/>
      </c>
      <c r="F18" s="22">
        <f>E18+F16-F17</f>
        <v/>
      </c>
      <c r="G18" s="22">
        <f>F18+G16-G17</f>
        <v/>
      </c>
      <c r="H18" s="22">
        <f>G18+H16-H17</f>
        <v/>
      </c>
      <c r="I18" s="22">
        <f>H18+I16-I17</f>
        <v/>
      </c>
      <c r="J18" s="22">
        <f>I18+J16-J17</f>
        <v/>
      </c>
      <c r="K18" s="22">
        <f>J18+K16-K17</f>
        <v/>
      </c>
      <c r="L18" s="22">
        <f>K18+L16-L17</f>
        <v/>
      </c>
      <c r="M18" s="22">
        <f>L18+M16-M17</f>
        <v/>
      </c>
      <c r="N18" s="22">
        <f>M18+N16-N17</f>
        <v/>
      </c>
      <c r="O18" s="22">
        <f>N18+O16-O17</f>
        <v/>
      </c>
      <c r="P18" s="22">
        <f>O18+P16-P17</f>
        <v/>
      </c>
      <c r="Q18" s="22">
        <f>P18+Q16-Q17</f>
        <v/>
      </c>
      <c r="R18" s="22">
        <f>Q18+R16-R17</f>
        <v/>
      </c>
      <c r="S18" s="22">
        <f>R18+S16-S17</f>
        <v/>
      </c>
      <c r="T18" s="22">
        <f>S18+T16-T17</f>
        <v/>
      </c>
      <c r="U18" s="22">
        <f>T18+U16-U17</f>
        <v/>
      </c>
      <c r="V18" s="22">
        <f>U18+V16-V17</f>
        <v/>
      </c>
      <c r="W18" s="22">
        <f>V18+W16-W17</f>
        <v/>
      </c>
      <c r="X18" s="22">
        <f>W18+X16-X17</f>
        <v/>
      </c>
      <c r="Y18" s="22">
        <f>X18+Y16-Y17</f>
        <v/>
      </c>
      <c r="Z18" s="22">
        <f>Y18+Z16-Z17</f>
        <v/>
      </c>
      <c r="AA18" s="22">
        <f>Z18+AA16-AA17</f>
        <v/>
      </c>
      <c r="AB18" s="22">
        <f>AA18+AB16-AB17</f>
        <v/>
      </c>
      <c r="AC18" s="22">
        <f>AB18+AC16-AC17</f>
        <v/>
      </c>
      <c r="AD18" s="22">
        <f>AC18+AD16-AD17</f>
        <v/>
      </c>
      <c r="AE18" s="22">
        <f>AD18+AE16-AE17</f>
        <v/>
      </c>
      <c r="AF18" s="22">
        <f>AE18+AF16-AF17</f>
        <v/>
      </c>
      <c r="AG18" s="22">
        <f>AF18+AG16-AG17</f>
        <v/>
      </c>
      <c r="AH18" s="22">
        <f>AG18+AH16-AH17</f>
        <v/>
      </c>
      <c r="AI18" s="22">
        <f>AH18+AI16-AI17</f>
        <v/>
      </c>
      <c r="AJ18" s="22">
        <f>AI18+AJ16-AJ17</f>
        <v/>
      </c>
      <c r="AK18" s="22">
        <f>AJ18+AK16-AK17</f>
        <v/>
      </c>
      <c r="AL18" s="22">
        <f>AK18+AL16-AL17</f>
        <v/>
      </c>
      <c r="AM18" s="22">
        <f>AL18+AM16-AM17</f>
        <v/>
      </c>
      <c r="AN18" s="22">
        <f>AM18+AN16-AN17</f>
        <v/>
      </c>
      <c r="AO18" s="22">
        <f>AN18+AO16-AO17</f>
        <v/>
      </c>
      <c r="AP18" s="22">
        <f>AO18+AP16-AP17</f>
        <v/>
      </c>
      <c r="AQ18" s="22">
        <f>AP18+AQ16-AQ17</f>
        <v/>
      </c>
      <c r="AR18" s="22">
        <f>AQ18+AR16-AR17</f>
        <v/>
      </c>
      <c r="AS18" s="22">
        <f>AR18+AS16-AS17</f>
        <v/>
      </c>
      <c r="AT18" s="22">
        <f>AS18+AT16-AT17</f>
        <v/>
      </c>
      <c r="AU18" s="22">
        <f>AT18+AU16-AU17</f>
        <v/>
      </c>
      <c r="AV18" s="22">
        <f>AU18+AV16-AV17</f>
        <v/>
      </c>
      <c r="AW18" s="22">
        <f>AV18+AW16-AW17</f>
        <v/>
      </c>
      <c r="AX18" s="22">
        <f>AW18+AX16-AX17</f>
        <v/>
      </c>
      <c r="AY18" s="22">
        <f>AX18+AY16-AY17</f>
        <v/>
      </c>
      <c r="AZ18" s="22">
        <f>AY18+AZ16-AZ17</f>
        <v/>
      </c>
      <c r="BA18" s="22">
        <f>AZ18+BA16-BA17</f>
        <v/>
      </c>
      <c r="BB18" s="22">
        <f>BA18+BB16-BB17</f>
        <v/>
      </c>
      <c r="BC18" s="22">
        <f>BB18+BC16-BC17</f>
        <v/>
      </c>
      <c r="BD18" s="22">
        <f>BC18+BD16-BD17</f>
        <v/>
      </c>
      <c r="BE18" s="22">
        <f>BD18+BE16-BE17</f>
        <v/>
      </c>
      <c r="BF18" s="22">
        <f>BE18+BF16-BF17</f>
        <v/>
      </c>
      <c r="BG18" s="22">
        <f>BF18+BG16-BG17</f>
        <v/>
      </c>
      <c r="BH18" s="22">
        <f>BG18+BH16-BH17</f>
        <v/>
      </c>
      <c r="BI18" s="22">
        <f>BH18+BI16-BI17</f>
        <v/>
      </c>
      <c r="BJ18" s="22">
        <f>BI18+BJ16-BJ17</f>
        <v/>
      </c>
      <c r="BK18" s="22">
        <f>BJ18+BK16-BK17</f>
        <v/>
      </c>
      <c r="BL18" s="22">
        <f>BK18+BL16-BL17</f>
        <v/>
      </c>
      <c r="BM18" s="22">
        <f>BL18+BM16-BM17</f>
        <v/>
      </c>
      <c r="BN18" s="22">
        <f>BM18+BN16-BN17</f>
        <v/>
      </c>
      <c r="BO18" s="22">
        <f>BN18+BO16-BO17</f>
        <v/>
      </c>
      <c r="BP18" s="22">
        <f>BO18+BP16-BP17</f>
        <v/>
      </c>
      <c r="BQ18" s="22">
        <f>BP18+BQ16-BQ17</f>
        <v/>
      </c>
      <c r="BR18" s="22">
        <f>BQ18+BR16-BR17</f>
        <v/>
      </c>
      <c r="BS18" s="22">
        <f>BR18+BS16-BS17</f>
        <v/>
      </c>
      <c r="BT18" s="22">
        <f>BS18+BT16-BT17</f>
        <v/>
      </c>
      <c r="BU18" s="22">
        <f>BT18+BU16-BU17</f>
        <v/>
      </c>
      <c r="BV18" s="22">
        <f>BU18+BV16-BV17</f>
        <v/>
      </c>
      <c r="BW18" s="22">
        <f>BV18+BW16-BW17</f>
        <v/>
      </c>
      <c r="BX18" s="22">
        <f>BW18+BX16-BX17</f>
        <v/>
      </c>
      <c r="BY18" s="22">
        <f>BX18+BY16-BY17</f>
        <v/>
      </c>
      <c r="BZ18" s="22">
        <f>BY18+BZ16-BZ17</f>
        <v/>
      </c>
      <c r="CA18" s="22">
        <f>BZ18+CA16-CA17</f>
        <v/>
      </c>
      <c r="CB18" s="22">
        <f>CA18+CB16-CB17</f>
        <v/>
      </c>
      <c r="CC18" s="22">
        <f>CB18+CC16-CC17</f>
        <v/>
      </c>
      <c r="CD18" s="22">
        <f>CC18+CD16-CD17</f>
        <v/>
      </c>
      <c r="CE18" s="22">
        <f>CD18+CE16-CE17</f>
        <v/>
      </c>
      <c r="CF18" s="22">
        <f>CE18+CF16-CF17</f>
        <v/>
      </c>
      <c r="CG18" s="22">
        <f>CF18+CG16-CG17</f>
        <v/>
      </c>
      <c r="CH18" s="22">
        <f>CG18+CH16-CH17</f>
        <v/>
      </c>
    </row>
    <row r="20">
      <c r="A20" s="4" t="inlineStr">
        <is>
          <t>Plano Agenda Cheia</t>
        </is>
      </c>
      <c r="B20" s="5" t="n"/>
    </row>
    <row r="21">
      <c r="A21" s="3" t="inlineStr">
        <is>
          <t>Participação nos novos</t>
        </is>
      </c>
      <c r="C21" s="27">
        <f>IF(C2&gt;=9,Premissas!$F$82+IF(C2&lt;13,Premissas!$F$89,0),0)</f>
        <v/>
      </c>
      <c r="D21" s="27">
        <f>IF(D2&gt;=9,Premissas!$F$82+IF(D2&lt;13,Premissas!$F$89,0),0)</f>
        <v/>
      </c>
      <c r="E21" s="27">
        <f>IF(E2&gt;=9,Premissas!$F$82+IF(E2&lt;13,Premissas!$F$89,0),0)</f>
        <v/>
      </c>
      <c r="F21" s="27">
        <f>IF(F2&gt;=9,Premissas!$F$82+IF(F2&lt;13,Premissas!$F$89,0),0)</f>
        <v/>
      </c>
      <c r="G21" s="27">
        <f>IF(G2&gt;=9,Premissas!$F$82+IF(G2&lt;13,Premissas!$F$89,0),0)</f>
        <v/>
      </c>
      <c r="H21" s="27">
        <f>IF(H2&gt;=9,Premissas!$F$82+IF(H2&lt;13,Premissas!$F$89,0),0)</f>
        <v/>
      </c>
      <c r="I21" s="27">
        <f>IF(I2&gt;=9,Premissas!$F$82+IF(I2&lt;13,Premissas!$F$89,0),0)</f>
        <v/>
      </c>
      <c r="J21" s="27">
        <f>IF(J2&gt;=9,Premissas!$F$82+IF(J2&lt;13,Premissas!$F$89,0),0)</f>
        <v/>
      </c>
      <c r="K21" s="27">
        <f>IF(K2&gt;=9,Premissas!$F$82+IF(K2&lt;13,Premissas!$F$89,0),0)</f>
        <v/>
      </c>
      <c r="L21" s="27">
        <f>IF(L2&gt;=9,Premissas!$F$82+IF(L2&lt;13,Premissas!$F$89,0),0)</f>
        <v/>
      </c>
      <c r="M21" s="27">
        <f>IF(M2&gt;=9,Premissas!$F$82+IF(M2&lt;13,Premissas!$F$89,0),0)</f>
        <v/>
      </c>
      <c r="N21" s="27">
        <f>IF(N2&gt;=9,Premissas!$F$82+IF(N2&lt;13,Premissas!$F$89,0),0)</f>
        <v/>
      </c>
      <c r="O21" s="27">
        <f>IF(O2&gt;=9,Premissas!$F$82+IF(O2&lt;13,Premissas!$F$89,0),0)</f>
        <v/>
      </c>
      <c r="P21" s="27">
        <f>IF(P2&gt;=9,Premissas!$F$82+IF(P2&lt;13,Premissas!$F$89,0),0)</f>
        <v/>
      </c>
      <c r="Q21" s="27">
        <f>IF(Q2&gt;=9,Premissas!$F$82+IF(Q2&lt;13,Premissas!$F$89,0),0)</f>
        <v/>
      </c>
      <c r="R21" s="27">
        <f>IF(R2&gt;=9,Premissas!$F$82+IF(R2&lt;13,Premissas!$F$89,0),0)</f>
        <v/>
      </c>
      <c r="S21" s="27">
        <f>IF(S2&gt;=9,Premissas!$F$82+IF(S2&lt;13,Premissas!$F$89,0),0)</f>
        <v/>
      </c>
      <c r="T21" s="27">
        <f>IF(T2&gt;=9,Premissas!$F$82+IF(T2&lt;13,Premissas!$F$89,0),0)</f>
        <v/>
      </c>
      <c r="U21" s="27">
        <f>IF(U2&gt;=9,Premissas!$F$82+IF(U2&lt;13,Premissas!$F$89,0),0)</f>
        <v/>
      </c>
      <c r="V21" s="27">
        <f>IF(V2&gt;=9,Premissas!$F$82+IF(V2&lt;13,Premissas!$F$89,0),0)</f>
        <v/>
      </c>
      <c r="W21" s="27">
        <f>IF(W2&gt;=9,Premissas!$F$82+IF(W2&lt;13,Premissas!$F$89,0),0)</f>
        <v/>
      </c>
      <c r="X21" s="27">
        <f>IF(X2&gt;=9,Premissas!$F$82+IF(X2&lt;13,Premissas!$F$89,0),0)</f>
        <v/>
      </c>
      <c r="Y21" s="27">
        <f>IF(Y2&gt;=9,Premissas!$F$82+IF(Y2&lt;13,Premissas!$F$89,0),0)</f>
        <v/>
      </c>
      <c r="Z21" s="27">
        <f>IF(Z2&gt;=9,Premissas!$F$82+IF(Z2&lt;13,Premissas!$F$89,0),0)</f>
        <v/>
      </c>
      <c r="AA21" s="27">
        <f>IF(AA2&gt;=9,Premissas!$F$82+IF(AA2&lt;13,Premissas!$F$89,0),0)</f>
        <v/>
      </c>
      <c r="AB21" s="27">
        <f>IF(AB2&gt;=9,Premissas!$F$82+IF(AB2&lt;13,Premissas!$F$89,0),0)</f>
        <v/>
      </c>
      <c r="AC21" s="27">
        <f>IF(AC2&gt;=9,Premissas!$F$82+IF(AC2&lt;13,Premissas!$F$89,0),0)</f>
        <v/>
      </c>
      <c r="AD21" s="27">
        <f>IF(AD2&gt;=9,Premissas!$F$82+IF(AD2&lt;13,Premissas!$F$89,0),0)</f>
        <v/>
      </c>
      <c r="AE21" s="27">
        <f>IF(AE2&gt;=9,Premissas!$F$82+IF(AE2&lt;13,Premissas!$F$89,0),0)</f>
        <v/>
      </c>
      <c r="AF21" s="27">
        <f>IF(AF2&gt;=9,Premissas!$F$82+IF(AF2&lt;13,Premissas!$F$89,0),0)</f>
        <v/>
      </c>
      <c r="AG21" s="27">
        <f>IF(AG2&gt;=9,Premissas!$F$82+IF(AG2&lt;13,Premissas!$F$89,0),0)</f>
        <v/>
      </c>
      <c r="AH21" s="27">
        <f>IF(AH2&gt;=9,Premissas!$F$82+IF(AH2&lt;13,Premissas!$F$89,0),0)</f>
        <v/>
      </c>
      <c r="AI21" s="27">
        <f>IF(AI2&gt;=9,Premissas!$F$82+IF(AI2&lt;13,Premissas!$F$89,0),0)</f>
        <v/>
      </c>
      <c r="AJ21" s="27">
        <f>IF(AJ2&gt;=9,Premissas!$F$82+IF(AJ2&lt;13,Premissas!$F$89,0),0)</f>
        <v/>
      </c>
      <c r="AK21" s="27">
        <f>IF(AK2&gt;=9,Premissas!$F$82+IF(AK2&lt;13,Premissas!$F$89,0),0)</f>
        <v/>
      </c>
      <c r="AL21" s="27">
        <f>IF(AL2&gt;=9,Premissas!$F$82+IF(AL2&lt;13,Premissas!$F$89,0),0)</f>
        <v/>
      </c>
      <c r="AM21" s="27">
        <f>IF(AM2&gt;=9,Premissas!$F$82+IF(AM2&lt;13,Premissas!$F$89,0),0)</f>
        <v/>
      </c>
      <c r="AN21" s="27">
        <f>IF(AN2&gt;=9,Premissas!$F$82+IF(AN2&lt;13,Premissas!$F$89,0),0)</f>
        <v/>
      </c>
      <c r="AO21" s="27">
        <f>IF(AO2&gt;=9,Premissas!$F$82+IF(AO2&lt;13,Premissas!$F$89,0),0)</f>
        <v/>
      </c>
      <c r="AP21" s="27">
        <f>IF(AP2&gt;=9,Premissas!$F$82+IF(AP2&lt;13,Premissas!$F$89,0),0)</f>
        <v/>
      </c>
      <c r="AQ21" s="27">
        <f>IF(AQ2&gt;=9,Premissas!$F$82+IF(AQ2&lt;13,Premissas!$F$89,0),0)</f>
        <v/>
      </c>
      <c r="AR21" s="27">
        <f>IF(AR2&gt;=9,Premissas!$F$82+IF(AR2&lt;13,Premissas!$F$89,0),0)</f>
        <v/>
      </c>
      <c r="AS21" s="27">
        <f>IF(AS2&gt;=9,Premissas!$F$82+IF(AS2&lt;13,Premissas!$F$89,0),0)</f>
        <v/>
      </c>
      <c r="AT21" s="27">
        <f>IF(AT2&gt;=9,Premissas!$F$82+IF(AT2&lt;13,Premissas!$F$89,0),0)</f>
        <v/>
      </c>
      <c r="AU21" s="27">
        <f>IF(AU2&gt;=9,Premissas!$F$82+IF(AU2&lt;13,Premissas!$F$89,0),0)</f>
        <v/>
      </c>
      <c r="AV21" s="27">
        <f>IF(AV2&gt;=9,Premissas!$F$82+IF(AV2&lt;13,Premissas!$F$89,0),0)</f>
        <v/>
      </c>
      <c r="AW21" s="27">
        <f>IF(AW2&gt;=9,Premissas!$F$82+IF(AW2&lt;13,Premissas!$F$89,0),0)</f>
        <v/>
      </c>
      <c r="AX21" s="27">
        <f>IF(AX2&gt;=9,Premissas!$F$82+IF(AX2&lt;13,Premissas!$F$89,0),0)</f>
        <v/>
      </c>
      <c r="AY21" s="27">
        <f>IF(AY2&gt;=9,Premissas!$F$82+IF(AY2&lt;13,Premissas!$F$89,0),0)</f>
        <v/>
      </c>
      <c r="AZ21" s="27">
        <f>IF(AZ2&gt;=9,Premissas!$F$82+IF(AZ2&lt;13,Premissas!$F$89,0),0)</f>
        <v/>
      </c>
      <c r="BA21" s="27">
        <f>IF(BA2&gt;=9,Premissas!$F$82+IF(BA2&lt;13,Premissas!$F$89,0),0)</f>
        <v/>
      </c>
      <c r="BB21" s="27">
        <f>IF(BB2&gt;=9,Premissas!$F$82+IF(BB2&lt;13,Premissas!$F$89,0),0)</f>
        <v/>
      </c>
      <c r="BC21" s="27">
        <f>IF(BC2&gt;=9,Premissas!$F$82+IF(BC2&lt;13,Premissas!$F$89,0),0)</f>
        <v/>
      </c>
      <c r="BD21" s="27">
        <f>IF(BD2&gt;=9,Premissas!$F$82+IF(BD2&lt;13,Premissas!$F$89,0),0)</f>
        <v/>
      </c>
      <c r="BE21" s="27">
        <f>IF(BE2&gt;=9,Premissas!$F$82+IF(BE2&lt;13,Premissas!$F$89,0),0)</f>
        <v/>
      </c>
      <c r="BF21" s="27">
        <f>IF(BF2&gt;=9,Premissas!$F$82+IF(BF2&lt;13,Premissas!$F$89,0),0)</f>
        <v/>
      </c>
      <c r="BG21" s="27">
        <f>IF(BG2&gt;=9,Premissas!$F$82+IF(BG2&lt;13,Premissas!$F$89,0),0)</f>
        <v/>
      </c>
      <c r="BH21" s="27">
        <f>IF(BH2&gt;=9,Premissas!$F$82+IF(BH2&lt;13,Premissas!$F$89,0),0)</f>
        <v/>
      </c>
      <c r="BI21" s="27">
        <f>IF(BI2&gt;=9,Premissas!$F$82+IF(BI2&lt;13,Premissas!$F$89,0),0)</f>
        <v/>
      </c>
      <c r="BJ21" s="27">
        <f>IF(BJ2&gt;=9,Premissas!$F$82+IF(BJ2&lt;13,Premissas!$F$89,0),0)</f>
        <v/>
      </c>
      <c r="BK21" s="27">
        <f>IF(BK2&gt;=9,Premissas!$F$82+IF(BK2&lt;13,Premissas!$F$89,0),0)</f>
        <v/>
      </c>
      <c r="BL21" s="27">
        <f>IF(BL2&gt;=9,Premissas!$F$82+IF(BL2&lt;13,Premissas!$F$89,0),0)</f>
        <v/>
      </c>
      <c r="BM21" s="27">
        <f>IF(BM2&gt;=9,Premissas!$F$82+IF(BM2&lt;13,Premissas!$F$89,0),0)</f>
        <v/>
      </c>
      <c r="BN21" s="27">
        <f>IF(BN2&gt;=9,Premissas!$F$82+IF(BN2&lt;13,Premissas!$F$89,0),0)</f>
        <v/>
      </c>
      <c r="BO21" s="27">
        <f>IF(BO2&gt;=9,Premissas!$F$82+IF(BO2&lt;13,Premissas!$F$89,0),0)</f>
        <v/>
      </c>
      <c r="BP21" s="27">
        <f>IF(BP2&gt;=9,Premissas!$F$82+IF(BP2&lt;13,Premissas!$F$89,0),0)</f>
        <v/>
      </c>
      <c r="BQ21" s="27">
        <f>IF(BQ2&gt;=9,Premissas!$F$82+IF(BQ2&lt;13,Premissas!$F$89,0),0)</f>
        <v/>
      </c>
      <c r="BR21" s="27">
        <f>IF(BR2&gt;=9,Premissas!$F$82+IF(BR2&lt;13,Premissas!$F$89,0),0)</f>
        <v/>
      </c>
      <c r="BS21" s="27">
        <f>IF(BS2&gt;=9,Premissas!$F$82+IF(BS2&lt;13,Premissas!$F$89,0),0)</f>
        <v/>
      </c>
      <c r="BT21" s="27">
        <f>IF(BT2&gt;=9,Premissas!$F$82+IF(BT2&lt;13,Premissas!$F$89,0),0)</f>
        <v/>
      </c>
      <c r="BU21" s="27">
        <f>IF(BU2&gt;=9,Premissas!$F$82+IF(BU2&lt;13,Premissas!$F$89,0),0)</f>
        <v/>
      </c>
      <c r="BV21" s="27">
        <f>IF(BV2&gt;=9,Premissas!$F$82+IF(BV2&lt;13,Premissas!$F$89,0),0)</f>
        <v/>
      </c>
      <c r="BW21" s="27">
        <f>IF(BW2&gt;=9,Premissas!$F$82+IF(BW2&lt;13,Premissas!$F$89,0),0)</f>
        <v/>
      </c>
      <c r="BX21" s="27">
        <f>IF(BX2&gt;=9,Premissas!$F$82+IF(BX2&lt;13,Premissas!$F$89,0),0)</f>
        <v/>
      </c>
      <c r="BY21" s="27">
        <f>IF(BY2&gt;=9,Premissas!$F$82+IF(BY2&lt;13,Premissas!$F$89,0),0)</f>
        <v/>
      </c>
      <c r="BZ21" s="27">
        <f>IF(BZ2&gt;=9,Premissas!$F$82+IF(BZ2&lt;13,Premissas!$F$89,0),0)</f>
        <v/>
      </c>
      <c r="CA21" s="27">
        <f>IF(CA2&gt;=9,Premissas!$F$82+IF(CA2&lt;13,Premissas!$F$89,0),0)</f>
        <v/>
      </c>
      <c r="CB21" s="27">
        <f>IF(CB2&gt;=9,Premissas!$F$82+IF(CB2&lt;13,Premissas!$F$89,0),0)</f>
        <v/>
      </c>
      <c r="CC21" s="27">
        <f>IF(CC2&gt;=9,Premissas!$F$82+IF(CC2&lt;13,Premissas!$F$89,0),0)</f>
        <v/>
      </c>
      <c r="CD21" s="27">
        <f>IF(CD2&gt;=9,Premissas!$F$82+IF(CD2&lt;13,Premissas!$F$89,0),0)</f>
        <v/>
      </c>
      <c r="CE21" s="27">
        <f>IF(CE2&gt;=9,Premissas!$F$82+IF(CE2&lt;13,Premissas!$F$89,0),0)</f>
        <v/>
      </c>
      <c r="CF21" s="27">
        <f>IF(CF2&gt;=9,Premissas!$F$82+IF(CF2&lt;13,Premissas!$F$89,0),0)</f>
        <v/>
      </c>
      <c r="CG21" s="27">
        <f>IF(CG2&gt;=9,Premissas!$F$82+IF(CG2&lt;13,Premissas!$F$89,0),0)</f>
        <v/>
      </c>
      <c r="CH21" s="27">
        <f>IF(CH2&gt;=9,Premissas!$F$82+IF(CH2&lt;13,Premissas!$F$89,0),0)</f>
        <v/>
      </c>
    </row>
    <row r="22">
      <c r="A22" s="3" t="inlineStr">
        <is>
          <t>Novos</t>
        </is>
      </c>
      <c r="C22" s="12">
        <f>C12*C21</f>
        <v/>
      </c>
      <c r="D22" s="12">
        <f>D12*D21</f>
        <v/>
      </c>
      <c r="E22" s="12">
        <f>E12*E21</f>
        <v/>
      </c>
      <c r="F22" s="12">
        <f>F12*F21</f>
        <v/>
      </c>
      <c r="G22" s="12">
        <f>G12*G21</f>
        <v/>
      </c>
      <c r="H22" s="12">
        <f>H12*H21</f>
        <v/>
      </c>
      <c r="I22" s="12">
        <f>I12*I21</f>
        <v/>
      </c>
      <c r="J22" s="12">
        <f>J12*J21</f>
        <v/>
      </c>
      <c r="K22" s="12">
        <f>K12*K21</f>
        <v/>
      </c>
      <c r="L22" s="12">
        <f>L12*L21</f>
        <v/>
      </c>
      <c r="M22" s="12">
        <f>M12*M21</f>
        <v/>
      </c>
      <c r="N22" s="12">
        <f>N12*N21</f>
        <v/>
      </c>
      <c r="O22" s="12">
        <f>O12*O21</f>
        <v/>
      </c>
      <c r="P22" s="12">
        <f>P12*P21</f>
        <v/>
      </c>
      <c r="Q22" s="12">
        <f>Q12*Q21</f>
        <v/>
      </c>
      <c r="R22" s="12">
        <f>R12*R21</f>
        <v/>
      </c>
      <c r="S22" s="12">
        <f>S12*S21</f>
        <v/>
      </c>
      <c r="T22" s="12">
        <f>T12*T21</f>
        <v/>
      </c>
      <c r="U22" s="12">
        <f>U12*U21</f>
        <v/>
      </c>
      <c r="V22" s="12">
        <f>V12*V21</f>
        <v/>
      </c>
      <c r="W22" s="12">
        <f>W12*W21</f>
        <v/>
      </c>
      <c r="X22" s="12">
        <f>X12*X21</f>
        <v/>
      </c>
      <c r="Y22" s="12">
        <f>Y12*Y21</f>
        <v/>
      </c>
      <c r="Z22" s="12">
        <f>Z12*Z21</f>
        <v/>
      </c>
      <c r="AA22" s="12">
        <f>AA12*AA21</f>
        <v/>
      </c>
      <c r="AB22" s="12">
        <f>AB12*AB21</f>
        <v/>
      </c>
      <c r="AC22" s="12">
        <f>AC12*AC21</f>
        <v/>
      </c>
      <c r="AD22" s="12">
        <f>AD12*AD21</f>
        <v/>
      </c>
      <c r="AE22" s="12">
        <f>AE12*AE21</f>
        <v/>
      </c>
      <c r="AF22" s="12">
        <f>AF12*AF21</f>
        <v/>
      </c>
      <c r="AG22" s="12">
        <f>AG12*AG21</f>
        <v/>
      </c>
      <c r="AH22" s="12">
        <f>AH12*AH21</f>
        <v/>
      </c>
      <c r="AI22" s="12">
        <f>AI12*AI21</f>
        <v/>
      </c>
      <c r="AJ22" s="12">
        <f>AJ12*AJ21</f>
        <v/>
      </c>
      <c r="AK22" s="12">
        <f>AK12*AK21</f>
        <v/>
      </c>
      <c r="AL22" s="12">
        <f>AL12*AL21</f>
        <v/>
      </c>
      <c r="AM22" s="12">
        <f>AM12*AM21</f>
        <v/>
      </c>
      <c r="AN22" s="12">
        <f>AN12*AN21</f>
        <v/>
      </c>
      <c r="AO22" s="12">
        <f>AO12*AO21</f>
        <v/>
      </c>
      <c r="AP22" s="12">
        <f>AP12*AP21</f>
        <v/>
      </c>
      <c r="AQ22" s="12">
        <f>AQ12*AQ21</f>
        <v/>
      </c>
      <c r="AR22" s="12">
        <f>AR12*AR21</f>
        <v/>
      </c>
      <c r="AS22" s="12">
        <f>AS12*AS21</f>
        <v/>
      </c>
      <c r="AT22" s="12">
        <f>AT12*AT21</f>
        <v/>
      </c>
      <c r="AU22" s="12">
        <f>AU12*AU21</f>
        <v/>
      </c>
      <c r="AV22" s="12">
        <f>AV12*AV21</f>
        <v/>
      </c>
      <c r="AW22" s="12">
        <f>AW12*AW21</f>
        <v/>
      </c>
      <c r="AX22" s="12">
        <f>AX12*AX21</f>
        <v/>
      </c>
      <c r="AY22" s="12">
        <f>AY12*AY21</f>
        <v/>
      </c>
      <c r="AZ22" s="12">
        <f>AZ12*AZ21</f>
        <v/>
      </c>
      <c r="BA22" s="12">
        <f>BA12*BA21</f>
        <v/>
      </c>
      <c r="BB22" s="12">
        <f>BB12*BB21</f>
        <v/>
      </c>
      <c r="BC22" s="12">
        <f>BC12*BC21</f>
        <v/>
      </c>
      <c r="BD22" s="12">
        <f>BD12*BD21</f>
        <v/>
      </c>
      <c r="BE22" s="12">
        <f>BE12*BE21</f>
        <v/>
      </c>
      <c r="BF22" s="12">
        <f>BF12*BF21</f>
        <v/>
      </c>
      <c r="BG22" s="12">
        <f>BG12*BG21</f>
        <v/>
      </c>
      <c r="BH22" s="12">
        <f>BH12*BH21</f>
        <v/>
      </c>
      <c r="BI22" s="12">
        <f>BI12*BI21</f>
        <v/>
      </c>
      <c r="BJ22" s="12">
        <f>BJ12*BJ21</f>
        <v/>
      </c>
      <c r="BK22" s="12">
        <f>BK12*BK21</f>
        <v/>
      </c>
      <c r="BL22" s="12">
        <f>BL12*BL21</f>
        <v/>
      </c>
      <c r="BM22" s="12">
        <f>BM12*BM21</f>
        <v/>
      </c>
      <c r="BN22" s="12">
        <f>BN12*BN21</f>
        <v/>
      </c>
      <c r="BO22" s="12">
        <f>BO12*BO21</f>
        <v/>
      </c>
      <c r="BP22" s="12">
        <f>BP12*BP21</f>
        <v/>
      </c>
      <c r="BQ22" s="12">
        <f>BQ12*BQ21</f>
        <v/>
      </c>
      <c r="BR22" s="12">
        <f>BR12*BR21</f>
        <v/>
      </c>
      <c r="BS22" s="12">
        <f>BS12*BS21</f>
        <v/>
      </c>
      <c r="BT22" s="12">
        <f>BT12*BT21</f>
        <v/>
      </c>
      <c r="BU22" s="12">
        <f>BU12*BU21</f>
        <v/>
      </c>
      <c r="BV22" s="12">
        <f>BV12*BV21</f>
        <v/>
      </c>
      <c r="BW22" s="12">
        <f>BW12*BW21</f>
        <v/>
      </c>
      <c r="BX22" s="12">
        <f>BX12*BX21</f>
        <v/>
      </c>
      <c r="BY22" s="12">
        <f>BY12*BY21</f>
        <v/>
      </c>
      <c r="BZ22" s="12">
        <f>BZ12*BZ21</f>
        <v/>
      </c>
      <c r="CA22" s="12">
        <f>CA12*CA21</f>
        <v/>
      </c>
      <c r="CB22" s="12">
        <f>CB12*CB21</f>
        <v/>
      </c>
      <c r="CC22" s="12">
        <f>CC12*CC21</f>
        <v/>
      </c>
      <c r="CD22" s="12">
        <f>CD12*CD21</f>
        <v/>
      </c>
      <c r="CE22" s="12">
        <f>CE12*CE21</f>
        <v/>
      </c>
      <c r="CF22" s="12">
        <f>CF12*CF21</f>
        <v/>
      </c>
      <c r="CG22" s="12">
        <f>CG12*CG21</f>
        <v/>
      </c>
      <c r="CH22" s="12">
        <f>CH12*CH21</f>
        <v/>
      </c>
    </row>
    <row r="23">
      <c r="A23" s="3" t="inlineStr">
        <is>
          <t>Cancelados</t>
        </is>
      </c>
      <c r="C23" s="12">
        <f>0*Premissas!$F$83</f>
        <v/>
      </c>
      <c r="D23" s="12">
        <f>C24*Premissas!$F$83</f>
        <v/>
      </c>
      <c r="E23" s="12">
        <f>D24*Premissas!$F$83</f>
        <v/>
      </c>
      <c r="F23" s="12">
        <f>E24*Premissas!$F$83</f>
        <v/>
      </c>
      <c r="G23" s="12">
        <f>F24*Premissas!$F$83</f>
        <v/>
      </c>
      <c r="H23" s="12">
        <f>G24*Premissas!$F$83</f>
        <v/>
      </c>
      <c r="I23" s="12">
        <f>H24*Premissas!$F$83</f>
        <v/>
      </c>
      <c r="J23" s="12">
        <f>I24*Premissas!$F$83</f>
        <v/>
      </c>
      <c r="K23" s="12">
        <f>J24*Premissas!$F$83</f>
        <v/>
      </c>
      <c r="L23" s="12">
        <f>K24*Premissas!$F$83</f>
        <v/>
      </c>
      <c r="M23" s="12">
        <f>L24*Premissas!$F$83</f>
        <v/>
      </c>
      <c r="N23" s="12">
        <f>M24*Premissas!$F$83</f>
        <v/>
      </c>
      <c r="O23" s="12">
        <f>N24*Premissas!$F$83</f>
        <v/>
      </c>
      <c r="P23" s="12">
        <f>O24*Premissas!$F$83</f>
        <v/>
      </c>
      <c r="Q23" s="12">
        <f>P24*Premissas!$F$83</f>
        <v/>
      </c>
      <c r="R23" s="12">
        <f>Q24*Premissas!$F$83</f>
        <v/>
      </c>
      <c r="S23" s="12">
        <f>R24*Premissas!$F$83</f>
        <v/>
      </c>
      <c r="T23" s="12">
        <f>S24*Premissas!$F$83</f>
        <v/>
      </c>
      <c r="U23" s="12">
        <f>T24*Premissas!$F$83</f>
        <v/>
      </c>
      <c r="V23" s="12">
        <f>U24*Premissas!$F$83</f>
        <v/>
      </c>
      <c r="W23" s="12">
        <f>V24*Premissas!$F$83</f>
        <v/>
      </c>
      <c r="X23" s="12">
        <f>W24*Premissas!$F$83</f>
        <v/>
      </c>
      <c r="Y23" s="12">
        <f>X24*Premissas!$F$83</f>
        <v/>
      </c>
      <c r="Z23" s="12">
        <f>Y24*Premissas!$F$83</f>
        <v/>
      </c>
      <c r="AA23" s="12">
        <f>Z24*Premissas!$F$83</f>
        <v/>
      </c>
      <c r="AB23" s="12">
        <f>AA24*Premissas!$F$83</f>
        <v/>
      </c>
      <c r="AC23" s="12">
        <f>AB24*Premissas!$F$83</f>
        <v/>
      </c>
      <c r="AD23" s="12">
        <f>AC24*Premissas!$F$83</f>
        <v/>
      </c>
      <c r="AE23" s="12">
        <f>AD24*Premissas!$F$83</f>
        <v/>
      </c>
      <c r="AF23" s="12">
        <f>AE24*Premissas!$F$83</f>
        <v/>
      </c>
      <c r="AG23" s="12">
        <f>AF24*Premissas!$F$83</f>
        <v/>
      </c>
      <c r="AH23" s="12">
        <f>AG24*Premissas!$F$83</f>
        <v/>
      </c>
      <c r="AI23" s="12">
        <f>AH24*Premissas!$F$83</f>
        <v/>
      </c>
      <c r="AJ23" s="12">
        <f>AI24*Premissas!$F$83</f>
        <v/>
      </c>
      <c r="AK23" s="12">
        <f>AJ24*Premissas!$F$83</f>
        <v/>
      </c>
      <c r="AL23" s="12">
        <f>AK24*Premissas!$F$83</f>
        <v/>
      </c>
      <c r="AM23" s="12">
        <f>AL24*Premissas!$F$83</f>
        <v/>
      </c>
      <c r="AN23" s="12">
        <f>AM24*Premissas!$F$83</f>
        <v/>
      </c>
      <c r="AO23" s="12">
        <f>AN24*Premissas!$F$83</f>
        <v/>
      </c>
      <c r="AP23" s="12">
        <f>AO24*Premissas!$F$83</f>
        <v/>
      </c>
      <c r="AQ23" s="12">
        <f>AP24*Premissas!$F$83</f>
        <v/>
      </c>
      <c r="AR23" s="12">
        <f>AQ24*Premissas!$F$83</f>
        <v/>
      </c>
      <c r="AS23" s="12">
        <f>AR24*Premissas!$F$83</f>
        <v/>
      </c>
      <c r="AT23" s="12">
        <f>AS24*Premissas!$F$83</f>
        <v/>
      </c>
      <c r="AU23" s="12">
        <f>AT24*Premissas!$F$83</f>
        <v/>
      </c>
      <c r="AV23" s="12">
        <f>AU24*Premissas!$F$83</f>
        <v/>
      </c>
      <c r="AW23" s="12">
        <f>AV24*Premissas!$F$83</f>
        <v/>
      </c>
      <c r="AX23" s="12">
        <f>AW24*Premissas!$F$83</f>
        <v/>
      </c>
      <c r="AY23" s="12">
        <f>AX24*Premissas!$F$83</f>
        <v/>
      </c>
      <c r="AZ23" s="12">
        <f>AY24*Premissas!$F$83</f>
        <v/>
      </c>
      <c r="BA23" s="12">
        <f>AZ24*Premissas!$F$83</f>
        <v/>
      </c>
      <c r="BB23" s="12">
        <f>BA24*Premissas!$F$83</f>
        <v/>
      </c>
      <c r="BC23" s="12">
        <f>BB24*Premissas!$F$83</f>
        <v/>
      </c>
      <c r="BD23" s="12">
        <f>BC24*Premissas!$F$83</f>
        <v/>
      </c>
      <c r="BE23" s="12">
        <f>BD24*Premissas!$F$83</f>
        <v/>
      </c>
      <c r="BF23" s="12">
        <f>BE24*Premissas!$F$83</f>
        <v/>
      </c>
      <c r="BG23" s="12">
        <f>BF24*Premissas!$F$83</f>
        <v/>
      </c>
      <c r="BH23" s="12">
        <f>BG24*Premissas!$F$83</f>
        <v/>
      </c>
      <c r="BI23" s="12">
        <f>BH24*Premissas!$F$83</f>
        <v/>
      </c>
      <c r="BJ23" s="12">
        <f>BI24*Premissas!$F$83</f>
        <v/>
      </c>
      <c r="BK23" s="12">
        <f>BJ24*Premissas!$F$83</f>
        <v/>
      </c>
      <c r="BL23" s="12">
        <f>BK24*Premissas!$F$83</f>
        <v/>
      </c>
      <c r="BM23" s="12">
        <f>BL24*Premissas!$F$83</f>
        <v/>
      </c>
      <c r="BN23" s="12">
        <f>BM24*Premissas!$F$83</f>
        <v/>
      </c>
      <c r="BO23" s="12">
        <f>BN24*Premissas!$F$83</f>
        <v/>
      </c>
      <c r="BP23" s="12">
        <f>BO24*Premissas!$F$83</f>
        <v/>
      </c>
      <c r="BQ23" s="12">
        <f>BP24*Premissas!$F$83</f>
        <v/>
      </c>
      <c r="BR23" s="12">
        <f>BQ24*Premissas!$F$83</f>
        <v/>
      </c>
      <c r="BS23" s="12">
        <f>BR24*Premissas!$F$83</f>
        <v/>
      </c>
      <c r="BT23" s="12">
        <f>BS24*Premissas!$F$83</f>
        <v/>
      </c>
      <c r="BU23" s="12">
        <f>BT24*Premissas!$F$83</f>
        <v/>
      </c>
      <c r="BV23" s="12">
        <f>BU24*Premissas!$F$83</f>
        <v/>
      </c>
      <c r="BW23" s="12">
        <f>BV24*Premissas!$F$83</f>
        <v/>
      </c>
      <c r="BX23" s="12">
        <f>BW24*Premissas!$F$83</f>
        <v/>
      </c>
      <c r="BY23" s="12">
        <f>BX24*Premissas!$F$83</f>
        <v/>
      </c>
      <c r="BZ23" s="12">
        <f>BY24*Premissas!$F$83</f>
        <v/>
      </c>
      <c r="CA23" s="12">
        <f>BZ24*Premissas!$F$83</f>
        <v/>
      </c>
      <c r="CB23" s="12">
        <f>CA24*Premissas!$F$83</f>
        <v/>
      </c>
      <c r="CC23" s="12">
        <f>CB24*Premissas!$F$83</f>
        <v/>
      </c>
      <c r="CD23" s="12">
        <f>CC24*Premissas!$F$83</f>
        <v/>
      </c>
      <c r="CE23" s="12">
        <f>CD24*Premissas!$F$83</f>
        <v/>
      </c>
      <c r="CF23" s="12">
        <f>CE24*Premissas!$F$83</f>
        <v/>
      </c>
      <c r="CG23" s="12">
        <f>CF24*Premissas!$F$83</f>
        <v/>
      </c>
      <c r="CH23" s="12">
        <f>CG24*Premissas!$F$83</f>
        <v/>
      </c>
    </row>
    <row r="24">
      <c r="A24" s="2" t="inlineStr">
        <is>
          <t>Ativos no fim do mês</t>
        </is>
      </c>
      <c r="C24" s="22">
        <f>0+C22-C23</f>
        <v/>
      </c>
      <c r="D24" s="22">
        <f>C24+D22-D23</f>
        <v/>
      </c>
      <c r="E24" s="22">
        <f>D24+E22-E23</f>
        <v/>
      </c>
      <c r="F24" s="22">
        <f>E24+F22-F23</f>
        <v/>
      </c>
      <c r="G24" s="22">
        <f>F24+G22-G23</f>
        <v/>
      </c>
      <c r="H24" s="22">
        <f>G24+H22-H23</f>
        <v/>
      </c>
      <c r="I24" s="22">
        <f>H24+I22-I23</f>
        <v/>
      </c>
      <c r="J24" s="22">
        <f>I24+J22-J23</f>
        <v/>
      </c>
      <c r="K24" s="22">
        <f>J24+K22-K23</f>
        <v/>
      </c>
      <c r="L24" s="22">
        <f>K24+L22-L23</f>
        <v/>
      </c>
      <c r="M24" s="22">
        <f>L24+M22-M23</f>
        <v/>
      </c>
      <c r="N24" s="22">
        <f>M24+N22-N23</f>
        <v/>
      </c>
      <c r="O24" s="22">
        <f>N24+O22-O23</f>
        <v/>
      </c>
      <c r="P24" s="22">
        <f>O24+P22-P23</f>
        <v/>
      </c>
      <c r="Q24" s="22">
        <f>P24+Q22-Q23</f>
        <v/>
      </c>
      <c r="R24" s="22">
        <f>Q24+R22-R23</f>
        <v/>
      </c>
      <c r="S24" s="22">
        <f>R24+S22-S23</f>
        <v/>
      </c>
      <c r="T24" s="22">
        <f>S24+T22-T23</f>
        <v/>
      </c>
      <c r="U24" s="22">
        <f>T24+U22-U23</f>
        <v/>
      </c>
      <c r="V24" s="22">
        <f>U24+V22-V23</f>
        <v/>
      </c>
      <c r="W24" s="22">
        <f>V24+W22-W23</f>
        <v/>
      </c>
      <c r="X24" s="22">
        <f>W24+X22-X23</f>
        <v/>
      </c>
      <c r="Y24" s="22">
        <f>X24+Y22-Y23</f>
        <v/>
      </c>
      <c r="Z24" s="22">
        <f>Y24+Z22-Z23</f>
        <v/>
      </c>
      <c r="AA24" s="22">
        <f>Z24+AA22-AA23</f>
        <v/>
      </c>
      <c r="AB24" s="22">
        <f>AA24+AB22-AB23</f>
        <v/>
      </c>
      <c r="AC24" s="22">
        <f>AB24+AC22-AC23</f>
        <v/>
      </c>
      <c r="AD24" s="22">
        <f>AC24+AD22-AD23</f>
        <v/>
      </c>
      <c r="AE24" s="22">
        <f>AD24+AE22-AE23</f>
        <v/>
      </c>
      <c r="AF24" s="22">
        <f>AE24+AF22-AF23</f>
        <v/>
      </c>
      <c r="AG24" s="22">
        <f>AF24+AG22-AG23</f>
        <v/>
      </c>
      <c r="AH24" s="22">
        <f>AG24+AH22-AH23</f>
        <v/>
      </c>
      <c r="AI24" s="22">
        <f>AH24+AI22-AI23</f>
        <v/>
      </c>
      <c r="AJ24" s="22">
        <f>AI24+AJ22-AJ23</f>
        <v/>
      </c>
      <c r="AK24" s="22">
        <f>AJ24+AK22-AK23</f>
        <v/>
      </c>
      <c r="AL24" s="22">
        <f>AK24+AL22-AL23</f>
        <v/>
      </c>
      <c r="AM24" s="22">
        <f>AL24+AM22-AM23</f>
        <v/>
      </c>
      <c r="AN24" s="22">
        <f>AM24+AN22-AN23</f>
        <v/>
      </c>
      <c r="AO24" s="22">
        <f>AN24+AO22-AO23</f>
        <v/>
      </c>
      <c r="AP24" s="22">
        <f>AO24+AP22-AP23</f>
        <v/>
      </c>
      <c r="AQ24" s="22">
        <f>AP24+AQ22-AQ23</f>
        <v/>
      </c>
      <c r="AR24" s="22">
        <f>AQ24+AR22-AR23</f>
        <v/>
      </c>
      <c r="AS24" s="22">
        <f>AR24+AS22-AS23</f>
        <v/>
      </c>
      <c r="AT24" s="22">
        <f>AS24+AT22-AT23</f>
        <v/>
      </c>
      <c r="AU24" s="22">
        <f>AT24+AU22-AU23</f>
        <v/>
      </c>
      <c r="AV24" s="22">
        <f>AU24+AV22-AV23</f>
        <v/>
      </c>
      <c r="AW24" s="22">
        <f>AV24+AW22-AW23</f>
        <v/>
      </c>
      <c r="AX24" s="22">
        <f>AW24+AX22-AX23</f>
        <v/>
      </c>
      <c r="AY24" s="22">
        <f>AX24+AY22-AY23</f>
        <v/>
      </c>
      <c r="AZ24" s="22">
        <f>AY24+AZ22-AZ23</f>
        <v/>
      </c>
      <c r="BA24" s="22">
        <f>AZ24+BA22-BA23</f>
        <v/>
      </c>
      <c r="BB24" s="22">
        <f>BA24+BB22-BB23</f>
        <v/>
      </c>
      <c r="BC24" s="22">
        <f>BB24+BC22-BC23</f>
        <v/>
      </c>
      <c r="BD24" s="22">
        <f>BC24+BD22-BD23</f>
        <v/>
      </c>
      <c r="BE24" s="22">
        <f>BD24+BE22-BE23</f>
        <v/>
      </c>
      <c r="BF24" s="22">
        <f>BE24+BF22-BF23</f>
        <v/>
      </c>
      <c r="BG24" s="22">
        <f>BF24+BG22-BG23</f>
        <v/>
      </c>
      <c r="BH24" s="22">
        <f>BG24+BH22-BH23</f>
        <v/>
      </c>
      <c r="BI24" s="22">
        <f>BH24+BI22-BI23</f>
        <v/>
      </c>
      <c r="BJ24" s="22">
        <f>BI24+BJ22-BJ23</f>
        <v/>
      </c>
      <c r="BK24" s="22">
        <f>BJ24+BK22-BK23</f>
        <v/>
      </c>
      <c r="BL24" s="22">
        <f>BK24+BL22-BL23</f>
        <v/>
      </c>
      <c r="BM24" s="22">
        <f>BL24+BM22-BM23</f>
        <v/>
      </c>
      <c r="BN24" s="22">
        <f>BM24+BN22-BN23</f>
        <v/>
      </c>
      <c r="BO24" s="22">
        <f>BN24+BO22-BO23</f>
        <v/>
      </c>
      <c r="BP24" s="22">
        <f>BO24+BP22-BP23</f>
        <v/>
      </c>
      <c r="BQ24" s="22">
        <f>BP24+BQ22-BQ23</f>
        <v/>
      </c>
      <c r="BR24" s="22">
        <f>BQ24+BR22-BR23</f>
        <v/>
      </c>
      <c r="BS24" s="22">
        <f>BR24+BS22-BS23</f>
        <v/>
      </c>
      <c r="BT24" s="22">
        <f>BS24+BT22-BT23</f>
        <v/>
      </c>
      <c r="BU24" s="22">
        <f>BT24+BU22-BU23</f>
        <v/>
      </c>
      <c r="BV24" s="22">
        <f>BU24+BV22-BV23</f>
        <v/>
      </c>
      <c r="BW24" s="22">
        <f>BV24+BW22-BW23</f>
        <v/>
      </c>
      <c r="BX24" s="22">
        <f>BW24+BX22-BX23</f>
        <v/>
      </c>
      <c r="BY24" s="22">
        <f>BX24+BY22-BY23</f>
        <v/>
      </c>
      <c r="BZ24" s="22">
        <f>BY24+BZ22-BZ23</f>
        <v/>
      </c>
      <c r="CA24" s="22">
        <f>BZ24+CA22-CA23</f>
        <v/>
      </c>
      <c r="CB24" s="22">
        <f>CA24+CB22-CB23</f>
        <v/>
      </c>
      <c r="CC24" s="22">
        <f>CB24+CC22-CC23</f>
        <v/>
      </c>
      <c r="CD24" s="22">
        <f>CC24+CD22-CD23</f>
        <v/>
      </c>
      <c r="CE24" s="22">
        <f>CD24+CE22-CE23</f>
        <v/>
      </c>
      <c r="CF24" s="22">
        <f>CE24+CF22-CF23</f>
        <v/>
      </c>
      <c r="CG24" s="22">
        <f>CF24+CG22-CG23</f>
        <v/>
      </c>
      <c r="CH24" s="22">
        <f>CG24+CH22-CH23</f>
        <v/>
      </c>
    </row>
    <row r="26">
      <c r="A26" s="4" t="inlineStr">
        <is>
          <t>Plano Clínica</t>
        </is>
      </c>
      <c r="B26" s="5" t="n"/>
    </row>
    <row r="27">
      <c r="A27" s="3" t="inlineStr">
        <is>
          <t>Participação nos novos</t>
        </is>
      </c>
      <c r="C27" s="27">
        <f>IF(C2&gt;=13,Premissas!$F$89,0)</f>
        <v/>
      </c>
      <c r="D27" s="27">
        <f>IF(D2&gt;=13,Premissas!$F$89,0)</f>
        <v/>
      </c>
      <c r="E27" s="27">
        <f>IF(E2&gt;=13,Premissas!$F$89,0)</f>
        <v/>
      </c>
      <c r="F27" s="27">
        <f>IF(F2&gt;=13,Premissas!$F$89,0)</f>
        <v/>
      </c>
      <c r="G27" s="27">
        <f>IF(G2&gt;=13,Premissas!$F$89,0)</f>
        <v/>
      </c>
      <c r="H27" s="27">
        <f>IF(H2&gt;=13,Premissas!$F$89,0)</f>
        <v/>
      </c>
      <c r="I27" s="27">
        <f>IF(I2&gt;=13,Premissas!$F$89,0)</f>
        <v/>
      </c>
      <c r="J27" s="27">
        <f>IF(J2&gt;=13,Premissas!$F$89,0)</f>
        <v/>
      </c>
      <c r="K27" s="27">
        <f>IF(K2&gt;=13,Premissas!$F$89,0)</f>
        <v/>
      </c>
      <c r="L27" s="27">
        <f>IF(L2&gt;=13,Premissas!$F$89,0)</f>
        <v/>
      </c>
      <c r="M27" s="27">
        <f>IF(M2&gt;=13,Premissas!$F$89,0)</f>
        <v/>
      </c>
      <c r="N27" s="27">
        <f>IF(N2&gt;=13,Premissas!$F$89,0)</f>
        <v/>
      </c>
      <c r="O27" s="27">
        <f>IF(O2&gt;=13,Premissas!$F$89,0)</f>
        <v/>
      </c>
      <c r="P27" s="27">
        <f>IF(P2&gt;=13,Premissas!$F$89,0)</f>
        <v/>
      </c>
      <c r="Q27" s="27">
        <f>IF(Q2&gt;=13,Premissas!$F$89,0)</f>
        <v/>
      </c>
      <c r="R27" s="27">
        <f>IF(R2&gt;=13,Premissas!$F$89,0)</f>
        <v/>
      </c>
      <c r="S27" s="27">
        <f>IF(S2&gt;=13,Premissas!$F$89,0)</f>
        <v/>
      </c>
      <c r="T27" s="27">
        <f>IF(T2&gt;=13,Premissas!$F$89,0)</f>
        <v/>
      </c>
      <c r="U27" s="27">
        <f>IF(U2&gt;=13,Premissas!$F$89,0)</f>
        <v/>
      </c>
      <c r="V27" s="27">
        <f>IF(V2&gt;=13,Premissas!$F$89,0)</f>
        <v/>
      </c>
      <c r="W27" s="27">
        <f>IF(W2&gt;=13,Premissas!$F$89,0)</f>
        <v/>
      </c>
      <c r="X27" s="27">
        <f>IF(X2&gt;=13,Premissas!$F$89,0)</f>
        <v/>
      </c>
      <c r="Y27" s="27">
        <f>IF(Y2&gt;=13,Premissas!$F$89,0)</f>
        <v/>
      </c>
      <c r="Z27" s="27">
        <f>IF(Z2&gt;=13,Premissas!$F$89,0)</f>
        <v/>
      </c>
      <c r="AA27" s="27">
        <f>IF(AA2&gt;=13,Premissas!$F$89,0)</f>
        <v/>
      </c>
      <c r="AB27" s="27">
        <f>IF(AB2&gt;=13,Premissas!$F$89,0)</f>
        <v/>
      </c>
      <c r="AC27" s="27">
        <f>IF(AC2&gt;=13,Premissas!$F$89,0)</f>
        <v/>
      </c>
      <c r="AD27" s="27">
        <f>IF(AD2&gt;=13,Premissas!$F$89,0)</f>
        <v/>
      </c>
      <c r="AE27" s="27">
        <f>IF(AE2&gt;=13,Premissas!$F$89,0)</f>
        <v/>
      </c>
      <c r="AF27" s="27">
        <f>IF(AF2&gt;=13,Premissas!$F$89,0)</f>
        <v/>
      </c>
      <c r="AG27" s="27">
        <f>IF(AG2&gt;=13,Premissas!$F$89,0)</f>
        <v/>
      </c>
      <c r="AH27" s="27">
        <f>IF(AH2&gt;=13,Premissas!$F$89,0)</f>
        <v/>
      </c>
      <c r="AI27" s="27">
        <f>IF(AI2&gt;=13,Premissas!$F$89,0)</f>
        <v/>
      </c>
      <c r="AJ27" s="27">
        <f>IF(AJ2&gt;=13,Premissas!$F$89,0)</f>
        <v/>
      </c>
      <c r="AK27" s="27">
        <f>IF(AK2&gt;=13,Premissas!$F$89,0)</f>
        <v/>
      </c>
      <c r="AL27" s="27">
        <f>IF(AL2&gt;=13,Premissas!$F$89,0)</f>
        <v/>
      </c>
      <c r="AM27" s="27">
        <f>IF(AM2&gt;=13,Premissas!$F$89,0)</f>
        <v/>
      </c>
      <c r="AN27" s="27">
        <f>IF(AN2&gt;=13,Premissas!$F$89,0)</f>
        <v/>
      </c>
      <c r="AO27" s="27">
        <f>IF(AO2&gt;=13,Premissas!$F$89,0)</f>
        <v/>
      </c>
      <c r="AP27" s="27">
        <f>IF(AP2&gt;=13,Premissas!$F$89,0)</f>
        <v/>
      </c>
      <c r="AQ27" s="27">
        <f>IF(AQ2&gt;=13,Premissas!$F$89,0)</f>
        <v/>
      </c>
      <c r="AR27" s="27">
        <f>IF(AR2&gt;=13,Premissas!$F$89,0)</f>
        <v/>
      </c>
      <c r="AS27" s="27">
        <f>IF(AS2&gt;=13,Premissas!$F$89,0)</f>
        <v/>
      </c>
      <c r="AT27" s="27">
        <f>IF(AT2&gt;=13,Premissas!$F$89,0)</f>
        <v/>
      </c>
      <c r="AU27" s="27">
        <f>IF(AU2&gt;=13,Premissas!$F$89,0)</f>
        <v/>
      </c>
      <c r="AV27" s="27">
        <f>IF(AV2&gt;=13,Premissas!$F$89,0)</f>
        <v/>
      </c>
      <c r="AW27" s="27">
        <f>IF(AW2&gt;=13,Premissas!$F$89,0)</f>
        <v/>
      </c>
      <c r="AX27" s="27">
        <f>IF(AX2&gt;=13,Premissas!$F$89,0)</f>
        <v/>
      </c>
      <c r="AY27" s="27">
        <f>IF(AY2&gt;=13,Premissas!$F$89,0)</f>
        <v/>
      </c>
      <c r="AZ27" s="27">
        <f>IF(AZ2&gt;=13,Premissas!$F$89,0)</f>
        <v/>
      </c>
      <c r="BA27" s="27">
        <f>IF(BA2&gt;=13,Premissas!$F$89,0)</f>
        <v/>
      </c>
      <c r="BB27" s="27">
        <f>IF(BB2&gt;=13,Premissas!$F$89,0)</f>
        <v/>
      </c>
      <c r="BC27" s="27">
        <f>IF(BC2&gt;=13,Premissas!$F$89,0)</f>
        <v/>
      </c>
      <c r="BD27" s="27">
        <f>IF(BD2&gt;=13,Premissas!$F$89,0)</f>
        <v/>
      </c>
      <c r="BE27" s="27">
        <f>IF(BE2&gt;=13,Premissas!$F$89,0)</f>
        <v/>
      </c>
      <c r="BF27" s="27">
        <f>IF(BF2&gt;=13,Premissas!$F$89,0)</f>
        <v/>
      </c>
      <c r="BG27" s="27">
        <f>IF(BG2&gt;=13,Premissas!$F$89,0)</f>
        <v/>
      </c>
      <c r="BH27" s="27">
        <f>IF(BH2&gt;=13,Premissas!$F$89,0)</f>
        <v/>
      </c>
      <c r="BI27" s="27">
        <f>IF(BI2&gt;=13,Premissas!$F$89,0)</f>
        <v/>
      </c>
      <c r="BJ27" s="27">
        <f>IF(BJ2&gt;=13,Premissas!$F$89,0)</f>
        <v/>
      </c>
      <c r="BK27" s="27">
        <f>IF(BK2&gt;=13,Premissas!$F$89,0)</f>
        <v/>
      </c>
      <c r="BL27" s="27">
        <f>IF(BL2&gt;=13,Premissas!$F$89,0)</f>
        <v/>
      </c>
      <c r="BM27" s="27">
        <f>IF(BM2&gt;=13,Premissas!$F$89,0)</f>
        <v/>
      </c>
      <c r="BN27" s="27">
        <f>IF(BN2&gt;=13,Premissas!$F$89,0)</f>
        <v/>
      </c>
      <c r="BO27" s="27">
        <f>IF(BO2&gt;=13,Premissas!$F$89,0)</f>
        <v/>
      </c>
      <c r="BP27" s="27">
        <f>IF(BP2&gt;=13,Premissas!$F$89,0)</f>
        <v/>
      </c>
      <c r="BQ27" s="27">
        <f>IF(BQ2&gt;=13,Premissas!$F$89,0)</f>
        <v/>
      </c>
      <c r="BR27" s="27">
        <f>IF(BR2&gt;=13,Premissas!$F$89,0)</f>
        <v/>
      </c>
      <c r="BS27" s="27">
        <f>IF(BS2&gt;=13,Premissas!$F$89,0)</f>
        <v/>
      </c>
      <c r="BT27" s="27">
        <f>IF(BT2&gt;=13,Premissas!$F$89,0)</f>
        <v/>
      </c>
      <c r="BU27" s="27">
        <f>IF(BU2&gt;=13,Premissas!$F$89,0)</f>
        <v/>
      </c>
      <c r="BV27" s="27">
        <f>IF(BV2&gt;=13,Premissas!$F$89,0)</f>
        <v/>
      </c>
      <c r="BW27" s="27">
        <f>IF(BW2&gt;=13,Premissas!$F$89,0)</f>
        <v/>
      </c>
      <c r="BX27" s="27">
        <f>IF(BX2&gt;=13,Premissas!$F$89,0)</f>
        <v/>
      </c>
      <c r="BY27" s="27">
        <f>IF(BY2&gt;=13,Premissas!$F$89,0)</f>
        <v/>
      </c>
      <c r="BZ27" s="27">
        <f>IF(BZ2&gt;=13,Premissas!$F$89,0)</f>
        <v/>
      </c>
      <c r="CA27" s="27">
        <f>IF(CA2&gt;=13,Premissas!$F$89,0)</f>
        <v/>
      </c>
      <c r="CB27" s="27">
        <f>IF(CB2&gt;=13,Premissas!$F$89,0)</f>
        <v/>
      </c>
      <c r="CC27" s="27">
        <f>IF(CC2&gt;=13,Premissas!$F$89,0)</f>
        <v/>
      </c>
      <c r="CD27" s="27">
        <f>IF(CD2&gt;=13,Premissas!$F$89,0)</f>
        <v/>
      </c>
      <c r="CE27" s="27">
        <f>IF(CE2&gt;=13,Premissas!$F$89,0)</f>
        <v/>
      </c>
      <c r="CF27" s="27">
        <f>IF(CF2&gt;=13,Premissas!$F$89,0)</f>
        <v/>
      </c>
      <c r="CG27" s="27">
        <f>IF(CG2&gt;=13,Premissas!$F$89,0)</f>
        <v/>
      </c>
      <c r="CH27" s="27">
        <f>IF(CH2&gt;=13,Premissas!$F$89,0)</f>
        <v/>
      </c>
    </row>
    <row r="28">
      <c r="A28" s="3" t="inlineStr">
        <is>
          <t>Novos</t>
        </is>
      </c>
      <c r="C28" s="12">
        <f>C12*C27</f>
        <v/>
      </c>
      <c r="D28" s="12">
        <f>D12*D27</f>
        <v/>
      </c>
      <c r="E28" s="12">
        <f>E12*E27</f>
        <v/>
      </c>
      <c r="F28" s="12">
        <f>F12*F27</f>
        <v/>
      </c>
      <c r="G28" s="12">
        <f>G12*G27</f>
        <v/>
      </c>
      <c r="H28" s="12">
        <f>H12*H27</f>
        <v/>
      </c>
      <c r="I28" s="12">
        <f>I12*I27</f>
        <v/>
      </c>
      <c r="J28" s="12">
        <f>J12*J27</f>
        <v/>
      </c>
      <c r="K28" s="12">
        <f>K12*K27</f>
        <v/>
      </c>
      <c r="L28" s="12">
        <f>L12*L27</f>
        <v/>
      </c>
      <c r="M28" s="12">
        <f>M12*M27</f>
        <v/>
      </c>
      <c r="N28" s="12">
        <f>N12*N27</f>
        <v/>
      </c>
      <c r="O28" s="12">
        <f>O12*O27</f>
        <v/>
      </c>
      <c r="P28" s="12">
        <f>P12*P27</f>
        <v/>
      </c>
      <c r="Q28" s="12">
        <f>Q12*Q27</f>
        <v/>
      </c>
      <c r="R28" s="12">
        <f>R12*R27</f>
        <v/>
      </c>
      <c r="S28" s="12">
        <f>S12*S27</f>
        <v/>
      </c>
      <c r="T28" s="12">
        <f>T12*T27</f>
        <v/>
      </c>
      <c r="U28" s="12">
        <f>U12*U27</f>
        <v/>
      </c>
      <c r="V28" s="12">
        <f>V12*V27</f>
        <v/>
      </c>
      <c r="W28" s="12">
        <f>W12*W27</f>
        <v/>
      </c>
      <c r="X28" s="12">
        <f>X12*X27</f>
        <v/>
      </c>
      <c r="Y28" s="12">
        <f>Y12*Y27</f>
        <v/>
      </c>
      <c r="Z28" s="12">
        <f>Z12*Z27</f>
        <v/>
      </c>
      <c r="AA28" s="12">
        <f>AA12*AA27</f>
        <v/>
      </c>
      <c r="AB28" s="12">
        <f>AB12*AB27</f>
        <v/>
      </c>
      <c r="AC28" s="12">
        <f>AC12*AC27</f>
        <v/>
      </c>
      <c r="AD28" s="12">
        <f>AD12*AD27</f>
        <v/>
      </c>
      <c r="AE28" s="12">
        <f>AE12*AE27</f>
        <v/>
      </c>
      <c r="AF28" s="12">
        <f>AF12*AF27</f>
        <v/>
      </c>
      <c r="AG28" s="12">
        <f>AG12*AG27</f>
        <v/>
      </c>
      <c r="AH28" s="12">
        <f>AH12*AH27</f>
        <v/>
      </c>
      <c r="AI28" s="12">
        <f>AI12*AI27</f>
        <v/>
      </c>
      <c r="AJ28" s="12">
        <f>AJ12*AJ27</f>
        <v/>
      </c>
      <c r="AK28" s="12">
        <f>AK12*AK27</f>
        <v/>
      </c>
      <c r="AL28" s="12">
        <f>AL12*AL27</f>
        <v/>
      </c>
      <c r="AM28" s="12">
        <f>AM12*AM27</f>
        <v/>
      </c>
      <c r="AN28" s="12">
        <f>AN12*AN27</f>
        <v/>
      </c>
      <c r="AO28" s="12">
        <f>AO12*AO27</f>
        <v/>
      </c>
      <c r="AP28" s="12">
        <f>AP12*AP27</f>
        <v/>
      </c>
      <c r="AQ28" s="12">
        <f>AQ12*AQ27</f>
        <v/>
      </c>
      <c r="AR28" s="12">
        <f>AR12*AR27</f>
        <v/>
      </c>
      <c r="AS28" s="12">
        <f>AS12*AS27</f>
        <v/>
      </c>
      <c r="AT28" s="12">
        <f>AT12*AT27</f>
        <v/>
      </c>
      <c r="AU28" s="12">
        <f>AU12*AU27</f>
        <v/>
      </c>
      <c r="AV28" s="12">
        <f>AV12*AV27</f>
        <v/>
      </c>
      <c r="AW28" s="12">
        <f>AW12*AW27</f>
        <v/>
      </c>
      <c r="AX28" s="12">
        <f>AX12*AX27</f>
        <v/>
      </c>
      <c r="AY28" s="12">
        <f>AY12*AY27</f>
        <v/>
      </c>
      <c r="AZ28" s="12">
        <f>AZ12*AZ27</f>
        <v/>
      </c>
      <c r="BA28" s="12">
        <f>BA12*BA27</f>
        <v/>
      </c>
      <c r="BB28" s="12">
        <f>BB12*BB27</f>
        <v/>
      </c>
      <c r="BC28" s="12">
        <f>BC12*BC27</f>
        <v/>
      </c>
      <c r="BD28" s="12">
        <f>BD12*BD27</f>
        <v/>
      </c>
      <c r="BE28" s="12">
        <f>BE12*BE27</f>
        <v/>
      </c>
      <c r="BF28" s="12">
        <f>BF12*BF27</f>
        <v/>
      </c>
      <c r="BG28" s="12">
        <f>BG12*BG27</f>
        <v/>
      </c>
      <c r="BH28" s="12">
        <f>BH12*BH27</f>
        <v/>
      </c>
      <c r="BI28" s="12">
        <f>BI12*BI27</f>
        <v/>
      </c>
      <c r="BJ28" s="12">
        <f>BJ12*BJ27</f>
        <v/>
      </c>
      <c r="BK28" s="12">
        <f>BK12*BK27</f>
        <v/>
      </c>
      <c r="BL28" s="12">
        <f>BL12*BL27</f>
        <v/>
      </c>
      <c r="BM28" s="12">
        <f>BM12*BM27</f>
        <v/>
      </c>
      <c r="BN28" s="12">
        <f>BN12*BN27</f>
        <v/>
      </c>
      <c r="BO28" s="12">
        <f>BO12*BO27</f>
        <v/>
      </c>
      <c r="BP28" s="12">
        <f>BP12*BP27</f>
        <v/>
      </c>
      <c r="BQ28" s="12">
        <f>BQ12*BQ27</f>
        <v/>
      </c>
      <c r="BR28" s="12">
        <f>BR12*BR27</f>
        <v/>
      </c>
      <c r="BS28" s="12">
        <f>BS12*BS27</f>
        <v/>
      </c>
      <c r="BT28" s="12">
        <f>BT12*BT27</f>
        <v/>
      </c>
      <c r="BU28" s="12">
        <f>BU12*BU27</f>
        <v/>
      </c>
      <c r="BV28" s="12">
        <f>BV12*BV27</f>
        <v/>
      </c>
      <c r="BW28" s="12">
        <f>BW12*BW27</f>
        <v/>
      </c>
      <c r="BX28" s="12">
        <f>BX12*BX27</f>
        <v/>
      </c>
      <c r="BY28" s="12">
        <f>BY12*BY27</f>
        <v/>
      </c>
      <c r="BZ28" s="12">
        <f>BZ12*BZ27</f>
        <v/>
      </c>
      <c r="CA28" s="12">
        <f>CA12*CA27</f>
        <v/>
      </c>
      <c r="CB28" s="12">
        <f>CB12*CB27</f>
        <v/>
      </c>
      <c r="CC28" s="12">
        <f>CC12*CC27</f>
        <v/>
      </c>
      <c r="CD28" s="12">
        <f>CD12*CD27</f>
        <v/>
      </c>
      <c r="CE28" s="12">
        <f>CE12*CE27</f>
        <v/>
      </c>
      <c r="CF28" s="12">
        <f>CF12*CF27</f>
        <v/>
      </c>
      <c r="CG28" s="12">
        <f>CG12*CG27</f>
        <v/>
      </c>
      <c r="CH28" s="12">
        <f>CH12*CH27</f>
        <v/>
      </c>
    </row>
    <row r="29">
      <c r="A29" s="3" t="inlineStr">
        <is>
          <t>Cancelados</t>
        </is>
      </c>
      <c r="C29" s="12">
        <f>0*Premissas!$F$90</f>
        <v/>
      </c>
      <c r="D29" s="12">
        <f>C30*Premissas!$F$90</f>
        <v/>
      </c>
      <c r="E29" s="12">
        <f>D30*Premissas!$F$90</f>
        <v/>
      </c>
      <c r="F29" s="12">
        <f>E30*Premissas!$F$90</f>
        <v/>
      </c>
      <c r="G29" s="12">
        <f>F30*Premissas!$F$90</f>
        <v/>
      </c>
      <c r="H29" s="12">
        <f>G30*Premissas!$F$90</f>
        <v/>
      </c>
      <c r="I29" s="12">
        <f>H30*Premissas!$F$90</f>
        <v/>
      </c>
      <c r="J29" s="12">
        <f>I30*Premissas!$F$90</f>
        <v/>
      </c>
      <c r="K29" s="12">
        <f>J30*Premissas!$F$90</f>
        <v/>
      </c>
      <c r="L29" s="12">
        <f>K30*Premissas!$F$90</f>
        <v/>
      </c>
      <c r="M29" s="12">
        <f>L30*Premissas!$F$90</f>
        <v/>
      </c>
      <c r="N29" s="12">
        <f>M30*Premissas!$F$90</f>
        <v/>
      </c>
      <c r="O29" s="12">
        <f>N30*Premissas!$F$90</f>
        <v/>
      </c>
      <c r="P29" s="12">
        <f>O30*Premissas!$F$90</f>
        <v/>
      </c>
      <c r="Q29" s="12">
        <f>P30*Premissas!$F$90</f>
        <v/>
      </c>
      <c r="R29" s="12">
        <f>Q30*Premissas!$F$90</f>
        <v/>
      </c>
      <c r="S29" s="12">
        <f>R30*Premissas!$F$90</f>
        <v/>
      </c>
      <c r="T29" s="12">
        <f>S30*Premissas!$F$90</f>
        <v/>
      </c>
      <c r="U29" s="12">
        <f>T30*Premissas!$F$90</f>
        <v/>
      </c>
      <c r="V29" s="12">
        <f>U30*Premissas!$F$90</f>
        <v/>
      </c>
      <c r="W29" s="12">
        <f>V30*Premissas!$F$90</f>
        <v/>
      </c>
      <c r="X29" s="12">
        <f>W30*Premissas!$F$90</f>
        <v/>
      </c>
      <c r="Y29" s="12">
        <f>X30*Premissas!$F$90</f>
        <v/>
      </c>
      <c r="Z29" s="12">
        <f>Y30*Premissas!$F$90</f>
        <v/>
      </c>
      <c r="AA29" s="12">
        <f>Z30*Premissas!$F$90</f>
        <v/>
      </c>
      <c r="AB29" s="12">
        <f>AA30*Premissas!$F$90</f>
        <v/>
      </c>
      <c r="AC29" s="12">
        <f>AB30*Premissas!$F$90</f>
        <v/>
      </c>
      <c r="AD29" s="12">
        <f>AC30*Premissas!$F$90</f>
        <v/>
      </c>
      <c r="AE29" s="12">
        <f>AD30*Premissas!$F$90</f>
        <v/>
      </c>
      <c r="AF29" s="12">
        <f>AE30*Premissas!$F$90</f>
        <v/>
      </c>
      <c r="AG29" s="12">
        <f>AF30*Premissas!$F$90</f>
        <v/>
      </c>
      <c r="AH29" s="12">
        <f>AG30*Premissas!$F$90</f>
        <v/>
      </c>
      <c r="AI29" s="12">
        <f>AH30*Premissas!$F$90</f>
        <v/>
      </c>
      <c r="AJ29" s="12">
        <f>AI30*Premissas!$F$90</f>
        <v/>
      </c>
      <c r="AK29" s="12">
        <f>AJ30*Premissas!$F$90</f>
        <v/>
      </c>
      <c r="AL29" s="12">
        <f>AK30*Premissas!$F$90</f>
        <v/>
      </c>
      <c r="AM29" s="12">
        <f>AL30*Premissas!$F$90</f>
        <v/>
      </c>
      <c r="AN29" s="12">
        <f>AM30*Premissas!$F$90</f>
        <v/>
      </c>
      <c r="AO29" s="12">
        <f>AN30*Premissas!$F$90</f>
        <v/>
      </c>
      <c r="AP29" s="12">
        <f>AO30*Premissas!$F$90</f>
        <v/>
      </c>
      <c r="AQ29" s="12">
        <f>AP30*Premissas!$F$90</f>
        <v/>
      </c>
      <c r="AR29" s="12">
        <f>AQ30*Premissas!$F$90</f>
        <v/>
      </c>
      <c r="AS29" s="12">
        <f>AR30*Premissas!$F$90</f>
        <v/>
      </c>
      <c r="AT29" s="12">
        <f>AS30*Premissas!$F$90</f>
        <v/>
      </c>
      <c r="AU29" s="12">
        <f>AT30*Premissas!$F$90</f>
        <v/>
      </c>
      <c r="AV29" s="12">
        <f>AU30*Premissas!$F$90</f>
        <v/>
      </c>
      <c r="AW29" s="12">
        <f>AV30*Premissas!$F$90</f>
        <v/>
      </c>
      <c r="AX29" s="12">
        <f>AW30*Premissas!$F$90</f>
        <v/>
      </c>
      <c r="AY29" s="12">
        <f>AX30*Premissas!$F$90</f>
        <v/>
      </c>
      <c r="AZ29" s="12">
        <f>AY30*Premissas!$F$90</f>
        <v/>
      </c>
      <c r="BA29" s="12">
        <f>AZ30*Premissas!$F$90</f>
        <v/>
      </c>
      <c r="BB29" s="12">
        <f>BA30*Premissas!$F$90</f>
        <v/>
      </c>
      <c r="BC29" s="12">
        <f>BB30*Premissas!$F$90</f>
        <v/>
      </c>
      <c r="BD29" s="12">
        <f>BC30*Premissas!$F$90</f>
        <v/>
      </c>
      <c r="BE29" s="12">
        <f>BD30*Premissas!$F$90</f>
        <v/>
      </c>
      <c r="BF29" s="12">
        <f>BE30*Premissas!$F$90</f>
        <v/>
      </c>
      <c r="BG29" s="12">
        <f>BF30*Premissas!$F$90</f>
        <v/>
      </c>
      <c r="BH29" s="12">
        <f>BG30*Premissas!$F$90</f>
        <v/>
      </c>
      <c r="BI29" s="12">
        <f>BH30*Premissas!$F$90</f>
        <v/>
      </c>
      <c r="BJ29" s="12">
        <f>BI30*Premissas!$F$90</f>
        <v/>
      </c>
      <c r="BK29" s="12">
        <f>BJ30*Premissas!$F$90</f>
        <v/>
      </c>
      <c r="BL29" s="12">
        <f>BK30*Premissas!$F$90</f>
        <v/>
      </c>
      <c r="BM29" s="12">
        <f>BL30*Premissas!$F$90</f>
        <v/>
      </c>
      <c r="BN29" s="12">
        <f>BM30*Premissas!$F$90</f>
        <v/>
      </c>
      <c r="BO29" s="12">
        <f>BN30*Premissas!$F$90</f>
        <v/>
      </c>
      <c r="BP29" s="12">
        <f>BO30*Premissas!$F$90</f>
        <v/>
      </c>
      <c r="BQ29" s="12">
        <f>BP30*Premissas!$F$90</f>
        <v/>
      </c>
      <c r="BR29" s="12">
        <f>BQ30*Premissas!$F$90</f>
        <v/>
      </c>
      <c r="BS29" s="12">
        <f>BR30*Premissas!$F$90</f>
        <v/>
      </c>
      <c r="BT29" s="12">
        <f>BS30*Premissas!$F$90</f>
        <v/>
      </c>
      <c r="BU29" s="12">
        <f>BT30*Premissas!$F$90</f>
        <v/>
      </c>
      <c r="BV29" s="12">
        <f>BU30*Premissas!$F$90</f>
        <v/>
      </c>
      <c r="BW29" s="12">
        <f>BV30*Premissas!$F$90</f>
        <v/>
      </c>
      <c r="BX29" s="12">
        <f>BW30*Premissas!$F$90</f>
        <v/>
      </c>
      <c r="BY29" s="12">
        <f>BX30*Premissas!$F$90</f>
        <v/>
      </c>
      <c r="BZ29" s="12">
        <f>BY30*Premissas!$F$90</f>
        <v/>
      </c>
      <c r="CA29" s="12">
        <f>BZ30*Premissas!$F$90</f>
        <v/>
      </c>
      <c r="CB29" s="12">
        <f>CA30*Premissas!$F$90</f>
        <v/>
      </c>
      <c r="CC29" s="12">
        <f>CB30*Premissas!$F$90</f>
        <v/>
      </c>
      <c r="CD29" s="12">
        <f>CC30*Premissas!$F$90</f>
        <v/>
      </c>
      <c r="CE29" s="12">
        <f>CD30*Premissas!$F$90</f>
        <v/>
      </c>
      <c r="CF29" s="12">
        <f>CE30*Premissas!$F$90</f>
        <v/>
      </c>
      <c r="CG29" s="12">
        <f>CF30*Premissas!$F$90</f>
        <v/>
      </c>
      <c r="CH29" s="12">
        <f>CG30*Premissas!$F$90</f>
        <v/>
      </c>
    </row>
    <row r="30">
      <c r="A30" s="2" t="inlineStr">
        <is>
          <t>Ativos no fim do mês</t>
        </is>
      </c>
      <c r="C30" s="22">
        <f>0+C28-C29</f>
        <v/>
      </c>
      <c r="D30" s="22">
        <f>C30+D28-D29</f>
        <v/>
      </c>
      <c r="E30" s="22">
        <f>D30+E28-E29</f>
        <v/>
      </c>
      <c r="F30" s="22">
        <f>E30+F28-F29</f>
        <v/>
      </c>
      <c r="G30" s="22">
        <f>F30+G28-G29</f>
        <v/>
      </c>
      <c r="H30" s="22">
        <f>G30+H28-H29</f>
        <v/>
      </c>
      <c r="I30" s="22">
        <f>H30+I28-I29</f>
        <v/>
      </c>
      <c r="J30" s="22">
        <f>I30+J28-J29</f>
        <v/>
      </c>
      <c r="K30" s="22">
        <f>J30+K28-K29</f>
        <v/>
      </c>
      <c r="L30" s="22">
        <f>K30+L28-L29</f>
        <v/>
      </c>
      <c r="M30" s="22">
        <f>L30+M28-M29</f>
        <v/>
      </c>
      <c r="N30" s="22">
        <f>M30+N28-N29</f>
        <v/>
      </c>
      <c r="O30" s="22">
        <f>N30+O28-O29</f>
        <v/>
      </c>
      <c r="P30" s="22">
        <f>O30+P28-P29</f>
        <v/>
      </c>
      <c r="Q30" s="22">
        <f>P30+Q28-Q29</f>
        <v/>
      </c>
      <c r="R30" s="22">
        <f>Q30+R28-R29</f>
        <v/>
      </c>
      <c r="S30" s="22">
        <f>R30+S28-S29</f>
        <v/>
      </c>
      <c r="T30" s="22">
        <f>S30+T28-T29</f>
        <v/>
      </c>
      <c r="U30" s="22">
        <f>T30+U28-U29</f>
        <v/>
      </c>
      <c r="V30" s="22">
        <f>U30+V28-V29</f>
        <v/>
      </c>
      <c r="W30" s="22">
        <f>V30+W28-W29</f>
        <v/>
      </c>
      <c r="X30" s="22">
        <f>W30+X28-X29</f>
        <v/>
      </c>
      <c r="Y30" s="22">
        <f>X30+Y28-Y29</f>
        <v/>
      </c>
      <c r="Z30" s="22">
        <f>Y30+Z28-Z29</f>
        <v/>
      </c>
      <c r="AA30" s="22">
        <f>Z30+AA28-AA29</f>
        <v/>
      </c>
      <c r="AB30" s="22">
        <f>AA30+AB28-AB29</f>
        <v/>
      </c>
      <c r="AC30" s="22">
        <f>AB30+AC28-AC29</f>
        <v/>
      </c>
      <c r="AD30" s="22">
        <f>AC30+AD28-AD29</f>
        <v/>
      </c>
      <c r="AE30" s="22">
        <f>AD30+AE28-AE29</f>
        <v/>
      </c>
      <c r="AF30" s="22">
        <f>AE30+AF28-AF29</f>
        <v/>
      </c>
      <c r="AG30" s="22">
        <f>AF30+AG28-AG29</f>
        <v/>
      </c>
      <c r="AH30" s="22">
        <f>AG30+AH28-AH29</f>
        <v/>
      </c>
      <c r="AI30" s="22">
        <f>AH30+AI28-AI29</f>
        <v/>
      </c>
      <c r="AJ30" s="22">
        <f>AI30+AJ28-AJ29</f>
        <v/>
      </c>
      <c r="AK30" s="22">
        <f>AJ30+AK28-AK29</f>
        <v/>
      </c>
      <c r="AL30" s="22">
        <f>AK30+AL28-AL29</f>
        <v/>
      </c>
      <c r="AM30" s="22">
        <f>AL30+AM28-AM29</f>
        <v/>
      </c>
      <c r="AN30" s="22">
        <f>AM30+AN28-AN29</f>
        <v/>
      </c>
      <c r="AO30" s="22">
        <f>AN30+AO28-AO29</f>
        <v/>
      </c>
      <c r="AP30" s="22">
        <f>AO30+AP28-AP29</f>
        <v/>
      </c>
      <c r="AQ30" s="22">
        <f>AP30+AQ28-AQ29</f>
        <v/>
      </c>
      <c r="AR30" s="22">
        <f>AQ30+AR28-AR29</f>
        <v/>
      </c>
      <c r="AS30" s="22">
        <f>AR30+AS28-AS29</f>
        <v/>
      </c>
      <c r="AT30" s="22">
        <f>AS30+AT28-AT29</f>
        <v/>
      </c>
      <c r="AU30" s="22">
        <f>AT30+AU28-AU29</f>
        <v/>
      </c>
      <c r="AV30" s="22">
        <f>AU30+AV28-AV29</f>
        <v/>
      </c>
      <c r="AW30" s="22">
        <f>AV30+AW28-AW29</f>
        <v/>
      </c>
      <c r="AX30" s="22">
        <f>AW30+AX28-AX29</f>
        <v/>
      </c>
      <c r="AY30" s="22">
        <f>AX30+AY28-AY29</f>
        <v/>
      </c>
      <c r="AZ30" s="22">
        <f>AY30+AZ28-AZ29</f>
        <v/>
      </c>
      <c r="BA30" s="22">
        <f>AZ30+BA28-BA29</f>
        <v/>
      </c>
      <c r="BB30" s="22">
        <f>BA30+BB28-BB29</f>
        <v/>
      </c>
      <c r="BC30" s="22">
        <f>BB30+BC28-BC29</f>
        <v/>
      </c>
      <c r="BD30" s="22">
        <f>BC30+BD28-BD29</f>
        <v/>
      </c>
      <c r="BE30" s="22">
        <f>BD30+BE28-BE29</f>
        <v/>
      </c>
      <c r="BF30" s="22">
        <f>BE30+BF28-BF29</f>
        <v/>
      </c>
      <c r="BG30" s="22">
        <f>BF30+BG28-BG29</f>
        <v/>
      </c>
      <c r="BH30" s="22">
        <f>BG30+BH28-BH29</f>
        <v/>
      </c>
      <c r="BI30" s="22">
        <f>BH30+BI28-BI29</f>
        <v/>
      </c>
      <c r="BJ30" s="22">
        <f>BI30+BJ28-BJ29</f>
        <v/>
      </c>
      <c r="BK30" s="22">
        <f>BJ30+BK28-BK29</f>
        <v/>
      </c>
      <c r="BL30" s="22">
        <f>BK30+BL28-BL29</f>
        <v/>
      </c>
      <c r="BM30" s="22">
        <f>BL30+BM28-BM29</f>
        <v/>
      </c>
      <c r="BN30" s="22">
        <f>BM30+BN28-BN29</f>
        <v/>
      </c>
      <c r="BO30" s="22">
        <f>BN30+BO28-BO29</f>
        <v/>
      </c>
      <c r="BP30" s="22">
        <f>BO30+BP28-BP29</f>
        <v/>
      </c>
      <c r="BQ30" s="22">
        <f>BP30+BQ28-BQ29</f>
        <v/>
      </c>
      <c r="BR30" s="22">
        <f>BQ30+BR28-BR29</f>
        <v/>
      </c>
      <c r="BS30" s="22">
        <f>BR30+BS28-BS29</f>
        <v/>
      </c>
      <c r="BT30" s="22">
        <f>BS30+BT28-BT29</f>
        <v/>
      </c>
      <c r="BU30" s="22">
        <f>BT30+BU28-BU29</f>
        <v/>
      </c>
      <c r="BV30" s="22">
        <f>BU30+BV28-BV29</f>
        <v/>
      </c>
      <c r="BW30" s="22">
        <f>BV30+BW28-BW29</f>
        <v/>
      </c>
      <c r="BX30" s="22">
        <f>BW30+BX28-BX29</f>
        <v/>
      </c>
      <c r="BY30" s="22">
        <f>BX30+BY28-BY29</f>
        <v/>
      </c>
      <c r="BZ30" s="22">
        <f>BY30+BZ28-BZ29</f>
        <v/>
      </c>
      <c r="CA30" s="22">
        <f>BZ30+CA28-CA29</f>
        <v/>
      </c>
      <c r="CB30" s="22">
        <f>CA30+CB28-CB29</f>
        <v/>
      </c>
      <c r="CC30" s="22">
        <f>CB30+CC28-CC29</f>
        <v/>
      </c>
      <c r="CD30" s="22">
        <f>CC30+CD28-CD29</f>
        <v/>
      </c>
      <c r="CE30" s="22">
        <f>CD30+CE28-CE29</f>
        <v/>
      </c>
      <c r="CF30" s="22">
        <f>CE30+CF28-CF29</f>
        <v/>
      </c>
      <c r="CG30" s="22">
        <f>CF30+CG28-CG29</f>
        <v/>
      </c>
      <c r="CH30" s="22">
        <f>CG30+CH28-CH29</f>
        <v/>
      </c>
    </row>
    <row r="32">
      <c r="A32" s="4" t="inlineStr">
        <is>
          <t>Clientes e receita</t>
        </is>
      </c>
      <c r="B32" s="5" t="n"/>
    </row>
    <row r="33">
      <c r="A33" s="2" t="inlineStr">
        <is>
          <t>Clientes ativos</t>
        </is>
      </c>
      <c r="C33" s="21">
        <f>C18+C24+C30</f>
        <v/>
      </c>
      <c r="D33" s="21">
        <f>D18+D24+D30</f>
        <v/>
      </c>
      <c r="E33" s="21">
        <f>E18+E24+E30</f>
        <v/>
      </c>
      <c r="F33" s="21">
        <f>F18+F24+F30</f>
        <v/>
      </c>
      <c r="G33" s="21">
        <f>G18+G24+G30</f>
        <v/>
      </c>
      <c r="H33" s="21">
        <f>H18+H24+H30</f>
        <v/>
      </c>
      <c r="I33" s="21">
        <f>I18+I24+I30</f>
        <v/>
      </c>
      <c r="J33" s="21">
        <f>J18+J24+J30</f>
        <v/>
      </c>
      <c r="K33" s="21">
        <f>K18+K24+K30</f>
        <v/>
      </c>
      <c r="L33" s="21">
        <f>L18+L24+L30</f>
        <v/>
      </c>
      <c r="M33" s="21">
        <f>M18+M24+M30</f>
        <v/>
      </c>
      <c r="N33" s="21">
        <f>N18+N24+N30</f>
        <v/>
      </c>
      <c r="O33" s="21">
        <f>O18+O24+O30</f>
        <v/>
      </c>
      <c r="P33" s="21">
        <f>P18+P24+P30</f>
        <v/>
      </c>
      <c r="Q33" s="21">
        <f>Q18+Q24+Q30</f>
        <v/>
      </c>
      <c r="R33" s="21">
        <f>R18+R24+R30</f>
        <v/>
      </c>
      <c r="S33" s="21">
        <f>S18+S24+S30</f>
        <v/>
      </c>
      <c r="T33" s="21">
        <f>T18+T24+T30</f>
        <v/>
      </c>
      <c r="U33" s="21">
        <f>U18+U24+U30</f>
        <v/>
      </c>
      <c r="V33" s="21">
        <f>V18+V24+V30</f>
        <v/>
      </c>
      <c r="W33" s="21">
        <f>W18+W24+W30</f>
        <v/>
      </c>
      <c r="X33" s="21">
        <f>X18+X24+X30</f>
        <v/>
      </c>
      <c r="Y33" s="21">
        <f>Y18+Y24+Y30</f>
        <v/>
      </c>
      <c r="Z33" s="21">
        <f>Z18+Z24+Z30</f>
        <v/>
      </c>
      <c r="AA33" s="21">
        <f>AA18+AA24+AA30</f>
        <v/>
      </c>
      <c r="AB33" s="21">
        <f>AB18+AB24+AB30</f>
        <v/>
      </c>
      <c r="AC33" s="21">
        <f>AC18+AC24+AC30</f>
        <v/>
      </c>
      <c r="AD33" s="21">
        <f>AD18+AD24+AD30</f>
        <v/>
      </c>
      <c r="AE33" s="21">
        <f>AE18+AE24+AE30</f>
        <v/>
      </c>
      <c r="AF33" s="21">
        <f>AF18+AF24+AF30</f>
        <v/>
      </c>
      <c r="AG33" s="21">
        <f>AG18+AG24+AG30</f>
        <v/>
      </c>
      <c r="AH33" s="21">
        <f>AH18+AH24+AH30</f>
        <v/>
      </c>
      <c r="AI33" s="21">
        <f>AI18+AI24+AI30</f>
        <v/>
      </c>
      <c r="AJ33" s="21">
        <f>AJ18+AJ24+AJ30</f>
        <v/>
      </c>
      <c r="AK33" s="21">
        <f>AK18+AK24+AK30</f>
        <v/>
      </c>
      <c r="AL33" s="21">
        <f>AL18+AL24+AL30</f>
        <v/>
      </c>
      <c r="AM33" s="21">
        <f>AM18+AM24+AM30</f>
        <v/>
      </c>
      <c r="AN33" s="21">
        <f>AN18+AN24+AN30</f>
        <v/>
      </c>
      <c r="AO33" s="21">
        <f>AO18+AO24+AO30</f>
        <v/>
      </c>
      <c r="AP33" s="21">
        <f>AP18+AP24+AP30</f>
        <v/>
      </c>
      <c r="AQ33" s="21">
        <f>AQ18+AQ24+AQ30</f>
        <v/>
      </c>
      <c r="AR33" s="21">
        <f>AR18+AR24+AR30</f>
        <v/>
      </c>
      <c r="AS33" s="21">
        <f>AS18+AS24+AS30</f>
        <v/>
      </c>
      <c r="AT33" s="21">
        <f>AT18+AT24+AT30</f>
        <v/>
      </c>
      <c r="AU33" s="21">
        <f>AU18+AU24+AU30</f>
        <v/>
      </c>
      <c r="AV33" s="21">
        <f>AV18+AV24+AV30</f>
        <v/>
      </c>
      <c r="AW33" s="21">
        <f>AW18+AW24+AW30</f>
        <v/>
      </c>
      <c r="AX33" s="21">
        <f>AX18+AX24+AX30</f>
        <v/>
      </c>
      <c r="AY33" s="21">
        <f>AY18+AY24+AY30</f>
        <v/>
      </c>
      <c r="AZ33" s="21">
        <f>AZ18+AZ24+AZ30</f>
        <v/>
      </c>
      <c r="BA33" s="21">
        <f>BA18+BA24+BA30</f>
        <v/>
      </c>
      <c r="BB33" s="21">
        <f>BB18+BB24+BB30</f>
        <v/>
      </c>
      <c r="BC33" s="21">
        <f>BC18+BC24+BC30</f>
        <v/>
      </c>
      <c r="BD33" s="21">
        <f>BD18+BD24+BD30</f>
        <v/>
      </c>
      <c r="BE33" s="21">
        <f>BE18+BE24+BE30</f>
        <v/>
      </c>
      <c r="BF33" s="21">
        <f>BF18+BF24+BF30</f>
        <v/>
      </c>
      <c r="BG33" s="21">
        <f>BG18+BG24+BG30</f>
        <v/>
      </c>
      <c r="BH33" s="21">
        <f>BH18+BH24+BH30</f>
        <v/>
      </c>
      <c r="BI33" s="21">
        <f>BI18+BI24+BI30</f>
        <v/>
      </c>
      <c r="BJ33" s="21">
        <f>BJ18+BJ24+BJ30</f>
        <v/>
      </c>
      <c r="BK33" s="21">
        <f>BK18+BK24+BK30</f>
        <v/>
      </c>
      <c r="BL33" s="21">
        <f>BL18+BL24+BL30</f>
        <v/>
      </c>
      <c r="BM33" s="21">
        <f>BM18+BM24+BM30</f>
        <v/>
      </c>
      <c r="BN33" s="21">
        <f>BN18+BN24+BN30</f>
        <v/>
      </c>
      <c r="BO33" s="21">
        <f>BO18+BO24+BO30</f>
        <v/>
      </c>
      <c r="BP33" s="21">
        <f>BP18+BP24+BP30</f>
        <v/>
      </c>
      <c r="BQ33" s="21">
        <f>BQ18+BQ24+BQ30</f>
        <v/>
      </c>
      <c r="BR33" s="21">
        <f>BR18+BR24+BR30</f>
        <v/>
      </c>
      <c r="BS33" s="21">
        <f>BS18+BS24+BS30</f>
        <v/>
      </c>
      <c r="BT33" s="21">
        <f>BT18+BT24+BT30</f>
        <v/>
      </c>
      <c r="BU33" s="21">
        <f>BU18+BU24+BU30</f>
        <v/>
      </c>
      <c r="BV33" s="21">
        <f>BV18+BV24+BV30</f>
        <v/>
      </c>
      <c r="BW33" s="21">
        <f>BW18+BW24+BW30</f>
        <v/>
      </c>
      <c r="BX33" s="21">
        <f>BX18+BX24+BX30</f>
        <v/>
      </c>
      <c r="BY33" s="21">
        <f>BY18+BY24+BY30</f>
        <v/>
      </c>
      <c r="BZ33" s="21">
        <f>BZ18+BZ24+BZ30</f>
        <v/>
      </c>
      <c r="CA33" s="21">
        <f>CA18+CA24+CA30</f>
        <v/>
      </c>
      <c r="CB33" s="21">
        <f>CB18+CB24+CB30</f>
        <v/>
      </c>
      <c r="CC33" s="21">
        <f>CC18+CC24+CC30</f>
        <v/>
      </c>
      <c r="CD33" s="21">
        <f>CD18+CD24+CD30</f>
        <v/>
      </c>
      <c r="CE33" s="21">
        <f>CE18+CE24+CE30</f>
        <v/>
      </c>
      <c r="CF33" s="21">
        <f>CF18+CF24+CF30</f>
        <v/>
      </c>
      <c r="CG33" s="21">
        <f>CG18+CG24+CG30</f>
        <v/>
      </c>
      <c r="CH33" s="21">
        <f>CH18+CH24+CH30</f>
        <v/>
      </c>
    </row>
    <row r="34">
      <c r="A34" s="3" t="inlineStr">
        <is>
          <t>Mercado endereçável no mês</t>
        </is>
      </c>
      <c r="C34" s="8">
        <f>Premissas!$F$12+IF(C2&gt;=Premissas!$F$13,Premissas!$F$15,0)</f>
        <v/>
      </c>
      <c r="D34" s="8">
        <f>Premissas!$F$12+IF(D2&gt;=Premissas!$F$13,Premissas!$F$15,0)</f>
        <v/>
      </c>
      <c r="E34" s="8">
        <f>Premissas!$F$12+IF(E2&gt;=Premissas!$F$13,Premissas!$F$15,0)</f>
        <v/>
      </c>
      <c r="F34" s="8">
        <f>Premissas!$F$12+IF(F2&gt;=Premissas!$F$13,Premissas!$F$15,0)</f>
        <v/>
      </c>
      <c r="G34" s="8">
        <f>Premissas!$F$12+IF(G2&gt;=Premissas!$F$13,Premissas!$F$15,0)</f>
        <v/>
      </c>
      <c r="H34" s="8">
        <f>Premissas!$F$12+IF(H2&gt;=Premissas!$F$13,Premissas!$F$15,0)</f>
        <v/>
      </c>
      <c r="I34" s="8">
        <f>Premissas!$F$12+IF(I2&gt;=Premissas!$F$13,Premissas!$F$15,0)</f>
        <v/>
      </c>
      <c r="J34" s="8">
        <f>Premissas!$F$12+IF(J2&gt;=Premissas!$F$13,Premissas!$F$15,0)</f>
        <v/>
      </c>
      <c r="K34" s="8">
        <f>Premissas!$F$12+IF(K2&gt;=Premissas!$F$13,Premissas!$F$15,0)</f>
        <v/>
      </c>
      <c r="L34" s="8">
        <f>Premissas!$F$12+IF(L2&gt;=Premissas!$F$13,Premissas!$F$15,0)</f>
        <v/>
      </c>
      <c r="M34" s="8">
        <f>Premissas!$F$12+IF(M2&gt;=Premissas!$F$13,Premissas!$F$15,0)</f>
        <v/>
      </c>
      <c r="N34" s="8">
        <f>Premissas!$F$12+IF(N2&gt;=Premissas!$F$13,Premissas!$F$15,0)</f>
        <v/>
      </c>
      <c r="O34" s="8">
        <f>Premissas!$F$12+IF(O2&gt;=Premissas!$F$13,Premissas!$F$15,0)</f>
        <v/>
      </c>
      <c r="P34" s="8">
        <f>Premissas!$F$12+IF(P2&gt;=Premissas!$F$13,Premissas!$F$15,0)</f>
        <v/>
      </c>
      <c r="Q34" s="8">
        <f>Premissas!$F$12+IF(Q2&gt;=Premissas!$F$13,Premissas!$F$15,0)</f>
        <v/>
      </c>
      <c r="R34" s="8">
        <f>Premissas!$F$12+IF(R2&gt;=Premissas!$F$13,Premissas!$F$15,0)</f>
        <v/>
      </c>
      <c r="S34" s="8">
        <f>Premissas!$F$12+IF(S2&gt;=Premissas!$F$13,Premissas!$F$15,0)</f>
        <v/>
      </c>
      <c r="T34" s="8">
        <f>Premissas!$F$12+IF(T2&gt;=Premissas!$F$13,Premissas!$F$15,0)</f>
        <v/>
      </c>
      <c r="U34" s="8">
        <f>Premissas!$F$12+IF(U2&gt;=Premissas!$F$13,Premissas!$F$15,0)</f>
        <v/>
      </c>
      <c r="V34" s="8">
        <f>Premissas!$F$12+IF(V2&gt;=Premissas!$F$13,Premissas!$F$15,0)</f>
        <v/>
      </c>
      <c r="W34" s="8">
        <f>Premissas!$F$12+IF(W2&gt;=Premissas!$F$13,Premissas!$F$15,0)</f>
        <v/>
      </c>
      <c r="X34" s="8">
        <f>Premissas!$F$12+IF(X2&gt;=Premissas!$F$13,Premissas!$F$15,0)</f>
        <v/>
      </c>
      <c r="Y34" s="8">
        <f>Premissas!$F$12+IF(Y2&gt;=Premissas!$F$13,Premissas!$F$15,0)</f>
        <v/>
      </c>
      <c r="Z34" s="8">
        <f>Premissas!$F$12+IF(Z2&gt;=Premissas!$F$13,Premissas!$F$15,0)</f>
        <v/>
      </c>
      <c r="AA34" s="8">
        <f>Premissas!$F$12+IF(AA2&gt;=Premissas!$F$13,Premissas!$F$15,0)</f>
        <v/>
      </c>
      <c r="AB34" s="8">
        <f>Premissas!$F$12+IF(AB2&gt;=Premissas!$F$13,Premissas!$F$15,0)</f>
        <v/>
      </c>
      <c r="AC34" s="8">
        <f>Premissas!$F$12+IF(AC2&gt;=Premissas!$F$13,Premissas!$F$15,0)</f>
        <v/>
      </c>
      <c r="AD34" s="8">
        <f>Premissas!$F$12+IF(AD2&gt;=Premissas!$F$13,Premissas!$F$15,0)</f>
        <v/>
      </c>
      <c r="AE34" s="8">
        <f>Premissas!$F$12+IF(AE2&gt;=Premissas!$F$13,Premissas!$F$15,0)</f>
        <v/>
      </c>
      <c r="AF34" s="8">
        <f>Premissas!$F$12+IF(AF2&gt;=Premissas!$F$13,Premissas!$F$15,0)</f>
        <v/>
      </c>
      <c r="AG34" s="8">
        <f>Premissas!$F$12+IF(AG2&gt;=Premissas!$F$13,Premissas!$F$15,0)</f>
        <v/>
      </c>
      <c r="AH34" s="8">
        <f>Premissas!$F$12+IF(AH2&gt;=Premissas!$F$13,Premissas!$F$15,0)</f>
        <v/>
      </c>
      <c r="AI34" s="8">
        <f>Premissas!$F$12+IF(AI2&gt;=Premissas!$F$13,Premissas!$F$15,0)</f>
        <v/>
      </c>
      <c r="AJ34" s="8">
        <f>Premissas!$F$12+IF(AJ2&gt;=Premissas!$F$13,Premissas!$F$15,0)</f>
        <v/>
      </c>
      <c r="AK34" s="8">
        <f>Premissas!$F$12+IF(AK2&gt;=Premissas!$F$13,Premissas!$F$15,0)</f>
        <v/>
      </c>
      <c r="AL34" s="8">
        <f>Premissas!$F$12+IF(AL2&gt;=Premissas!$F$13,Premissas!$F$15,0)</f>
        <v/>
      </c>
      <c r="AM34" s="8">
        <f>Premissas!$F$12+IF(AM2&gt;=Premissas!$F$13,Premissas!$F$15,0)</f>
        <v/>
      </c>
      <c r="AN34" s="8">
        <f>Premissas!$F$12+IF(AN2&gt;=Premissas!$F$13,Premissas!$F$15,0)</f>
        <v/>
      </c>
      <c r="AO34" s="8">
        <f>Premissas!$F$12+IF(AO2&gt;=Premissas!$F$13,Premissas!$F$15,0)</f>
        <v/>
      </c>
      <c r="AP34" s="8">
        <f>Premissas!$F$12+IF(AP2&gt;=Premissas!$F$13,Premissas!$F$15,0)</f>
        <v/>
      </c>
      <c r="AQ34" s="8">
        <f>Premissas!$F$12+IF(AQ2&gt;=Premissas!$F$13,Premissas!$F$15,0)</f>
        <v/>
      </c>
      <c r="AR34" s="8">
        <f>Premissas!$F$12+IF(AR2&gt;=Premissas!$F$13,Premissas!$F$15,0)</f>
        <v/>
      </c>
      <c r="AS34" s="8">
        <f>Premissas!$F$12+IF(AS2&gt;=Premissas!$F$13,Premissas!$F$15,0)</f>
        <v/>
      </c>
      <c r="AT34" s="8">
        <f>Premissas!$F$12+IF(AT2&gt;=Premissas!$F$13,Premissas!$F$15,0)</f>
        <v/>
      </c>
      <c r="AU34" s="8">
        <f>Premissas!$F$12+IF(AU2&gt;=Premissas!$F$13,Premissas!$F$15,0)</f>
        <v/>
      </c>
      <c r="AV34" s="8">
        <f>Premissas!$F$12+IF(AV2&gt;=Premissas!$F$13,Premissas!$F$15,0)</f>
        <v/>
      </c>
      <c r="AW34" s="8">
        <f>Premissas!$F$12+IF(AW2&gt;=Premissas!$F$13,Premissas!$F$15,0)</f>
        <v/>
      </c>
      <c r="AX34" s="8">
        <f>Premissas!$F$12+IF(AX2&gt;=Premissas!$F$13,Premissas!$F$15,0)</f>
        <v/>
      </c>
      <c r="AY34" s="8">
        <f>Premissas!$F$12+IF(AY2&gt;=Premissas!$F$13,Premissas!$F$15,0)</f>
        <v/>
      </c>
      <c r="AZ34" s="8">
        <f>Premissas!$F$12+IF(AZ2&gt;=Premissas!$F$13,Premissas!$F$15,0)</f>
        <v/>
      </c>
      <c r="BA34" s="8">
        <f>Premissas!$F$12+IF(BA2&gt;=Premissas!$F$13,Premissas!$F$15,0)</f>
        <v/>
      </c>
      <c r="BB34" s="8">
        <f>Premissas!$F$12+IF(BB2&gt;=Premissas!$F$13,Premissas!$F$15,0)</f>
        <v/>
      </c>
      <c r="BC34" s="8">
        <f>Premissas!$F$12+IF(BC2&gt;=Premissas!$F$13,Premissas!$F$15,0)</f>
        <v/>
      </c>
      <c r="BD34" s="8">
        <f>Premissas!$F$12+IF(BD2&gt;=Premissas!$F$13,Premissas!$F$15,0)</f>
        <v/>
      </c>
      <c r="BE34" s="8">
        <f>Premissas!$F$12+IF(BE2&gt;=Premissas!$F$13,Premissas!$F$15,0)</f>
        <v/>
      </c>
      <c r="BF34" s="8">
        <f>Premissas!$F$12+IF(BF2&gt;=Premissas!$F$13,Premissas!$F$15,0)</f>
        <v/>
      </c>
      <c r="BG34" s="8">
        <f>Premissas!$F$12+IF(BG2&gt;=Premissas!$F$13,Premissas!$F$15,0)</f>
        <v/>
      </c>
      <c r="BH34" s="8">
        <f>Premissas!$F$12+IF(BH2&gt;=Premissas!$F$13,Premissas!$F$15,0)</f>
        <v/>
      </c>
      <c r="BI34" s="8">
        <f>Premissas!$F$12+IF(BI2&gt;=Premissas!$F$13,Premissas!$F$15,0)</f>
        <v/>
      </c>
      <c r="BJ34" s="8">
        <f>Premissas!$F$12+IF(BJ2&gt;=Premissas!$F$13,Premissas!$F$15,0)</f>
        <v/>
      </c>
      <c r="BK34" s="8">
        <f>Premissas!$F$12+IF(BK2&gt;=Premissas!$F$13,Premissas!$F$15,0)</f>
        <v/>
      </c>
      <c r="BL34" s="8">
        <f>Premissas!$F$12+IF(BL2&gt;=Premissas!$F$13,Premissas!$F$15,0)</f>
        <v/>
      </c>
      <c r="BM34" s="8">
        <f>Premissas!$F$12+IF(BM2&gt;=Premissas!$F$13,Premissas!$F$15,0)</f>
        <v/>
      </c>
      <c r="BN34" s="8">
        <f>Premissas!$F$12+IF(BN2&gt;=Premissas!$F$13,Premissas!$F$15,0)</f>
        <v/>
      </c>
      <c r="BO34" s="8">
        <f>Premissas!$F$12+IF(BO2&gt;=Premissas!$F$13,Premissas!$F$15,0)</f>
        <v/>
      </c>
      <c r="BP34" s="8">
        <f>Premissas!$F$12+IF(BP2&gt;=Premissas!$F$13,Premissas!$F$15,0)</f>
        <v/>
      </c>
      <c r="BQ34" s="8">
        <f>Premissas!$F$12+IF(BQ2&gt;=Premissas!$F$13,Premissas!$F$15,0)</f>
        <v/>
      </c>
      <c r="BR34" s="8">
        <f>Premissas!$F$12+IF(BR2&gt;=Premissas!$F$13,Premissas!$F$15,0)</f>
        <v/>
      </c>
      <c r="BS34" s="8">
        <f>Premissas!$F$12+IF(BS2&gt;=Premissas!$F$13,Premissas!$F$15,0)</f>
        <v/>
      </c>
      <c r="BT34" s="8">
        <f>Premissas!$F$12+IF(BT2&gt;=Premissas!$F$13,Premissas!$F$15,0)</f>
        <v/>
      </c>
      <c r="BU34" s="8">
        <f>Premissas!$F$12+IF(BU2&gt;=Premissas!$F$13,Premissas!$F$15,0)</f>
        <v/>
      </c>
      <c r="BV34" s="8">
        <f>Premissas!$F$12+IF(BV2&gt;=Premissas!$F$13,Premissas!$F$15,0)</f>
        <v/>
      </c>
      <c r="BW34" s="8">
        <f>Premissas!$F$12+IF(BW2&gt;=Premissas!$F$13,Premissas!$F$15,0)</f>
        <v/>
      </c>
      <c r="BX34" s="8">
        <f>Premissas!$F$12+IF(BX2&gt;=Premissas!$F$13,Premissas!$F$15,0)</f>
        <v/>
      </c>
      <c r="BY34" s="8">
        <f>Premissas!$F$12+IF(BY2&gt;=Premissas!$F$13,Premissas!$F$15,0)</f>
        <v/>
      </c>
      <c r="BZ34" s="8">
        <f>Premissas!$F$12+IF(BZ2&gt;=Premissas!$F$13,Premissas!$F$15,0)</f>
        <v/>
      </c>
      <c r="CA34" s="8">
        <f>Premissas!$F$12+IF(CA2&gt;=Premissas!$F$13,Premissas!$F$15,0)</f>
        <v/>
      </c>
      <c r="CB34" s="8">
        <f>Premissas!$F$12+IF(CB2&gt;=Premissas!$F$13,Premissas!$F$15,0)</f>
        <v/>
      </c>
      <c r="CC34" s="8">
        <f>Premissas!$F$12+IF(CC2&gt;=Premissas!$F$13,Premissas!$F$15,0)</f>
        <v/>
      </c>
      <c r="CD34" s="8">
        <f>Premissas!$F$12+IF(CD2&gt;=Premissas!$F$13,Premissas!$F$15,0)</f>
        <v/>
      </c>
      <c r="CE34" s="8">
        <f>Premissas!$F$12+IF(CE2&gt;=Premissas!$F$13,Premissas!$F$15,0)</f>
        <v/>
      </c>
      <c r="CF34" s="8">
        <f>Premissas!$F$12+IF(CF2&gt;=Premissas!$F$13,Premissas!$F$15,0)</f>
        <v/>
      </c>
      <c r="CG34" s="8">
        <f>Premissas!$F$12+IF(CG2&gt;=Premissas!$F$13,Premissas!$F$15,0)</f>
        <v/>
      </c>
      <c r="CH34" s="8">
        <f>Premissas!$F$12+IF(CH2&gt;=Premissas!$F$13,Premissas!$F$15,0)</f>
        <v/>
      </c>
    </row>
    <row r="35">
      <c r="A35" s="3" t="inlineStr">
        <is>
          <t>Participação no mercado endereçável</t>
        </is>
      </c>
      <c r="C35" s="27">
        <f>C33/C34</f>
        <v/>
      </c>
      <c r="D35" s="27">
        <f>D33/D34</f>
        <v/>
      </c>
      <c r="E35" s="27">
        <f>E33/E34</f>
        <v/>
      </c>
      <c r="F35" s="27">
        <f>F33/F34</f>
        <v/>
      </c>
      <c r="G35" s="27">
        <f>G33/G34</f>
        <v/>
      </c>
      <c r="H35" s="27">
        <f>H33/H34</f>
        <v/>
      </c>
      <c r="I35" s="27">
        <f>I33/I34</f>
        <v/>
      </c>
      <c r="J35" s="27">
        <f>J33/J34</f>
        <v/>
      </c>
      <c r="K35" s="27">
        <f>K33/K34</f>
        <v/>
      </c>
      <c r="L35" s="27">
        <f>L33/L34</f>
        <v/>
      </c>
      <c r="M35" s="27">
        <f>M33/M34</f>
        <v/>
      </c>
      <c r="N35" s="27">
        <f>N33/N34</f>
        <v/>
      </c>
      <c r="O35" s="27">
        <f>O33/O34</f>
        <v/>
      </c>
      <c r="P35" s="27">
        <f>P33/P34</f>
        <v/>
      </c>
      <c r="Q35" s="27">
        <f>Q33/Q34</f>
        <v/>
      </c>
      <c r="R35" s="27">
        <f>R33/R34</f>
        <v/>
      </c>
      <c r="S35" s="27">
        <f>S33/S34</f>
        <v/>
      </c>
      <c r="T35" s="27">
        <f>T33/T34</f>
        <v/>
      </c>
      <c r="U35" s="27">
        <f>U33/U34</f>
        <v/>
      </c>
      <c r="V35" s="27">
        <f>V33/V34</f>
        <v/>
      </c>
      <c r="W35" s="27">
        <f>W33/W34</f>
        <v/>
      </c>
      <c r="X35" s="27">
        <f>X33/X34</f>
        <v/>
      </c>
      <c r="Y35" s="27">
        <f>Y33/Y34</f>
        <v/>
      </c>
      <c r="Z35" s="27">
        <f>Z33/Z34</f>
        <v/>
      </c>
      <c r="AA35" s="27">
        <f>AA33/AA34</f>
        <v/>
      </c>
      <c r="AB35" s="27">
        <f>AB33/AB34</f>
        <v/>
      </c>
      <c r="AC35" s="27">
        <f>AC33/AC34</f>
        <v/>
      </c>
      <c r="AD35" s="27">
        <f>AD33/AD34</f>
        <v/>
      </c>
      <c r="AE35" s="27">
        <f>AE33/AE34</f>
        <v/>
      </c>
      <c r="AF35" s="27">
        <f>AF33/AF34</f>
        <v/>
      </c>
      <c r="AG35" s="27">
        <f>AG33/AG34</f>
        <v/>
      </c>
      <c r="AH35" s="27">
        <f>AH33/AH34</f>
        <v/>
      </c>
      <c r="AI35" s="27">
        <f>AI33/AI34</f>
        <v/>
      </c>
      <c r="AJ35" s="27">
        <f>AJ33/AJ34</f>
        <v/>
      </c>
      <c r="AK35" s="27">
        <f>AK33/AK34</f>
        <v/>
      </c>
      <c r="AL35" s="27">
        <f>AL33/AL34</f>
        <v/>
      </c>
      <c r="AM35" s="27">
        <f>AM33/AM34</f>
        <v/>
      </c>
      <c r="AN35" s="27">
        <f>AN33/AN34</f>
        <v/>
      </c>
      <c r="AO35" s="27">
        <f>AO33/AO34</f>
        <v/>
      </c>
      <c r="AP35" s="27">
        <f>AP33/AP34</f>
        <v/>
      </c>
      <c r="AQ35" s="27">
        <f>AQ33/AQ34</f>
        <v/>
      </c>
      <c r="AR35" s="27">
        <f>AR33/AR34</f>
        <v/>
      </c>
      <c r="AS35" s="27">
        <f>AS33/AS34</f>
        <v/>
      </c>
      <c r="AT35" s="27">
        <f>AT33/AT34</f>
        <v/>
      </c>
      <c r="AU35" s="27">
        <f>AU33/AU34</f>
        <v/>
      </c>
      <c r="AV35" s="27">
        <f>AV33/AV34</f>
        <v/>
      </c>
      <c r="AW35" s="27">
        <f>AW33/AW34</f>
        <v/>
      </c>
      <c r="AX35" s="27">
        <f>AX33/AX34</f>
        <v/>
      </c>
      <c r="AY35" s="27">
        <f>AY33/AY34</f>
        <v/>
      </c>
      <c r="AZ35" s="27">
        <f>AZ33/AZ34</f>
        <v/>
      </c>
      <c r="BA35" s="27">
        <f>BA33/BA34</f>
        <v/>
      </c>
      <c r="BB35" s="27">
        <f>BB33/BB34</f>
        <v/>
      </c>
      <c r="BC35" s="27">
        <f>BC33/BC34</f>
        <v/>
      </c>
      <c r="BD35" s="27">
        <f>BD33/BD34</f>
        <v/>
      </c>
      <c r="BE35" s="27">
        <f>BE33/BE34</f>
        <v/>
      </c>
      <c r="BF35" s="27">
        <f>BF33/BF34</f>
        <v/>
      </c>
      <c r="BG35" s="27">
        <f>BG33/BG34</f>
        <v/>
      </c>
      <c r="BH35" s="27">
        <f>BH33/BH34</f>
        <v/>
      </c>
      <c r="BI35" s="27">
        <f>BI33/BI34</f>
        <v/>
      </c>
      <c r="BJ35" s="27">
        <f>BJ33/BJ34</f>
        <v/>
      </c>
      <c r="BK35" s="27">
        <f>BK33/BK34</f>
        <v/>
      </c>
      <c r="BL35" s="27">
        <f>BL33/BL34</f>
        <v/>
      </c>
      <c r="BM35" s="27">
        <f>BM33/BM34</f>
        <v/>
      </c>
      <c r="BN35" s="27">
        <f>BN33/BN34</f>
        <v/>
      </c>
      <c r="BO35" s="27">
        <f>BO33/BO34</f>
        <v/>
      </c>
      <c r="BP35" s="27">
        <f>BP33/BP34</f>
        <v/>
      </c>
      <c r="BQ35" s="27">
        <f>BQ33/BQ34</f>
        <v/>
      </c>
      <c r="BR35" s="27">
        <f>BR33/BR34</f>
        <v/>
      </c>
      <c r="BS35" s="27">
        <f>BS33/BS34</f>
        <v/>
      </c>
      <c r="BT35" s="27">
        <f>BT33/BT34</f>
        <v/>
      </c>
      <c r="BU35" s="27">
        <f>BU33/BU34</f>
        <v/>
      </c>
      <c r="BV35" s="27">
        <f>BV33/BV34</f>
        <v/>
      </c>
      <c r="BW35" s="27">
        <f>BW33/BW34</f>
        <v/>
      </c>
      <c r="BX35" s="27">
        <f>BX33/BX34</f>
        <v/>
      </c>
      <c r="BY35" s="27">
        <f>BY33/BY34</f>
        <v/>
      </c>
      <c r="BZ35" s="27">
        <f>BZ33/BZ34</f>
        <v/>
      </c>
      <c r="CA35" s="27">
        <f>CA33/CA34</f>
        <v/>
      </c>
      <c r="CB35" s="27">
        <f>CB33/CB34</f>
        <v/>
      </c>
      <c r="CC35" s="27">
        <f>CC33/CC34</f>
        <v/>
      </c>
      <c r="CD35" s="27">
        <f>CD33/CD34</f>
        <v/>
      </c>
      <c r="CE35" s="27">
        <f>CE33/CE34</f>
        <v/>
      </c>
      <c r="CF35" s="27">
        <f>CF33/CF34</f>
        <v/>
      </c>
      <c r="CG35" s="27">
        <f>CG33/CG34</f>
        <v/>
      </c>
      <c r="CH35" s="27">
        <f>CH33/CH34</f>
        <v/>
      </c>
    </row>
    <row r="36">
      <c r="A36" s="3" t="inlineStr">
        <is>
          <t>Receita de mensalidades</t>
        </is>
      </c>
      <c r="C36" s="26">
        <f>C18*Premissas!$F$74+C24*Premissas!$F$80+C30*Premissas!$F$87</f>
        <v/>
      </c>
      <c r="D36" s="26">
        <f>D18*Premissas!$F$74+D24*Premissas!$F$80+D30*Premissas!$F$87</f>
        <v/>
      </c>
      <c r="E36" s="26">
        <f>E18*Premissas!$F$74+E24*Premissas!$F$80+E30*Premissas!$F$87</f>
        <v/>
      </c>
      <c r="F36" s="26">
        <f>F18*Premissas!$F$74+F24*Premissas!$F$80+F30*Premissas!$F$87</f>
        <v/>
      </c>
      <c r="G36" s="26">
        <f>G18*Premissas!$F$74+G24*Premissas!$F$80+G30*Premissas!$F$87</f>
        <v/>
      </c>
      <c r="H36" s="26">
        <f>H18*Premissas!$F$74+H24*Premissas!$F$80+H30*Premissas!$F$87</f>
        <v/>
      </c>
      <c r="I36" s="26">
        <f>I18*Premissas!$F$74+I24*Premissas!$F$80+I30*Premissas!$F$87</f>
        <v/>
      </c>
      <c r="J36" s="26">
        <f>J18*Premissas!$F$74+J24*Premissas!$F$80+J30*Premissas!$F$87</f>
        <v/>
      </c>
      <c r="K36" s="26">
        <f>K18*Premissas!$F$74+K24*Premissas!$F$80+K30*Premissas!$F$87</f>
        <v/>
      </c>
      <c r="L36" s="26">
        <f>L18*Premissas!$F$74+L24*Premissas!$F$80+L30*Premissas!$F$87</f>
        <v/>
      </c>
      <c r="M36" s="26">
        <f>M18*Premissas!$F$74+M24*Premissas!$F$80+M30*Premissas!$F$87</f>
        <v/>
      </c>
      <c r="N36" s="26">
        <f>N18*Premissas!$F$74+N24*Premissas!$F$80+N30*Premissas!$F$87</f>
        <v/>
      </c>
      <c r="O36" s="26">
        <f>O18*Premissas!$F$74+O24*Premissas!$F$80+O30*Premissas!$F$87</f>
        <v/>
      </c>
      <c r="P36" s="26">
        <f>P18*Premissas!$F$74+P24*Premissas!$F$80+P30*Premissas!$F$87</f>
        <v/>
      </c>
      <c r="Q36" s="26">
        <f>Q18*Premissas!$F$74+Q24*Premissas!$F$80+Q30*Premissas!$F$87</f>
        <v/>
      </c>
      <c r="R36" s="26">
        <f>R18*Premissas!$F$74+R24*Premissas!$F$80+R30*Premissas!$F$87</f>
        <v/>
      </c>
      <c r="S36" s="26">
        <f>S18*Premissas!$F$74+S24*Premissas!$F$80+S30*Premissas!$F$87</f>
        <v/>
      </c>
      <c r="T36" s="26">
        <f>T18*Premissas!$F$74+T24*Premissas!$F$80+T30*Premissas!$F$87</f>
        <v/>
      </c>
      <c r="U36" s="26">
        <f>U18*Premissas!$F$74+U24*Premissas!$F$80+U30*Premissas!$F$87</f>
        <v/>
      </c>
      <c r="V36" s="26">
        <f>V18*Premissas!$F$74+V24*Premissas!$F$80+V30*Premissas!$F$87</f>
        <v/>
      </c>
      <c r="W36" s="26">
        <f>W18*Premissas!$F$74+W24*Premissas!$F$80+W30*Premissas!$F$87</f>
        <v/>
      </c>
      <c r="X36" s="26">
        <f>X18*Premissas!$F$74+X24*Premissas!$F$80+X30*Premissas!$F$87</f>
        <v/>
      </c>
      <c r="Y36" s="26">
        <f>Y18*Premissas!$F$74+Y24*Premissas!$F$80+Y30*Premissas!$F$87</f>
        <v/>
      </c>
      <c r="Z36" s="26">
        <f>Z18*Premissas!$F$74+Z24*Premissas!$F$80+Z30*Premissas!$F$87</f>
        <v/>
      </c>
      <c r="AA36" s="26">
        <f>AA18*Premissas!$F$74+AA24*Premissas!$F$80+AA30*Premissas!$F$87</f>
        <v/>
      </c>
      <c r="AB36" s="26">
        <f>AB18*Premissas!$F$74+AB24*Premissas!$F$80+AB30*Premissas!$F$87</f>
        <v/>
      </c>
      <c r="AC36" s="26">
        <f>AC18*Premissas!$F$74+AC24*Premissas!$F$80+AC30*Premissas!$F$87</f>
        <v/>
      </c>
      <c r="AD36" s="26">
        <f>AD18*Premissas!$F$74+AD24*Premissas!$F$80+AD30*Premissas!$F$87</f>
        <v/>
      </c>
      <c r="AE36" s="26">
        <f>AE18*Premissas!$F$74+AE24*Premissas!$F$80+AE30*Premissas!$F$87</f>
        <v/>
      </c>
      <c r="AF36" s="26">
        <f>AF18*Premissas!$F$74+AF24*Premissas!$F$80+AF30*Premissas!$F$87</f>
        <v/>
      </c>
      <c r="AG36" s="26">
        <f>AG18*Premissas!$F$74+AG24*Premissas!$F$80+AG30*Premissas!$F$87</f>
        <v/>
      </c>
      <c r="AH36" s="26">
        <f>AH18*Premissas!$F$74+AH24*Premissas!$F$80+AH30*Premissas!$F$87</f>
        <v/>
      </c>
      <c r="AI36" s="26">
        <f>AI18*Premissas!$F$74+AI24*Premissas!$F$80+AI30*Premissas!$F$87</f>
        <v/>
      </c>
      <c r="AJ36" s="26">
        <f>AJ18*Premissas!$F$74+AJ24*Premissas!$F$80+AJ30*Premissas!$F$87</f>
        <v/>
      </c>
      <c r="AK36" s="26">
        <f>AK18*Premissas!$F$74+AK24*Premissas!$F$80+AK30*Premissas!$F$87</f>
        <v/>
      </c>
      <c r="AL36" s="26">
        <f>AL18*Premissas!$F$74+AL24*Premissas!$F$80+AL30*Premissas!$F$87</f>
        <v/>
      </c>
      <c r="AM36" s="26">
        <f>AM18*Premissas!$F$74+AM24*Premissas!$F$80+AM30*Premissas!$F$87</f>
        <v/>
      </c>
      <c r="AN36" s="26">
        <f>AN18*Premissas!$F$74+AN24*Premissas!$F$80+AN30*Premissas!$F$87</f>
        <v/>
      </c>
      <c r="AO36" s="26">
        <f>AO18*Premissas!$F$74+AO24*Premissas!$F$80+AO30*Premissas!$F$87</f>
        <v/>
      </c>
      <c r="AP36" s="26">
        <f>AP18*Premissas!$F$74+AP24*Premissas!$F$80+AP30*Premissas!$F$87</f>
        <v/>
      </c>
      <c r="AQ36" s="26">
        <f>AQ18*Premissas!$F$74+AQ24*Premissas!$F$80+AQ30*Premissas!$F$87</f>
        <v/>
      </c>
      <c r="AR36" s="26">
        <f>AR18*Premissas!$F$74+AR24*Premissas!$F$80+AR30*Premissas!$F$87</f>
        <v/>
      </c>
      <c r="AS36" s="26">
        <f>AS18*Premissas!$F$74+AS24*Premissas!$F$80+AS30*Premissas!$F$87</f>
        <v/>
      </c>
      <c r="AT36" s="26">
        <f>AT18*Premissas!$F$74+AT24*Premissas!$F$80+AT30*Premissas!$F$87</f>
        <v/>
      </c>
      <c r="AU36" s="26">
        <f>AU18*Premissas!$F$74+AU24*Premissas!$F$80+AU30*Premissas!$F$87</f>
        <v/>
      </c>
      <c r="AV36" s="26">
        <f>AV18*Premissas!$F$74+AV24*Premissas!$F$80+AV30*Premissas!$F$87</f>
        <v/>
      </c>
      <c r="AW36" s="26">
        <f>AW18*Premissas!$F$74+AW24*Premissas!$F$80+AW30*Premissas!$F$87</f>
        <v/>
      </c>
      <c r="AX36" s="26">
        <f>AX18*Premissas!$F$74+AX24*Premissas!$F$80+AX30*Premissas!$F$87</f>
        <v/>
      </c>
      <c r="AY36" s="26">
        <f>AY18*Premissas!$F$74+AY24*Premissas!$F$80+AY30*Premissas!$F$87</f>
        <v/>
      </c>
      <c r="AZ36" s="26">
        <f>AZ18*Premissas!$F$74+AZ24*Premissas!$F$80+AZ30*Premissas!$F$87</f>
        <v/>
      </c>
      <c r="BA36" s="26">
        <f>BA18*Premissas!$F$74+BA24*Premissas!$F$80+BA30*Premissas!$F$87</f>
        <v/>
      </c>
      <c r="BB36" s="26">
        <f>BB18*Premissas!$F$74+BB24*Premissas!$F$80+BB30*Premissas!$F$87</f>
        <v/>
      </c>
      <c r="BC36" s="26">
        <f>BC18*Premissas!$F$74+BC24*Premissas!$F$80+BC30*Premissas!$F$87</f>
        <v/>
      </c>
      <c r="BD36" s="26">
        <f>BD18*Premissas!$F$74+BD24*Premissas!$F$80+BD30*Premissas!$F$87</f>
        <v/>
      </c>
      <c r="BE36" s="26">
        <f>BE18*Premissas!$F$74+BE24*Premissas!$F$80+BE30*Premissas!$F$87</f>
        <v/>
      </c>
      <c r="BF36" s="26">
        <f>BF18*Premissas!$F$74+BF24*Premissas!$F$80+BF30*Premissas!$F$87</f>
        <v/>
      </c>
      <c r="BG36" s="26">
        <f>BG18*Premissas!$F$74+BG24*Premissas!$F$80+BG30*Premissas!$F$87</f>
        <v/>
      </c>
      <c r="BH36" s="26">
        <f>BH18*Premissas!$F$74+BH24*Premissas!$F$80+BH30*Premissas!$F$87</f>
        <v/>
      </c>
      <c r="BI36" s="26">
        <f>BI18*Premissas!$F$74+BI24*Premissas!$F$80+BI30*Premissas!$F$87</f>
        <v/>
      </c>
      <c r="BJ36" s="26">
        <f>BJ18*Premissas!$F$74+BJ24*Premissas!$F$80+BJ30*Premissas!$F$87</f>
        <v/>
      </c>
      <c r="BK36" s="26">
        <f>BK18*Premissas!$F$74+BK24*Premissas!$F$80+BK30*Premissas!$F$87</f>
        <v/>
      </c>
      <c r="BL36" s="26">
        <f>BL18*Premissas!$F$74+BL24*Premissas!$F$80+BL30*Premissas!$F$87</f>
        <v/>
      </c>
      <c r="BM36" s="26">
        <f>BM18*Premissas!$F$74+BM24*Premissas!$F$80+BM30*Premissas!$F$87</f>
        <v/>
      </c>
      <c r="BN36" s="26">
        <f>BN18*Premissas!$F$74+BN24*Premissas!$F$80+BN30*Premissas!$F$87</f>
        <v/>
      </c>
      <c r="BO36" s="26">
        <f>BO18*Premissas!$F$74+BO24*Premissas!$F$80+BO30*Premissas!$F$87</f>
        <v/>
      </c>
      <c r="BP36" s="26">
        <f>BP18*Premissas!$F$74+BP24*Premissas!$F$80+BP30*Premissas!$F$87</f>
        <v/>
      </c>
      <c r="BQ36" s="26">
        <f>BQ18*Premissas!$F$74+BQ24*Premissas!$F$80+BQ30*Premissas!$F$87</f>
        <v/>
      </c>
      <c r="BR36" s="26">
        <f>BR18*Premissas!$F$74+BR24*Premissas!$F$80+BR30*Premissas!$F$87</f>
        <v/>
      </c>
      <c r="BS36" s="26">
        <f>BS18*Premissas!$F$74+BS24*Premissas!$F$80+BS30*Premissas!$F$87</f>
        <v/>
      </c>
      <c r="BT36" s="26">
        <f>BT18*Premissas!$F$74+BT24*Premissas!$F$80+BT30*Premissas!$F$87</f>
        <v/>
      </c>
      <c r="BU36" s="26">
        <f>BU18*Premissas!$F$74+BU24*Premissas!$F$80+BU30*Premissas!$F$87</f>
        <v/>
      </c>
      <c r="BV36" s="26">
        <f>BV18*Premissas!$F$74+BV24*Premissas!$F$80+BV30*Premissas!$F$87</f>
        <v/>
      </c>
      <c r="BW36" s="26">
        <f>BW18*Premissas!$F$74+BW24*Premissas!$F$80+BW30*Premissas!$F$87</f>
        <v/>
      </c>
      <c r="BX36" s="26">
        <f>BX18*Premissas!$F$74+BX24*Premissas!$F$80+BX30*Premissas!$F$87</f>
        <v/>
      </c>
      <c r="BY36" s="26">
        <f>BY18*Premissas!$F$74+BY24*Premissas!$F$80+BY30*Premissas!$F$87</f>
        <v/>
      </c>
      <c r="BZ36" s="26">
        <f>BZ18*Premissas!$F$74+BZ24*Premissas!$F$80+BZ30*Premissas!$F$87</f>
        <v/>
      </c>
      <c r="CA36" s="26">
        <f>CA18*Premissas!$F$74+CA24*Premissas!$F$80+CA30*Premissas!$F$87</f>
        <v/>
      </c>
      <c r="CB36" s="26">
        <f>CB18*Premissas!$F$74+CB24*Premissas!$F$80+CB30*Premissas!$F$87</f>
        <v/>
      </c>
      <c r="CC36" s="26">
        <f>CC18*Premissas!$F$74+CC24*Premissas!$F$80+CC30*Premissas!$F$87</f>
        <v/>
      </c>
      <c r="CD36" s="26">
        <f>CD18*Premissas!$F$74+CD24*Premissas!$F$80+CD30*Premissas!$F$87</f>
        <v/>
      </c>
      <c r="CE36" s="26">
        <f>CE18*Premissas!$F$74+CE24*Premissas!$F$80+CE30*Premissas!$F$87</f>
        <v/>
      </c>
      <c r="CF36" s="26">
        <f>CF18*Premissas!$F$74+CF24*Premissas!$F$80+CF30*Premissas!$F$87</f>
        <v/>
      </c>
      <c r="CG36" s="26">
        <f>CG18*Premissas!$F$74+CG24*Premissas!$F$80+CG30*Premissas!$F$87</f>
        <v/>
      </c>
      <c r="CH36" s="26">
        <f>CH18*Premissas!$F$74+CH24*Premissas!$F$80+CH30*Premissas!$F$87</f>
        <v/>
      </c>
    </row>
    <row r="37">
      <c r="A37" s="3" t="inlineStr">
        <is>
          <t>Receita de implantação</t>
        </is>
      </c>
      <c r="C37" s="26">
        <f>C16*Premissas!$F$75+C22*Premissas!$F$81+C28*Premissas!$F$88</f>
        <v/>
      </c>
      <c r="D37" s="26">
        <f>D16*Premissas!$F$75+D22*Premissas!$F$81+D28*Premissas!$F$88</f>
        <v/>
      </c>
      <c r="E37" s="26">
        <f>E16*Premissas!$F$75+E22*Premissas!$F$81+E28*Premissas!$F$88</f>
        <v/>
      </c>
      <c r="F37" s="26">
        <f>F16*Premissas!$F$75+F22*Premissas!$F$81+F28*Premissas!$F$88</f>
        <v/>
      </c>
      <c r="G37" s="26">
        <f>G16*Premissas!$F$75+G22*Premissas!$F$81+G28*Premissas!$F$88</f>
        <v/>
      </c>
      <c r="H37" s="26">
        <f>H16*Premissas!$F$75+H22*Premissas!$F$81+H28*Premissas!$F$88</f>
        <v/>
      </c>
      <c r="I37" s="26">
        <f>I16*Premissas!$F$75+I22*Premissas!$F$81+I28*Premissas!$F$88</f>
        <v/>
      </c>
      <c r="J37" s="26">
        <f>J16*Premissas!$F$75+J22*Premissas!$F$81+J28*Premissas!$F$88</f>
        <v/>
      </c>
      <c r="K37" s="26">
        <f>K16*Premissas!$F$75+K22*Premissas!$F$81+K28*Premissas!$F$88</f>
        <v/>
      </c>
      <c r="L37" s="26">
        <f>L16*Premissas!$F$75+L22*Premissas!$F$81+L28*Premissas!$F$88</f>
        <v/>
      </c>
      <c r="M37" s="26">
        <f>M16*Premissas!$F$75+M22*Premissas!$F$81+M28*Premissas!$F$88</f>
        <v/>
      </c>
      <c r="N37" s="26">
        <f>N16*Premissas!$F$75+N22*Premissas!$F$81+N28*Premissas!$F$88</f>
        <v/>
      </c>
      <c r="O37" s="26">
        <f>O16*Premissas!$F$75+O22*Premissas!$F$81+O28*Premissas!$F$88</f>
        <v/>
      </c>
      <c r="P37" s="26">
        <f>P16*Premissas!$F$75+P22*Premissas!$F$81+P28*Premissas!$F$88</f>
        <v/>
      </c>
      <c r="Q37" s="26">
        <f>Q16*Premissas!$F$75+Q22*Premissas!$F$81+Q28*Premissas!$F$88</f>
        <v/>
      </c>
      <c r="R37" s="26">
        <f>R16*Premissas!$F$75+R22*Premissas!$F$81+R28*Premissas!$F$88</f>
        <v/>
      </c>
      <c r="S37" s="26">
        <f>S16*Premissas!$F$75+S22*Premissas!$F$81+S28*Premissas!$F$88</f>
        <v/>
      </c>
      <c r="T37" s="26">
        <f>T16*Premissas!$F$75+T22*Premissas!$F$81+T28*Premissas!$F$88</f>
        <v/>
      </c>
      <c r="U37" s="26">
        <f>U16*Premissas!$F$75+U22*Premissas!$F$81+U28*Premissas!$F$88</f>
        <v/>
      </c>
      <c r="V37" s="26">
        <f>V16*Premissas!$F$75+V22*Premissas!$F$81+V28*Premissas!$F$88</f>
        <v/>
      </c>
      <c r="W37" s="26">
        <f>W16*Premissas!$F$75+W22*Premissas!$F$81+W28*Premissas!$F$88</f>
        <v/>
      </c>
      <c r="X37" s="26">
        <f>X16*Premissas!$F$75+X22*Premissas!$F$81+X28*Premissas!$F$88</f>
        <v/>
      </c>
      <c r="Y37" s="26">
        <f>Y16*Premissas!$F$75+Y22*Premissas!$F$81+Y28*Premissas!$F$88</f>
        <v/>
      </c>
      <c r="Z37" s="26">
        <f>Z16*Premissas!$F$75+Z22*Premissas!$F$81+Z28*Premissas!$F$88</f>
        <v/>
      </c>
      <c r="AA37" s="26">
        <f>AA16*Premissas!$F$75+AA22*Premissas!$F$81+AA28*Premissas!$F$88</f>
        <v/>
      </c>
      <c r="AB37" s="26">
        <f>AB16*Premissas!$F$75+AB22*Premissas!$F$81+AB28*Premissas!$F$88</f>
        <v/>
      </c>
      <c r="AC37" s="26">
        <f>AC16*Premissas!$F$75+AC22*Premissas!$F$81+AC28*Premissas!$F$88</f>
        <v/>
      </c>
      <c r="AD37" s="26">
        <f>AD16*Premissas!$F$75+AD22*Premissas!$F$81+AD28*Premissas!$F$88</f>
        <v/>
      </c>
      <c r="AE37" s="26">
        <f>AE16*Premissas!$F$75+AE22*Premissas!$F$81+AE28*Premissas!$F$88</f>
        <v/>
      </c>
      <c r="AF37" s="26">
        <f>AF16*Premissas!$F$75+AF22*Premissas!$F$81+AF28*Premissas!$F$88</f>
        <v/>
      </c>
      <c r="AG37" s="26">
        <f>AG16*Premissas!$F$75+AG22*Premissas!$F$81+AG28*Premissas!$F$88</f>
        <v/>
      </c>
      <c r="AH37" s="26">
        <f>AH16*Premissas!$F$75+AH22*Premissas!$F$81+AH28*Premissas!$F$88</f>
        <v/>
      </c>
      <c r="AI37" s="26">
        <f>AI16*Premissas!$F$75+AI22*Premissas!$F$81+AI28*Premissas!$F$88</f>
        <v/>
      </c>
      <c r="AJ37" s="26">
        <f>AJ16*Premissas!$F$75+AJ22*Premissas!$F$81+AJ28*Premissas!$F$88</f>
        <v/>
      </c>
      <c r="AK37" s="26">
        <f>AK16*Premissas!$F$75+AK22*Premissas!$F$81+AK28*Premissas!$F$88</f>
        <v/>
      </c>
      <c r="AL37" s="26">
        <f>AL16*Premissas!$F$75+AL22*Premissas!$F$81+AL28*Premissas!$F$88</f>
        <v/>
      </c>
      <c r="AM37" s="26">
        <f>AM16*Premissas!$F$75+AM22*Premissas!$F$81+AM28*Premissas!$F$88</f>
        <v/>
      </c>
      <c r="AN37" s="26">
        <f>AN16*Premissas!$F$75+AN22*Premissas!$F$81+AN28*Premissas!$F$88</f>
        <v/>
      </c>
      <c r="AO37" s="26">
        <f>AO16*Premissas!$F$75+AO22*Premissas!$F$81+AO28*Premissas!$F$88</f>
        <v/>
      </c>
      <c r="AP37" s="26">
        <f>AP16*Premissas!$F$75+AP22*Premissas!$F$81+AP28*Premissas!$F$88</f>
        <v/>
      </c>
      <c r="AQ37" s="26">
        <f>AQ16*Premissas!$F$75+AQ22*Premissas!$F$81+AQ28*Premissas!$F$88</f>
        <v/>
      </c>
      <c r="AR37" s="26">
        <f>AR16*Premissas!$F$75+AR22*Premissas!$F$81+AR28*Premissas!$F$88</f>
        <v/>
      </c>
      <c r="AS37" s="26">
        <f>AS16*Premissas!$F$75+AS22*Premissas!$F$81+AS28*Premissas!$F$88</f>
        <v/>
      </c>
      <c r="AT37" s="26">
        <f>AT16*Premissas!$F$75+AT22*Premissas!$F$81+AT28*Premissas!$F$88</f>
        <v/>
      </c>
      <c r="AU37" s="26">
        <f>AU16*Premissas!$F$75+AU22*Premissas!$F$81+AU28*Premissas!$F$88</f>
        <v/>
      </c>
      <c r="AV37" s="26">
        <f>AV16*Premissas!$F$75+AV22*Premissas!$F$81+AV28*Premissas!$F$88</f>
        <v/>
      </c>
      <c r="AW37" s="26">
        <f>AW16*Premissas!$F$75+AW22*Premissas!$F$81+AW28*Premissas!$F$88</f>
        <v/>
      </c>
      <c r="AX37" s="26">
        <f>AX16*Premissas!$F$75+AX22*Premissas!$F$81+AX28*Premissas!$F$88</f>
        <v/>
      </c>
      <c r="AY37" s="26">
        <f>AY16*Premissas!$F$75+AY22*Premissas!$F$81+AY28*Premissas!$F$88</f>
        <v/>
      </c>
      <c r="AZ37" s="26">
        <f>AZ16*Premissas!$F$75+AZ22*Premissas!$F$81+AZ28*Premissas!$F$88</f>
        <v/>
      </c>
      <c r="BA37" s="26">
        <f>BA16*Premissas!$F$75+BA22*Premissas!$F$81+BA28*Premissas!$F$88</f>
        <v/>
      </c>
      <c r="BB37" s="26">
        <f>BB16*Premissas!$F$75+BB22*Premissas!$F$81+BB28*Premissas!$F$88</f>
        <v/>
      </c>
      <c r="BC37" s="26">
        <f>BC16*Premissas!$F$75+BC22*Premissas!$F$81+BC28*Premissas!$F$88</f>
        <v/>
      </c>
      <c r="BD37" s="26">
        <f>BD16*Premissas!$F$75+BD22*Premissas!$F$81+BD28*Premissas!$F$88</f>
        <v/>
      </c>
      <c r="BE37" s="26">
        <f>BE16*Premissas!$F$75+BE22*Premissas!$F$81+BE28*Premissas!$F$88</f>
        <v/>
      </c>
      <c r="BF37" s="26">
        <f>BF16*Premissas!$F$75+BF22*Premissas!$F$81+BF28*Premissas!$F$88</f>
        <v/>
      </c>
      <c r="BG37" s="26">
        <f>BG16*Premissas!$F$75+BG22*Premissas!$F$81+BG28*Premissas!$F$88</f>
        <v/>
      </c>
      <c r="BH37" s="26">
        <f>BH16*Premissas!$F$75+BH22*Premissas!$F$81+BH28*Premissas!$F$88</f>
        <v/>
      </c>
      <c r="BI37" s="26">
        <f>BI16*Premissas!$F$75+BI22*Premissas!$F$81+BI28*Premissas!$F$88</f>
        <v/>
      </c>
      <c r="BJ37" s="26">
        <f>BJ16*Premissas!$F$75+BJ22*Premissas!$F$81+BJ28*Premissas!$F$88</f>
        <v/>
      </c>
      <c r="BK37" s="26">
        <f>BK16*Premissas!$F$75+BK22*Premissas!$F$81+BK28*Premissas!$F$88</f>
        <v/>
      </c>
      <c r="BL37" s="26">
        <f>BL16*Premissas!$F$75+BL22*Premissas!$F$81+BL28*Premissas!$F$88</f>
        <v/>
      </c>
      <c r="BM37" s="26">
        <f>BM16*Premissas!$F$75+BM22*Premissas!$F$81+BM28*Premissas!$F$88</f>
        <v/>
      </c>
      <c r="BN37" s="26">
        <f>BN16*Premissas!$F$75+BN22*Premissas!$F$81+BN28*Premissas!$F$88</f>
        <v/>
      </c>
      <c r="BO37" s="26">
        <f>BO16*Premissas!$F$75+BO22*Premissas!$F$81+BO28*Premissas!$F$88</f>
        <v/>
      </c>
      <c r="BP37" s="26">
        <f>BP16*Premissas!$F$75+BP22*Premissas!$F$81+BP28*Premissas!$F$88</f>
        <v/>
      </c>
      <c r="BQ37" s="26">
        <f>BQ16*Premissas!$F$75+BQ22*Premissas!$F$81+BQ28*Premissas!$F$88</f>
        <v/>
      </c>
      <c r="BR37" s="26">
        <f>BR16*Premissas!$F$75+BR22*Premissas!$F$81+BR28*Premissas!$F$88</f>
        <v/>
      </c>
      <c r="BS37" s="26">
        <f>BS16*Premissas!$F$75+BS22*Premissas!$F$81+BS28*Premissas!$F$88</f>
        <v/>
      </c>
      <c r="BT37" s="26">
        <f>BT16*Premissas!$F$75+BT22*Premissas!$F$81+BT28*Premissas!$F$88</f>
        <v/>
      </c>
      <c r="BU37" s="26">
        <f>BU16*Premissas!$F$75+BU22*Premissas!$F$81+BU28*Premissas!$F$88</f>
        <v/>
      </c>
      <c r="BV37" s="26">
        <f>BV16*Premissas!$F$75+BV22*Premissas!$F$81+BV28*Premissas!$F$88</f>
        <v/>
      </c>
      <c r="BW37" s="26">
        <f>BW16*Premissas!$F$75+BW22*Premissas!$F$81+BW28*Premissas!$F$88</f>
        <v/>
      </c>
      <c r="BX37" s="26">
        <f>BX16*Premissas!$F$75+BX22*Premissas!$F$81+BX28*Premissas!$F$88</f>
        <v/>
      </c>
      <c r="BY37" s="26">
        <f>BY16*Premissas!$F$75+BY22*Premissas!$F$81+BY28*Premissas!$F$88</f>
        <v/>
      </c>
      <c r="BZ37" s="26">
        <f>BZ16*Premissas!$F$75+BZ22*Premissas!$F$81+BZ28*Premissas!$F$88</f>
        <v/>
      </c>
      <c r="CA37" s="26">
        <f>CA16*Premissas!$F$75+CA22*Premissas!$F$81+CA28*Premissas!$F$88</f>
        <v/>
      </c>
      <c r="CB37" s="26">
        <f>CB16*Premissas!$F$75+CB22*Premissas!$F$81+CB28*Premissas!$F$88</f>
        <v/>
      </c>
      <c r="CC37" s="26">
        <f>CC16*Premissas!$F$75+CC22*Premissas!$F$81+CC28*Premissas!$F$88</f>
        <v/>
      </c>
      <c r="CD37" s="26">
        <f>CD16*Premissas!$F$75+CD22*Premissas!$F$81+CD28*Premissas!$F$88</f>
        <v/>
      </c>
      <c r="CE37" s="26">
        <f>CE16*Premissas!$F$75+CE22*Premissas!$F$81+CE28*Premissas!$F$88</f>
        <v/>
      </c>
      <c r="CF37" s="26">
        <f>CF16*Premissas!$F$75+CF22*Premissas!$F$81+CF28*Premissas!$F$88</f>
        <v/>
      </c>
      <c r="CG37" s="26">
        <f>CG16*Premissas!$F$75+CG22*Premissas!$F$81+CG28*Premissas!$F$88</f>
        <v/>
      </c>
      <c r="CH37" s="26">
        <f>CH16*Premissas!$F$75+CH22*Premissas!$F$81+CH28*Premissas!$F$88</f>
        <v/>
      </c>
    </row>
    <row r="38">
      <c r="A38" s="3" t="inlineStr">
        <is>
          <t>Receita por consulta agendada</t>
        </is>
      </c>
      <c r="C38" s="26">
        <f>(C24*Premissas!$F$86+C30*Premissas!$F$93)*Premissas!$F$73</f>
        <v/>
      </c>
      <c r="D38" s="26">
        <f>(D24*Premissas!$F$86+D30*Premissas!$F$93)*Premissas!$F$73</f>
        <v/>
      </c>
      <c r="E38" s="26">
        <f>(E24*Premissas!$F$86+E30*Premissas!$F$93)*Premissas!$F$73</f>
        <v/>
      </c>
      <c r="F38" s="26">
        <f>(F24*Premissas!$F$86+F30*Premissas!$F$93)*Premissas!$F$73</f>
        <v/>
      </c>
      <c r="G38" s="26">
        <f>(G24*Premissas!$F$86+G30*Premissas!$F$93)*Premissas!$F$73</f>
        <v/>
      </c>
      <c r="H38" s="26">
        <f>(H24*Premissas!$F$86+H30*Premissas!$F$93)*Premissas!$F$73</f>
        <v/>
      </c>
      <c r="I38" s="26">
        <f>(I24*Premissas!$F$86+I30*Premissas!$F$93)*Premissas!$F$73</f>
        <v/>
      </c>
      <c r="J38" s="26">
        <f>(J24*Premissas!$F$86+J30*Premissas!$F$93)*Premissas!$F$73</f>
        <v/>
      </c>
      <c r="K38" s="26">
        <f>(K24*Premissas!$F$86+K30*Premissas!$F$93)*Premissas!$F$73</f>
        <v/>
      </c>
      <c r="L38" s="26">
        <f>(L24*Premissas!$F$86+L30*Premissas!$F$93)*Premissas!$F$73</f>
        <v/>
      </c>
      <c r="M38" s="26">
        <f>(M24*Premissas!$F$86+M30*Premissas!$F$93)*Premissas!$F$73</f>
        <v/>
      </c>
      <c r="N38" s="26">
        <f>(N24*Premissas!$F$86+N30*Premissas!$F$93)*Premissas!$F$73</f>
        <v/>
      </c>
      <c r="O38" s="26">
        <f>(O24*Premissas!$F$86+O30*Premissas!$F$93)*Premissas!$F$73</f>
        <v/>
      </c>
      <c r="P38" s="26">
        <f>(P24*Premissas!$F$86+P30*Premissas!$F$93)*Premissas!$F$73</f>
        <v/>
      </c>
      <c r="Q38" s="26">
        <f>(Q24*Premissas!$F$86+Q30*Premissas!$F$93)*Premissas!$F$73</f>
        <v/>
      </c>
      <c r="R38" s="26">
        <f>(R24*Premissas!$F$86+R30*Premissas!$F$93)*Premissas!$F$73</f>
        <v/>
      </c>
      <c r="S38" s="26">
        <f>(S24*Premissas!$F$86+S30*Premissas!$F$93)*Premissas!$F$73</f>
        <v/>
      </c>
      <c r="T38" s="26">
        <f>(T24*Premissas!$F$86+T30*Premissas!$F$93)*Premissas!$F$73</f>
        <v/>
      </c>
      <c r="U38" s="26">
        <f>(U24*Premissas!$F$86+U30*Premissas!$F$93)*Premissas!$F$73</f>
        <v/>
      </c>
      <c r="V38" s="26">
        <f>(V24*Premissas!$F$86+V30*Premissas!$F$93)*Premissas!$F$73</f>
        <v/>
      </c>
      <c r="W38" s="26">
        <f>(W24*Premissas!$F$86+W30*Premissas!$F$93)*Premissas!$F$73</f>
        <v/>
      </c>
      <c r="X38" s="26">
        <f>(X24*Premissas!$F$86+X30*Premissas!$F$93)*Premissas!$F$73</f>
        <v/>
      </c>
      <c r="Y38" s="26">
        <f>(Y24*Premissas!$F$86+Y30*Premissas!$F$93)*Premissas!$F$73</f>
        <v/>
      </c>
      <c r="Z38" s="26">
        <f>(Z24*Premissas!$F$86+Z30*Premissas!$F$93)*Premissas!$F$73</f>
        <v/>
      </c>
      <c r="AA38" s="26">
        <f>(AA24*Premissas!$F$86+AA30*Premissas!$F$93)*Premissas!$F$73</f>
        <v/>
      </c>
      <c r="AB38" s="26">
        <f>(AB24*Premissas!$F$86+AB30*Premissas!$F$93)*Premissas!$F$73</f>
        <v/>
      </c>
      <c r="AC38" s="26">
        <f>(AC24*Premissas!$F$86+AC30*Premissas!$F$93)*Premissas!$F$73</f>
        <v/>
      </c>
      <c r="AD38" s="26">
        <f>(AD24*Premissas!$F$86+AD30*Premissas!$F$93)*Premissas!$F$73</f>
        <v/>
      </c>
      <c r="AE38" s="26">
        <f>(AE24*Premissas!$F$86+AE30*Premissas!$F$93)*Premissas!$F$73</f>
        <v/>
      </c>
      <c r="AF38" s="26">
        <f>(AF24*Premissas!$F$86+AF30*Premissas!$F$93)*Premissas!$F$73</f>
        <v/>
      </c>
      <c r="AG38" s="26">
        <f>(AG24*Premissas!$F$86+AG30*Premissas!$F$93)*Premissas!$F$73</f>
        <v/>
      </c>
      <c r="AH38" s="26">
        <f>(AH24*Premissas!$F$86+AH30*Premissas!$F$93)*Premissas!$F$73</f>
        <v/>
      </c>
      <c r="AI38" s="26">
        <f>(AI24*Premissas!$F$86+AI30*Premissas!$F$93)*Premissas!$F$73</f>
        <v/>
      </c>
      <c r="AJ38" s="26">
        <f>(AJ24*Premissas!$F$86+AJ30*Premissas!$F$93)*Premissas!$F$73</f>
        <v/>
      </c>
      <c r="AK38" s="26">
        <f>(AK24*Premissas!$F$86+AK30*Premissas!$F$93)*Premissas!$F$73</f>
        <v/>
      </c>
      <c r="AL38" s="26">
        <f>(AL24*Premissas!$F$86+AL30*Premissas!$F$93)*Premissas!$F$73</f>
        <v/>
      </c>
      <c r="AM38" s="26">
        <f>(AM24*Premissas!$F$86+AM30*Premissas!$F$93)*Premissas!$F$73</f>
        <v/>
      </c>
      <c r="AN38" s="26">
        <f>(AN24*Premissas!$F$86+AN30*Premissas!$F$93)*Premissas!$F$73</f>
        <v/>
      </c>
      <c r="AO38" s="26">
        <f>(AO24*Premissas!$F$86+AO30*Premissas!$F$93)*Premissas!$F$73</f>
        <v/>
      </c>
      <c r="AP38" s="26">
        <f>(AP24*Premissas!$F$86+AP30*Premissas!$F$93)*Premissas!$F$73</f>
        <v/>
      </c>
      <c r="AQ38" s="26">
        <f>(AQ24*Premissas!$F$86+AQ30*Premissas!$F$93)*Premissas!$F$73</f>
        <v/>
      </c>
      <c r="AR38" s="26">
        <f>(AR24*Premissas!$F$86+AR30*Premissas!$F$93)*Premissas!$F$73</f>
        <v/>
      </c>
      <c r="AS38" s="26">
        <f>(AS24*Premissas!$F$86+AS30*Premissas!$F$93)*Premissas!$F$73</f>
        <v/>
      </c>
      <c r="AT38" s="26">
        <f>(AT24*Premissas!$F$86+AT30*Premissas!$F$93)*Premissas!$F$73</f>
        <v/>
      </c>
      <c r="AU38" s="26">
        <f>(AU24*Premissas!$F$86+AU30*Premissas!$F$93)*Premissas!$F$73</f>
        <v/>
      </c>
      <c r="AV38" s="26">
        <f>(AV24*Premissas!$F$86+AV30*Premissas!$F$93)*Premissas!$F$73</f>
        <v/>
      </c>
      <c r="AW38" s="26">
        <f>(AW24*Premissas!$F$86+AW30*Premissas!$F$93)*Premissas!$F$73</f>
        <v/>
      </c>
      <c r="AX38" s="26">
        <f>(AX24*Premissas!$F$86+AX30*Premissas!$F$93)*Premissas!$F$73</f>
        <v/>
      </c>
      <c r="AY38" s="26">
        <f>(AY24*Premissas!$F$86+AY30*Premissas!$F$93)*Premissas!$F$73</f>
        <v/>
      </c>
      <c r="AZ38" s="26">
        <f>(AZ24*Premissas!$F$86+AZ30*Premissas!$F$93)*Premissas!$F$73</f>
        <v/>
      </c>
      <c r="BA38" s="26">
        <f>(BA24*Premissas!$F$86+BA30*Premissas!$F$93)*Premissas!$F$73</f>
        <v/>
      </c>
      <c r="BB38" s="26">
        <f>(BB24*Premissas!$F$86+BB30*Premissas!$F$93)*Premissas!$F$73</f>
        <v/>
      </c>
      <c r="BC38" s="26">
        <f>(BC24*Premissas!$F$86+BC30*Premissas!$F$93)*Premissas!$F$73</f>
        <v/>
      </c>
      <c r="BD38" s="26">
        <f>(BD24*Premissas!$F$86+BD30*Premissas!$F$93)*Premissas!$F$73</f>
        <v/>
      </c>
      <c r="BE38" s="26">
        <f>(BE24*Premissas!$F$86+BE30*Premissas!$F$93)*Premissas!$F$73</f>
        <v/>
      </c>
      <c r="BF38" s="26">
        <f>(BF24*Premissas!$F$86+BF30*Premissas!$F$93)*Premissas!$F$73</f>
        <v/>
      </c>
      <c r="BG38" s="26">
        <f>(BG24*Premissas!$F$86+BG30*Premissas!$F$93)*Premissas!$F$73</f>
        <v/>
      </c>
      <c r="BH38" s="26">
        <f>(BH24*Premissas!$F$86+BH30*Premissas!$F$93)*Premissas!$F$73</f>
        <v/>
      </c>
      <c r="BI38" s="26">
        <f>(BI24*Premissas!$F$86+BI30*Premissas!$F$93)*Premissas!$F$73</f>
        <v/>
      </c>
      <c r="BJ38" s="26">
        <f>(BJ24*Premissas!$F$86+BJ30*Premissas!$F$93)*Premissas!$F$73</f>
        <v/>
      </c>
      <c r="BK38" s="26">
        <f>(BK24*Premissas!$F$86+BK30*Premissas!$F$93)*Premissas!$F$73</f>
        <v/>
      </c>
      <c r="BL38" s="26">
        <f>(BL24*Premissas!$F$86+BL30*Premissas!$F$93)*Premissas!$F$73</f>
        <v/>
      </c>
      <c r="BM38" s="26">
        <f>(BM24*Premissas!$F$86+BM30*Premissas!$F$93)*Premissas!$F$73</f>
        <v/>
      </c>
      <c r="BN38" s="26">
        <f>(BN24*Premissas!$F$86+BN30*Premissas!$F$93)*Premissas!$F$73</f>
        <v/>
      </c>
      <c r="BO38" s="26">
        <f>(BO24*Premissas!$F$86+BO30*Premissas!$F$93)*Premissas!$F$73</f>
        <v/>
      </c>
      <c r="BP38" s="26">
        <f>(BP24*Premissas!$F$86+BP30*Premissas!$F$93)*Premissas!$F$73</f>
        <v/>
      </c>
      <c r="BQ38" s="26">
        <f>(BQ24*Premissas!$F$86+BQ30*Premissas!$F$93)*Premissas!$F$73</f>
        <v/>
      </c>
      <c r="BR38" s="26">
        <f>(BR24*Premissas!$F$86+BR30*Premissas!$F$93)*Premissas!$F$73</f>
        <v/>
      </c>
      <c r="BS38" s="26">
        <f>(BS24*Premissas!$F$86+BS30*Premissas!$F$93)*Premissas!$F$73</f>
        <v/>
      </c>
      <c r="BT38" s="26">
        <f>(BT24*Premissas!$F$86+BT30*Premissas!$F$93)*Premissas!$F$73</f>
        <v/>
      </c>
      <c r="BU38" s="26">
        <f>(BU24*Premissas!$F$86+BU30*Premissas!$F$93)*Premissas!$F$73</f>
        <v/>
      </c>
      <c r="BV38" s="26">
        <f>(BV24*Premissas!$F$86+BV30*Premissas!$F$93)*Premissas!$F$73</f>
        <v/>
      </c>
      <c r="BW38" s="26">
        <f>(BW24*Premissas!$F$86+BW30*Premissas!$F$93)*Premissas!$F$73</f>
        <v/>
      </c>
      <c r="BX38" s="26">
        <f>(BX24*Premissas!$F$86+BX30*Premissas!$F$93)*Premissas!$F$73</f>
        <v/>
      </c>
      <c r="BY38" s="26">
        <f>(BY24*Premissas!$F$86+BY30*Premissas!$F$93)*Premissas!$F$73</f>
        <v/>
      </c>
      <c r="BZ38" s="26">
        <f>(BZ24*Premissas!$F$86+BZ30*Premissas!$F$93)*Premissas!$F$73</f>
        <v/>
      </c>
      <c r="CA38" s="26">
        <f>(CA24*Premissas!$F$86+CA30*Premissas!$F$93)*Premissas!$F$73</f>
        <v/>
      </c>
      <c r="CB38" s="26">
        <f>(CB24*Premissas!$F$86+CB30*Premissas!$F$93)*Premissas!$F$73</f>
        <v/>
      </c>
      <c r="CC38" s="26">
        <f>(CC24*Premissas!$F$86+CC30*Premissas!$F$93)*Premissas!$F$73</f>
        <v/>
      </c>
      <c r="CD38" s="26">
        <f>(CD24*Premissas!$F$86+CD30*Premissas!$F$93)*Premissas!$F$73</f>
        <v/>
      </c>
      <c r="CE38" s="26">
        <f>(CE24*Premissas!$F$86+CE30*Premissas!$F$93)*Premissas!$F$73</f>
        <v/>
      </c>
      <c r="CF38" s="26">
        <f>(CF24*Premissas!$F$86+CF30*Premissas!$F$93)*Premissas!$F$73</f>
        <v/>
      </c>
      <c r="CG38" s="26">
        <f>(CG24*Premissas!$F$86+CG30*Premissas!$F$93)*Premissas!$F$73</f>
        <v/>
      </c>
      <c r="CH38" s="26">
        <f>(CH24*Premissas!$F$86+CH30*Premissas!$F$93)*Premissas!$F$73</f>
        <v/>
      </c>
    </row>
    <row r="39">
      <c r="A39" s="2" t="inlineStr">
        <is>
          <t>Receita bruta</t>
        </is>
      </c>
      <c r="C39" s="30">
        <f>C36+C37+C38</f>
        <v/>
      </c>
      <c r="D39" s="30">
        <f>D36+D37+D38</f>
        <v/>
      </c>
      <c r="E39" s="30">
        <f>E36+E37+E38</f>
        <v/>
      </c>
      <c r="F39" s="30">
        <f>F36+F37+F38</f>
        <v/>
      </c>
      <c r="G39" s="30">
        <f>G36+G37+G38</f>
        <v/>
      </c>
      <c r="H39" s="30">
        <f>H36+H37+H38</f>
        <v/>
      </c>
      <c r="I39" s="30">
        <f>I36+I37+I38</f>
        <v/>
      </c>
      <c r="J39" s="30">
        <f>J36+J37+J38</f>
        <v/>
      </c>
      <c r="K39" s="30">
        <f>K36+K37+K38</f>
        <v/>
      </c>
      <c r="L39" s="30">
        <f>L36+L37+L38</f>
        <v/>
      </c>
      <c r="M39" s="30">
        <f>M36+M37+M38</f>
        <v/>
      </c>
      <c r="N39" s="30">
        <f>N36+N37+N38</f>
        <v/>
      </c>
      <c r="O39" s="30">
        <f>O36+O37+O38</f>
        <v/>
      </c>
      <c r="P39" s="30">
        <f>P36+P37+P38</f>
        <v/>
      </c>
      <c r="Q39" s="30">
        <f>Q36+Q37+Q38</f>
        <v/>
      </c>
      <c r="R39" s="30">
        <f>R36+R37+R38</f>
        <v/>
      </c>
      <c r="S39" s="30">
        <f>S36+S37+S38</f>
        <v/>
      </c>
      <c r="T39" s="30">
        <f>T36+T37+T38</f>
        <v/>
      </c>
      <c r="U39" s="30">
        <f>U36+U37+U38</f>
        <v/>
      </c>
      <c r="V39" s="30">
        <f>V36+V37+V38</f>
        <v/>
      </c>
      <c r="W39" s="30">
        <f>W36+W37+W38</f>
        <v/>
      </c>
      <c r="X39" s="30">
        <f>X36+X37+X38</f>
        <v/>
      </c>
      <c r="Y39" s="30">
        <f>Y36+Y37+Y38</f>
        <v/>
      </c>
      <c r="Z39" s="30">
        <f>Z36+Z37+Z38</f>
        <v/>
      </c>
      <c r="AA39" s="30">
        <f>AA36+AA37+AA38</f>
        <v/>
      </c>
      <c r="AB39" s="30">
        <f>AB36+AB37+AB38</f>
        <v/>
      </c>
      <c r="AC39" s="30">
        <f>AC36+AC37+AC38</f>
        <v/>
      </c>
      <c r="AD39" s="30">
        <f>AD36+AD37+AD38</f>
        <v/>
      </c>
      <c r="AE39" s="30">
        <f>AE36+AE37+AE38</f>
        <v/>
      </c>
      <c r="AF39" s="30">
        <f>AF36+AF37+AF38</f>
        <v/>
      </c>
      <c r="AG39" s="30">
        <f>AG36+AG37+AG38</f>
        <v/>
      </c>
      <c r="AH39" s="30">
        <f>AH36+AH37+AH38</f>
        <v/>
      </c>
      <c r="AI39" s="30">
        <f>AI36+AI37+AI38</f>
        <v/>
      </c>
      <c r="AJ39" s="30">
        <f>AJ36+AJ37+AJ38</f>
        <v/>
      </c>
      <c r="AK39" s="30">
        <f>AK36+AK37+AK38</f>
        <v/>
      </c>
      <c r="AL39" s="30">
        <f>AL36+AL37+AL38</f>
        <v/>
      </c>
      <c r="AM39" s="30">
        <f>AM36+AM37+AM38</f>
        <v/>
      </c>
      <c r="AN39" s="30">
        <f>AN36+AN37+AN38</f>
        <v/>
      </c>
      <c r="AO39" s="30">
        <f>AO36+AO37+AO38</f>
        <v/>
      </c>
      <c r="AP39" s="30">
        <f>AP36+AP37+AP38</f>
        <v/>
      </c>
      <c r="AQ39" s="30">
        <f>AQ36+AQ37+AQ38</f>
        <v/>
      </c>
      <c r="AR39" s="30">
        <f>AR36+AR37+AR38</f>
        <v/>
      </c>
      <c r="AS39" s="30">
        <f>AS36+AS37+AS38</f>
        <v/>
      </c>
      <c r="AT39" s="30">
        <f>AT36+AT37+AT38</f>
        <v/>
      </c>
      <c r="AU39" s="30">
        <f>AU36+AU37+AU38</f>
        <v/>
      </c>
      <c r="AV39" s="30">
        <f>AV36+AV37+AV38</f>
        <v/>
      </c>
      <c r="AW39" s="30">
        <f>AW36+AW37+AW38</f>
        <v/>
      </c>
      <c r="AX39" s="30">
        <f>AX36+AX37+AX38</f>
        <v/>
      </c>
      <c r="AY39" s="30">
        <f>AY36+AY37+AY38</f>
        <v/>
      </c>
      <c r="AZ39" s="30">
        <f>AZ36+AZ37+AZ38</f>
        <v/>
      </c>
      <c r="BA39" s="30">
        <f>BA36+BA37+BA38</f>
        <v/>
      </c>
      <c r="BB39" s="30">
        <f>BB36+BB37+BB38</f>
        <v/>
      </c>
      <c r="BC39" s="30">
        <f>BC36+BC37+BC38</f>
        <v/>
      </c>
      <c r="BD39" s="30">
        <f>BD36+BD37+BD38</f>
        <v/>
      </c>
      <c r="BE39" s="30">
        <f>BE36+BE37+BE38</f>
        <v/>
      </c>
      <c r="BF39" s="30">
        <f>BF36+BF37+BF38</f>
        <v/>
      </c>
      <c r="BG39" s="30">
        <f>BG36+BG37+BG38</f>
        <v/>
      </c>
      <c r="BH39" s="30">
        <f>BH36+BH37+BH38</f>
        <v/>
      </c>
      <c r="BI39" s="30">
        <f>BI36+BI37+BI38</f>
        <v/>
      </c>
      <c r="BJ39" s="30">
        <f>BJ36+BJ37+BJ38</f>
        <v/>
      </c>
      <c r="BK39" s="30">
        <f>BK36+BK37+BK38</f>
        <v/>
      </c>
      <c r="BL39" s="30">
        <f>BL36+BL37+BL38</f>
        <v/>
      </c>
      <c r="BM39" s="30">
        <f>BM36+BM37+BM38</f>
        <v/>
      </c>
      <c r="BN39" s="30">
        <f>BN36+BN37+BN38</f>
        <v/>
      </c>
      <c r="BO39" s="30">
        <f>BO36+BO37+BO38</f>
        <v/>
      </c>
      <c r="BP39" s="30">
        <f>BP36+BP37+BP38</f>
        <v/>
      </c>
      <c r="BQ39" s="30">
        <f>BQ36+BQ37+BQ38</f>
        <v/>
      </c>
      <c r="BR39" s="30">
        <f>BR36+BR37+BR38</f>
        <v/>
      </c>
      <c r="BS39" s="30">
        <f>BS36+BS37+BS38</f>
        <v/>
      </c>
      <c r="BT39" s="30">
        <f>BT36+BT37+BT38</f>
        <v/>
      </c>
      <c r="BU39" s="30">
        <f>BU36+BU37+BU38</f>
        <v/>
      </c>
      <c r="BV39" s="30">
        <f>BV36+BV37+BV38</f>
        <v/>
      </c>
      <c r="BW39" s="30">
        <f>BW36+BW37+BW38</f>
        <v/>
      </c>
      <c r="BX39" s="30">
        <f>BX36+BX37+BX38</f>
        <v/>
      </c>
      <c r="BY39" s="30">
        <f>BY36+BY37+BY38</f>
        <v/>
      </c>
      <c r="BZ39" s="30">
        <f>BZ36+BZ37+BZ38</f>
        <v/>
      </c>
      <c r="CA39" s="30">
        <f>CA36+CA37+CA38</f>
        <v/>
      </c>
      <c r="CB39" s="30">
        <f>CB36+CB37+CB38</f>
        <v/>
      </c>
      <c r="CC39" s="30">
        <f>CC36+CC37+CC38</f>
        <v/>
      </c>
      <c r="CD39" s="30">
        <f>CD36+CD37+CD38</f>
        <v/>
      </c>
      <c r="CE39" s="30">
        <f>CE36+CE37+CE38</f>
        <v/>
      </c>
      <c r="CF39" s="30">
        <f>CF36+CF37+CF38</f>
        <v/>
      </c>
      <c r="CG39" s="30">
        <f>CG36+CG37+CG38</f>
        <v/>
      </c>
      <c r="CH39" s="30">
        <f>CH36+CH37+CH38</f>
        <v/>
      </c>
    </row>
    <row r="40">
      <c r="A40" s="3" t="inlineStr">
        <is>
          <t>Receita recorrente mensal (mensalidades + consultas)</t>
        </is>
      </c>
      <c r="C40" s="26">
        <f>C36+C38</f>
        <v/>
      </c>
      <c r="D40" s="26">
        <f>D36+D38</f>
        <v/>
      </c>
      <c r="E40" s="26">
        <f>E36+E38</f>
        <v/>
      </c>
      <c r="F40" s="26">
        <f>F36+F38</f>
        <v/>
      </c>
      <c r="G40" s="26">
        <f>G36+G38</f>
        <v/>
      </c>
      <c r="H40" s="26">
        <f>H36+H38</f>
        <v/>
      </c>
      <c r="I40" s="26">
        <f>I36+I38</f>
        <v/>
      </c>
      <c r="J40" s="26">
        <f>J36+J38</f>
        <v/>
      </c>
      <c r="K40" s="26">
        <f>K36+K38</f>
        <v/>
      </c>
      <c r="L40" s="26">
        <f>L36+L38</f>
        <v/>
      </c>
      <c r="M40" s="26">
        <f>M36+M38</f>
        <v/>
      </c>
      <c r="N40" s="26">
        <f>N36+N38</f>
        <v/>
      </c>
      <c r="O40" s="26">
        <f>O36+O38</f>
        <v/>
      </c>
      <c r="P40" s="26">
        <f>P36+P38</f>
        <v/>
      </c>
      <c r="Q40" s="26">
        <f>Q36+Q38</f>
        <v/>
      </c>
      <c r="R40" s="26">
        <f>R36+R38</f>
        <v/>
      </c>
      <c r="S40" s="26">
        <f>S36+S38</f>
        <v/>
      </c>
      <c r="T40" s="26">
        <f>T36+T38</f>
        <v/>
      </c>
      <c r="U40" s="26">
        <f>U36+U38</f>
        <v/>
      </c>
      <c r="V40" s="26">
        <f>V36+V38</f>
        <v/>
      </c>
      <c r="W40" s="26">
        <f>W36+W38</f>
        <v/>
      </c>
      <c r="X40" s="26">
        <f>X36+X38</f>
        <v/>
      </c>
      <c r="Y40" s="26">
        <f>Y36+Y38</f>
        <v/>
      </c>
      <c r="Z40" s="26">
        <f>Z36+Z38</f>
        <v/>
      </c>
      <c r="AA40" s="26">
        <f>AA36+AA38</f>
        <v/>
      </c>
      <c r="AB40" s="26">
        <f>AB36+AB38</f>
        <v/>
      </c>
      <c r="AC40" s="26">
        <f>AC36+AC38</f>
        <v/>
      </c>
      <c r="AD40" s="26">
        <f>AD36+AD38</f>
        <v/>
      </c>
      <c r="AE40" s="26">
        <f>AE36+AE38</f>
        <v/>
      </c>
      <c r="AF40" s="26">
        <f>AF36+AF38</f>
        <v/>
      </c>
      <c r="AG40" s="26">
        <f>AG36+AG38</f>
        <v/>
      </c>
      <c r="AH40" s="26">
        <f>AH36+AH38</f>
        <v/>
      </c>
      <c r="AI40" s="26">
        <f>AI36+AI38</f>
        <v/>
      </c>
      <c r="AJ40" s="26">
        <f>AJ36+AJ38</f>
        <v/>
      </c>
      <c r="AK40" s="26">
        <f>AK36+AK38</f>
        <v/>
      </c>
      <c r="AL40" s="26">
        <f>AL36+AL38</f>
        <v/>
      </c>
      <c r="AM40" s="26">
        <f>AM36+AM38</f>
        <v/>
      </c>
      <c r="AN40" s="26">
        <f>AN36+AN38</f>
        <v/>
      </c>
      <c r="AO40" s="26">
        <f>AO36+AO38</f>
        <v/>
      </c>
      <c r="AP40" s="26">
        <f>AP36+AP38</f>
        <v/>
      </c>
      <c r="AQ40" s="26">
        <f>AQ36+AQ38</f>
        <v/>
      </c>
      <c r="AR40" s="26">
        <f>AR36+AR38</f>
        <v/>
      </c>
      <c r="AS40" s="26">
        <f>AS36+AS38</f>
        <v/>
      </c>
      <c r="AT40" s="26">
        <f>AT36+AT38</f>
        <v/>
      </c>
      <c r="AU40" s="26">
        <f>AU36+AU38</f>
        <v/>
      </c>
      <c r="AV40" s="26">
        <f>AV36+AV38</f>
        <v/>
      </c>
      <c r="AW40" s="26">
        <f>AW36+AW38</f>
        <v/>
      </c>
      <c r="AX40" s="26">
        <f>AX36+AX38</f>
        <v/>
      </c>
      <c r="AY40" s="26">
        <f>AY36+AY38</f>
        <v/>
      </c>
      <c r="AZ40" s="26">
        <f>AZ36+AZ38</f>
        <v/>
      </c>
      <c r="BA40" s="26">
        <f>BA36+BA38</f>
        <v/>
      </c>
      <c r="BB40" s="26">
        <f>BB36+BB38</f>
        <v/>
      </c>
      <c r="BC40" s="26">
        <f>BC36+BC38</f>
        <v/>
      </c>
      <c r="BD40" s="26">
        <f>BD36+BD38</f>
        <v/>
      </c>
      <c r="BE40" s="26">
        <f>BE36+BE38</f>
        <v/>
      </c>
      <c r="BF40" s="26">
        <f>BF36+BF38</f>
        <v/>
      </c>
      <c r="BG40" s="26">
        <f>BG36+BG38</f>
        <v/>
      </c>
      <c r="BH40" s="26">
        <f>BH36+BH38</f>
        <v/>
      </c>
      <c r="BI40" s="26">
        <f>BI36+BI38</f>
        <v/>
      </c>
      <c r="BJ40" s="26">
        <f>BJ36+BJ38</f>
        <v/>
      </c>
      <c r="BK40" s="26">
        <f>BK36+BK38</f>
        <v/>
      </c>
      <c r="BL40" s="26">
        <f>BL36+BL38</f>
        <v/>
      </c>
      <c r="BM40" s="26">
        <f>BM36+BM38</f>
        <v/>
      </c>
      <c r="BN40" s="26">
        <f>BN36+BN38</f>
        <v/>
      </c>
      <c r="BO40" s="26">
        <f>BO36+BO38</f>
        <v/>
      </c>
      <c r="BP40" s="26">
        <f>BP36+BP38</f>
        <v/>
      </c>
      <c r="BQ40" s="26">
        <f>BQ36+BQ38</f>
        <v/>
      </c>
      <c r="BR40" s="26">
        <f>BR36+BR38</f>
        <v/>
      </c>
      <c r="BS40" s="26">
        <f>BS36+BS38</f>
        <v/>
      </c>
      <c r="BT40" s="26">
        <f>BT36+BT38</f>
        <v/>
      </c>
      <c r="BU40" s="26">
        <f>BU36+BU38</f>
        <v/>
      </c>
      <c r="BV40" s="26">
        <f>BV36+BV38</f>
        <v/>
      </c>
      <c r="BW40" s="26">
        <f>BW36+BW38</f>
        <v/>
      </c>
      <c r="BX40" s="26">
        <f>BX36+BX38</f>
        <v/>
      </c>
      <c r="BY40" s="26">
        <f>BY36+BY38</f>
        <v/>
      </c>
      <c r="BZ40" s="26">
        <f>BZ36+BZ38</f>
        <v/>
      </c>
      <c r="CA40" s="26">
        <f>CA36+CA38</f>
        <v/>
      </c>
      <c r="CB40" s="26">
        <f>CB36+CB38</f>
        <v/>
      </c>
      <c r="CC40" s="26">
        <f>CC36+CC38</f>
        <v/>
      </c>
      <c r="CD40" s="26">
        <f>CD36+CD38</f>
        <v/>
      </c>
      <c r="CE40" s="26">
        <f>CE36+CE38</f>
        <v/>
      </c>
      <c r="CF40" s="26">
        <f>CF36+CF38</f>
        <v/>
      </c>
      <c r="CG40" s="26">
        <f>CG36+CG38</f>
        <v/>
      </c>
      <c r="CH40" s="26">
        <f>CH36+CH38</f>
        <v/>
      </c>
    </row>
    <row r="41">
      <c r="A41" s="2" t="inlineStr">
        <is>
          <t>Receita recorrente anualizada (MRR × 12)</t>
        </is>
      </c>
      <c r="C41" s="30">
        <f>C40*12</f>
        <v/>
      </c>
      <c r="D41" s="30">
        <f>D40*12</f>
        <v/>
      </c>
      <c r="E41" s="30">
        <f>E40*12</f>
        <v/>
      </c>
      <c r="F41" s="30">
        <f>F40*12</f>
        <v/>
      </c>
      <c r="G41" s="30">
        <f>G40*12</f>
        <v/>
      </c>
      <c r="H41" s="30">
        <f>H40*12</f>
        <v/>
      </c>
      <c r="I41" s="30">
        <f>I40*12</f>
        <v/>
      </c>
      <c r="J41" s="30">
        <f>J40*12</f>
        <v/>
      </c>
      <c r="K41" s="30">
        <f>K40*12</f>
        <v/>
      </c>
      <c r="L41" s="30">
        <f>L40*12</f>
        <v/>
      </c>
      <c r="M41" s="30">
        <f>M40*12</f>
        <v/>
      </c>
      <c r="N41" s="30">
        <f>N40*12</f>
        <v/>
      </c>
      <c r="O41" s="30">
        <f>O40*12</f>
        <v/>
      </c>
      <c r="P41" s="30">
        <f>P40*12</f>
        <v/>
      </c>
      <c r="Q41" s="30">
        <f>Q40*12</f>
        <v/>
      </c>
      <c r="R41" s="30">
        <f>R40*12</f>
        <v/>
      </c>
      <c r="S41" s="30">
        <f>S40*12</f>
        <v/>
      </c>
      <c r="T41" s="30">
        <f>T40*12</f>
        <v/>
      </c>
      <c r="U41" s="30">
        <f>U40*12</f>
        <v/>
      </c>
      <c r="V41" s="30">
        <f>V40*12</f>
        <v/>
      </c>
      <c r="W41" s="30">
        <f>W40*12</f>
        <v/>
      </c>
      <c r="X41" s="30">
        <f>X40*12</f>
        <v/>
      </c>
      <c r="Y41" s="30">
        <f>Y40*12</f>
        <v/>
      </c>
      <c r="Z41" s="30">
        <f>Z40*12</f>
        <v/>
      </c>
      <c r="AA41" s="30">
        <f>AA40*12</f>
        <v/>
      </c>
      <c r="AB41" s="30">
        <f>AB40*12</f>
        <v/>
      </c>
      <c r="AC41" s="30">
        <f>AC40*12</f>
        <v/>
      </c>
      <c r="AD41" s="30">
        <f>AD40*12</f>
        <v/>
      </c>
      <c r="AE41" s="30">
        <f>AE40*12</f>
        <v/>
      </c>
      <c r="AF41" s="30">
        <f>AF40*12</f>
        <v/>
      </c>
      <c r="AG41" s="30">
        <f>AG40*12</f>
        <v/>
      </c>
      <c r="AH41" s="30">
        <f>AH40*12</f>
        <v/>
      </c>
      <c r="AI41" s="30">
        <f>AI40*12</f>
        <v/>
      </c>
      <c r="AJ41" s="30">
        <f>AJ40*12</f>
        <v/>
      </c>
      <c r="AK41" s="30">
        <f>AK40*12</f>
        <v/>
      </c>
      <c r="AL41" s="30">
        <f>AL40*12</f>
        <v/>
      </c>
      <c r="AM41" s="30">
        <f>AM40*12</f>
        <v/>
      </c>
      <c r="AN41" s="30">
        <f>AN40*12</f>
        <v/>
      </c>
      <c r="AO41" s="30">
        <f>AO40*12</f>
        <v/>
      </c>
      <c r="AP41" s="30">
        <f>AP40*12</f>
        <v/>
      </c>
      <c r="AQ41" s="30">
        <f>AQ40*12</f>
        <v/>
      </c>
      <c r="AR41" s="30">
        <f>AR40*12</f>
        <v/>
      </c>
      <c r="AS41" s="30">
        <f>AS40*12</f>
        <v/>
      </c>
      <c r="AT41" s="30">
        <f>AT40*12</f>
        <v/>
      </c>
      <c r="AU41" s="30">
        <f>AU40*12</f>
        <v/>
      </c>
      <c r="AV41" s="30">
        <f>AV40*12</f>
        <v/>
      </c>
      <c r="AW41" s="30">
        <f>AW40*12</f>
        <v/>
      </c>
      <c r="AX41" s="30">
        <f>AX40*12</f>
        <v/>
      </c>
      <c r="AY41" s="30">
        <f>AY40*12</f>
        <v/>
      </c>
      <c r="AZ41" s="30">
        <f>AZ40*12</f>
        <v/>
      </c>
      <c r="BA41" s="30">
        <f>BA40*12</f>
        <v/>
      </c>
      <c r="BB41" s="30">
        <f>BB40*12</f>
        <v/>
      </c>
      <c r="BC41" s="30">
        <f>BC40*12</f>
        <v/>
      </c>
      <c r="BD41" s="30">
        <f>BD40*12</f>
        <v/>
      </c>
      <c r="BE41" s="30">
        <f>BE40*12</f>
        <v/>
      </c>
      <c r="BF41" s="30">
        <f>BF40*12</f>
        <v/>
      </c>
      <c r="BG41" s="30">
        <f>BG40*12</f>
        <v/>
      </c>
      <c r="BH41" s="30">
        <f>BH40*12</f>
        <v/>
      </c>
      <c r="BI41" s="30">
        <f>BI40*12</f>
        <v/>
      </c>
      <c r="BJ41" s="30">
        <f>BJ40*12</f>
        <v/>
      </c>
      <c r="BK41" s="30">
        <f>BK40*12</f>
        <v/>
      </c>
      <c r="BL41" s="30">
        <f>BL40*12</f>
        <v/>
      </c>
      <c r="BM41" s="30">
        <f>BM40*12</f>
        <v/>
      </c>
      <c r="BN41" s="30">
        <f>BN40*12</f>
        <v/>
      </c>
      <c r="BO41" s="30">
        <f>BO40*12</f>
        <v/>
      </c>
      <c r="BP41" s="30">
        <f>BP40*12</f>
        <v/>
      </c>
      <c r="BQ41" s="30">
        <f>BQ40*12</f>
        <v/>
      </c>
      <c r="BR41" s="30">
        <f>BR40*12</f>
        <v/>
      </c>
      <c r="BS41" s="30">
        <f>BS40*12</f>
        <v/>
      </c>
      <c r="BT41" s="30">
        <f>BT40*12</f>
        <v/>
      </c>
      <c r="BU41" s="30">
        <f>BU40*12</f>
        <v/>
      </c>
      <c r="BV41" s="30">
        <f>BV40*12</f>
        <v/>
      </c>
      <c r="BW41" s="30">
        <f>BW40*12</f>
        <v/>
      </c>
      <c r="BX41" s="30">
        <f>BX40*12</f>
        <v/>
      </c>
      <c r="BY41" s="30">
        <f>BY40*12</f>
        <v/>
      </c>
      <c r="BZ41" s="30">
        <f>BZ40*12</f>
        <v/>
      </c>
      <c r="CA41" s="30">
        <f>CA40*12</f>
        <v/>
      </c>
      <c r="CB41" s="30">
        <f>CB40*12</f>
        <v/>
      </c>
      <c r="CC41" s="30">
        <f>CC40*12</f>
        <v/>
      </c>
      <c r="CD41" s="30">
        <f>CD40*12</f>
        <v/>
      </c>
      <c r="CE41" s="30">
        <f>CE40*12</f>
        <v/>
      </c>
      <c r="CF41" s="30">
        <f>CF40*12</f>
        <v/>
      </c>
      <c r="CG41" s="30">
        <f>CG40*12</f>
        <v/>
      </c>
      <c r="CH41" s="30">
        <f>CH40*12</f>
        <v/>
      </c>
    </row>
    <row r="42">
      <c r="A42" s="3" t="inlineStr">
        <is>
          <t>Impostos sobre a receita</t>
        </is>
      </c>
      <c r="C42" s="26">
        <f>C39*IF(SUMIFS($C$39:$CH$39,$C$2:$CH$2,"&gt;="&amp;(C2-12),$C$2:$CH$2,"&lt;"&amp;C2)&gt;4800000,Premissas!$F$10,Premissas!$F$9)</f>
        <v/>
      </c>
      <c r="D42" s="26">
        <f>D39*IF(SUMIFS($C$39:$CH$39,$C$2:$CH$2,"&gt;="&amp;(D2-12),$C$2:$CH$2,"&lt;"&amp;D2)&gt;4800000,Premissas!$F$10,Premissas!$F$9)</f>
        <v/>
      </c>
      <c r="E42" s="26">
        <f>E39*IF(SUMIFS($C$39:$CH$39,$C$2:$CH$2,"&gt;="&amp;(E2-12),$C$2:$CH$2,"&lt;"&amp;E2)&gt;4800000,Premissas!$F$10,Premissas!$F$9)</f>
        <v/>
      </c>
      <c r="F42" s="26">
        <f>F39*IF(SUMIFS($C$39:$CH$39,$C$2:$CH$2,"&gt;="&amp;(F2-12),$C$2:$CH$2,"&lt;"&amp;F2)&gt;4800000,Premissas!$F$10,Premissas!$F$9)</f>
        <v/>
      </c>
      <c r="G42" s="26">
        <f>G39*IF(SUMIFS($C$39:$CH$39,$C$2:$CH$2,"&gt;="&amp;(G2-12),$C$2:$CH$2,"&lt;"&amp;G2)&gt;4800000,Premissas!$F$10,Premissas!$F$9)</f>
        <v/>
      </c>
      <c r="H42" s="26">
        <f>H39*IF(SUMIFS($C$39:$CH$39,$C$2:$CH$2,"&gt;="&amp;(H2-12),$C$2:$CH$2,"&lt;"&amp;H2)&gt;4800000,Premissas!$F$10,Premissas!$F$9)</f>
        <v/>
      </c>
      <c r="I42" s="26">
        <f>I39*IF(SUMIFS($C$39:$CH$39,$C$2:$CH$2,"&gt;="&amp;(I2-12),$C$2:$CH$2,"&lt;"&amp;I2)&gt;4800000,Premissas!$F$10,Premissas!$F$9)</f>
        <v/>
      </c>
      <c r="J42" s="26">
        <f>J39*IF(SUMIFS($C$39:$CH$39,$C$2:$CH$2,"&gt;="&amp;(J2-12),$C$2:$CH$2,"&lt;"&amp;J2)&gt;4800000,Premissas!$F$10,Premissas!$F$9)</f>
        <v/>
      </c>
      <c r="K42" s="26">
        <f>K39*IF(SUMIFS($C$39:$CH$39,$C$2:$CH$2,"&gt;="&amp;(K2-12),$C$2:$CH$2,"&lt;"&amp;K2)&gt;4800000,Premissas!$F$10,Premissas!$F$9)</f>
        <v/>
      </c>
      <c r="L42" s="26">
        <f>L39*IF(SUMIFS($C$39:$CH$39,$C$2:$CH$2,"&gt;="&amp;(L2-12),$C$2:$CH$2,"&lt;"&amp;L2)&gt;4800000,Premissas!$F$10,Premissas!$F$9)</f>
        <v/>
      </c>
      <c r="M42" s="26">
        <f>M39*IF(SUMIFS($C$39:$CH$39,$C$2:$CH$2,"&gt;="&amp;(M2-12),$C$2:$CH$2,"&lt;"&amp;M2)&gt;4800000,Premissas!$F$10,Premissas!$F$9)</f>
        <v/>
      </c>
      <c r="N42" s="26">
        <f>N39*IF(SUMIFS($C$39:$CH$39,$C$2:$CH$2,"&gt;="&amp;(N2-12),$C$2:$CH$2,"&lt;"&amp;N2)&gt;4800000,Premissas!$F$10,Premissas!$F$9)</f>
        <v/>
      </c>
      <c r="O42" s="26">
        <f>O39*IF(SUMIFS($C$39:$CH$39,$C$2:$CH$2,"&gt;="&amp;(O2-12),$C$2:$CH$2,"&lt;"&amp;O2)&gt;4800000,Premissas!$F$10,Premissas!$F$9)</f>
        <v/>
      </c>
      <c r="P42" s="26">
        <f>P39*IF(SUMIFS($C$39:$CH$39,$C$2:$CH$2,"&gt;="&amp;(P2-12),$C$2:$CH$2,"&lt;"&amp;P2)&gt;4800000,Premissas!$F$10,Premissas!$F$9)</f>
        <v/>
      </c>
      <c r="Q42" s="26">
        <f>Q39*IF(SUMIFS($C$39:$CH$39,$C$2:$CH$2,"&gt;="&amp;(Q2-12),$C$2:$CH$2,"&lt;"&amp;Q2)&gt;4800000,Premissas!$F$10,Premissas!$F$9)</f>
        <v/>
      </c>
      <c r="R42" s="26">
        <f>R39*IF(SUMIFS($C$39:$CH$39,$C$2:$CH$2,"&gt;="&amp;(R2-12),$C$2:$CH$2,"&lt;"&amp;R2)&gt;4800000,Premissas!$F$10,Premissas!$F$9)</f>
        <v/>
      </c>
      <c r="S42" s="26">
        <f>S39*IF(SUMIFS($C$39:$CH$39,$C$2:$CH$2,"&gt;="&amp;(S2-12),$C$2:$CH$2,"&lt;"&amp;S2)&gt;4800000,Premissas!$F$10,Premissas!$F$9)</f>
        <v/>
      </c>
      <c r="T42" s="26">
        <f>T39*IF(SUMIFS($C$39:$CH$39,$C$2:$CH$2,"&gt;="&amp;(T2-12),$C$2:$CH$2,"&lt;"&amp;T2)&gt;4800000,Premissas!$F$10,Premissas!$F$9)</f>
        <v/>
      </c>
      <c r="U42" s="26">
        <f>U39*IF(SUMIFS($C$39:$CH$39,$C$2:$CH$2,"&gt;="&amp;(U2-12),$C$2:$CH$2,"&lt;"&amp;U2)&gt;4800000,Premissas!$F$10,Premissas!$F$9)</f>
        <v/>
      </c>
      <c r="V42" s="26">
        <f>V39*IF(SUMIFS($C$39:$CH$39,$C$2:$CH$2,"&gt;="&amp;(V2-12),$C$2:$CH$2,"&lt;"&amp;V2)&gt;4800000,Premissas!$F$10,Premissas!$F$9)</f>
        <v/>
      </c>
      <c r="W42" s="26">
        <f>W39*IF(SUMIFS($C$39:$CH$39,$C$2:$CH$2,"&gt;="&amp;(W2-12),$C$2:$CH$2,"&lt;"&amp;W2)&gt;4800000,Premissas!$F$10,Premissas!$F$9)</f>
        <v/>
      </c>
      <c r="X42" s="26">
        <f>X39*IF(SUMIFS($C$39:$CH$39,$C$2:$CH$2,"&gt;="&amp;(X2-12),$C$2:$CH$2,"&lt;"&amp;X2)&gt;4800000,Premissas!$F$10,Premissas!$F$9)</f>
        <v/>
      </c>
      <c r="Y42" s="26">
        <f>Y39*IF(SUMIFS($C$39:$CH$39,$C$2:$CH$2,"&gt;="&amp;(Y2-12),$C$2:$CH$2,"&lt;"&amp;Y2)&gt;4800000,Premissas!$F$10,Premissas!$F$9)</f>
        <v/>
      </c>
      <c r="Z42" s="26">
        <f>Z39*IF(SUMIFS($C$39:$CH$39,$C$2:$CH$2,"&gt;="&amp;(Z2-12),$C$2:$CH$2,"&lt;"&amp;Z2)&gt;4800000,Premissas!$F$10,Premissas!$F$9)</f>
        <v/>
      </c>
      <c r="AA42" s="26">
        <f>AA39*IF(SUMIFS($C$39:$CH$39,$C$2:$CH$2,"&gt;="&amp;(AA2-12),$C$2:$CH$2,"&lt;"&amp;AA2)&gt;4800000,Premissas!$F$10,Premissas!$F$9)</f>
        <v/>
      </c>
      <c r="AB42" s="26">
        <f>AB39*IF(SUMIFS($C$39:$CH$39,$C$2:$CH$2,"&gt;="&amp;(AB2-12),$C$2:$CH$2,"&lt;"&amp;AB2)&gt;4800000,Premissas!$F$10,Premissas!$F$9)</f>
        <v/>
      </c>
      <c r="AC42" s="26">
        <f>AC39*IF(SUMIFS($C$39:$CH$39,$C$2:$CH$2,"&gt;="&amp;(AC2-12),$C$2:$CH$2,"&lt;"&amp;AC2)&gt;4800000,Premissas!$F$10,Premissas!$F$9)</f>
        <v/>
      </c>
      <c r="AD42" s="26">
        <f>AD39*IF(SUMIFS($C$39:$CH$39,$C$2:$CH$2,"&gt;="&amp;(AD2-12),$C$2:$CH$2,"&lt;"&amp;AD2)&gt;4800000,Premissas!$F$10,Premissas!$F$9)</f>
        <v/>
      </c>
      <c r="AE42" s="26">
        <f>AE39*IF(SUMIFS($C$39:$CH$39,$C$2:$CH$2,"&gt;="&amp;(AE2-12),$C$2:$CH$2,"&lt;"&amp;AE2)&gt;4800000,Premissas!$F$10,Premissas!$F$9)</f>
        <v/>
      </c>
      <c r="AF42" s="26">
        <f>AF39*IF(SUMIFS($C$39:$CH$39,$C$2:$CH$2,"&gt;="&amp;(AF2-12),$C$2:$CH$2,"&lt;"&amp;AF2)&gt;4800000,Premissas!$F$10,Premissas!$F$9)</f>
        <v/>
      </c>
      <c r="AG42" s="26">
        <f>AG39*IF(SUMIFS($C$39:$CH$39,$C$2:$CH$2,"&gt;="&amp;(AG2-12),$C$2:$CH$2,"&lt;"&amp;AG2)&gt;4800000,Premissas!$F$10,Premissas!$F$9)</f>
        <v/>
      </c>
      <c r="AH42" s="26">
        <f>AH39*IF(SUMIFS($C$39:$CH$39,$C$2:$CH$2,"&gt;="&amp;(AH2-12),$C$2:$CH$2,"&lt;"&amp;AH2)&gt;4800000,Premissas!$F$10,Premissas!$F$9)</f>
        <v/>
      </c>
      <c r="AI42" s="26">
        <f>AI39*IF(SUMIFS($C$39:$CH$39,$C$2:$CH$2,"&gt;="&amp;(AI2-12),$C$2:$CH$2,"&lt;"&amp;AI2)&gt;4800000,Premissas!$F$10,Premissas!$F$9)</f>
        <v/>
      </c>
      <c r="AJ42" s="26">
        <f>AJ39*IF(SUMIFS($C$39:$CH$39,$C$2:$CH$2,"&gt;="&amp;(AJ2-12),$C$2:$CH$2,"&lt;"&amp;AJ2)&gt;4800000,Premissas!$F$10,Premissas!$F$9)</f>
        <v/>
      </c>
      <c r="AK42" s="26">
        <f>AK39*IF(SUMIFS($C$39:$CH$39,$C$2:$CH$2,"&gt;="&amp;(AK2-12),$C$2:$CH$2,"&lt;"&amp;AK2)&gt;4800000,Premissas!$F$10,Premissas!$F$9)</f>
        <v/>
      </c>
      <c r="AL42" s="26">
        <f>AL39*IF(SUMIFS($C$39:$CH$39,$C$2:$CH$2,"&gt;="&amp;(AL2-12),$C$2:$CH$2,"&lt;"&amp;AL2)&gt;4800000,Premissas!$F$10,Premissas!$F$9)</f>
        <v/>
      </c>
      <c r="AM42" s="26">
        <f>AM39*IF(SUMIFS($C$39:$CH$39,$C$2:$CH$2,"&gt;="&amp;(AM2-12),$C$2:$CH$2,"&lt;"&amp;AM2)&gt;4800000,Premissas!$F$10,Premissas!$F$9)</f>
        <v/>
      </c>
      <c r="AN42" s="26">
        <f>AN39*IF(SUMIFS($C$39:$CH$39,$C$2:$CH$2,"&gt;="&amp;(AN2-12),$C$2:$CH$2,"&lt;"&amp;AN2)&gt;4800000,Premissas!$F$10,Premissas!$F$9)</f>
        <v/>
      </c>
      <c r="AO42" s="26">
        <f>AO39*IF(SUMIFS($C$39:$CH$39,$C$2:$CH$2,"&gt;="&amp;(AO2-12),$C$2:$CH$2,"&lt;"&amp;AO2)&gt;4800000,Premissas!$F$10,Premissas!$F$9)</f>
        <v/>
      </c>
      <c r="AP42" s="26">
        <f>AP39*IF(SUMIFS($C$39:$CH$39,$C$2:$CH$2,"&gt;="&amp;(AP2-12),$C$2:$CH$2,"&lt;"&amp;AP2)&gt;4800000,Premissas!$F$10,Premissas!$F$9)</f>
        <v/>
      </c>
      <c r="AQ42" s="26">
        <f>AQ39*IF(SUMIFS($C$39:$CH$39,$C$2:$CH$2,"&gt;="&amp;(AQ2-12),$C$2:$CH$2,"&lt;"&amp;AQ2)&gt;4800000,Premissas!$F$10,Premissas!$F$9)</f>
        <v/>
      </c>
      <c r="AR42" s="26">
        <f>AR39*IF(SUMIFS($C$39:$CH$39,$C$2:$CH$2,"&gt;="&amp;(AR2-12),$C$2:$CH$2,"&lt;"&amp;AR2)&gt;4800000,Premissas!$F$10,Premissas!$F$9)</f>
        <v/>
      </c>
      <c r="AS42" s="26">
        <f>AS39*IF(SUMIFS($C$39:$CH$39,$C$2:$CH$2,"&gt;="&amp;(AS2-12),$C$2:$CH$2,"&lt;"&amp;AS2)&gt;4800000,Premissas!$F$10,Premissas!$F$9)</f>
        <v/>
      </c>
      <c r="AT42" s="26">
        <f>AT39*IF(SUMIFS($C$39:$CH$39,$C$2:$CH$2,"&gt;="&amp;(AT2-12),$C$2:$CH$2,"&lt;"&amp;AT2)&gt;4800000,Premissas!$F$10,Premissas!$F$9)</f>
        <v/>
      </c>
      <c r="AU42" s="26">
        <f>AU39*IF(SUMIFS($C$39:$CH$39,$C$2:$CH$2,"&gt;="&amp;(AU2-12),$C$2:$CH$2,"&lt;"&amp;AU2)&gt;4800000,Premissas!$F$10,Premissas!$F$9)</f>
        <v/>
      </c>
      <c r="AV42" s="26">
        <f>AV39*IF(SUMIFS($C$39:$CH$39,$C$2:$CH$2,"&gt;="&amp;(AV2-12),$C$2:$CH$2,"&lt;"&amp;AV2)&gt;4800000,Premissas!$F$10,Premissas!$F$9)</f>
        <v/>
      </c>
      <c r="AW42" s="26">
        <f>AW39*IF(SUMIFS($C$39:$CH$39,$C$2:$CH$2,"&gt;="&amp;(AW2-12),$C$2:$CH$2,"&lt;"&amp;AW2)&gt;4800000,Premissas!$F$10,Premissas!$F$9)</f>
        <v/>
      </c>
      <c r="AX42" s="26">
        <f>AX39*IF(SUMIFS($C$39:$CH$39,$C$2:$CH$2,"&gt;="&amp;(AX2-12),$C$2:$CH$2,"&lt;"&amp;AX2)&gt;4800000,Premissas!$F$10,Premissas!$F$9)</f>
        <v/>
      </c>
      <c r="AY42" s="26">
        <f>AY39*IF(SUMIFS($C$39:$CH$39,$C$2:$CH$2,"&gt;="&amp;(AY2-12),$C$2:$CH$2,"&lt;"&amp;AY2)&gt;4800000,Premissas!$F$10,Premissas!$F$9)</f>
        <v/>
      </c>
      <c r="AZ42" s="26">
        <f>AZ39*IF(SUMIFS($C$39:$CH$39,$C$2:$CH$2,"&gt;="&amp;(AZ2-12),$C$2:$CH$2,"&lt;"&amp;AZ2)&gt;4800000,Premissas!$F$10,Premissas!$F$9)</f>
        <v/>
      </c>
      <c r="BA42" s="26">
        <f>BA39*IF(SUMIFS($C$39:$CH$39,$C$2:$CH$2,"&gt;="&amp;(BA2-12),$C$2:$CH$2,"&lt;"&amp;BA2)&gt;4800000,Premissas!$F$10,Premissas!$F$9)</f>
        <v/>
      </c>
      <c r="BB42" s="26">
        <f>BB39*IF(SUMIFS($C$39:$CH$39,$C$2:$CH$2,"&gt;="&amp;(BB2-12),$C$2:$CH$2,"&lt;"&amp;BB2)&gt;4800000,Premissas!$F$10,Premissas!$F$9)</f>
        <v/>
      </c>
      <c r="BC42" s="26">
        <f>BC39*IF(SUMIFS($C$39:$CH$39,$C$2:$CH$2,"&gt;="&amp;(BC2-12),$C$2:$CH$2,"&lt;"&amp;BC2)&gt;4800000,Premissas!$F$10,Premissas!$F$9)</f>
        <v/>
      </c>
      <c r="BD42" s="26">
        <f>BD39*IF(SUMIFS($C$39:$CH$39,$C$2:$CH$2,"&gt;="&amp;(BD2-12),$C$2:$CH$2,"&lt;"&amp;BD2)&gt;4800000,Premissas!$F$10,Premissas!$F$9)</f>
        <v/>
      </c>
      <c r="BE42" s="26">
        <f>BE39*IF(SUMIFS($C$39:$CH$39,$C$2:$CH$2,"&gt;="&amp;(BE2-12),$C$2:$CH$2,"&lt;"&amp;BE2)&gt;4800000,Premissas!$F$10,Premissas!$F$9)</f>
        <v/>
      </c>
      <c r="BF42" s="26">
        <f>BF39*IF(SUMIFS($C$39:$CH$39,$C$2:$CH$2,"&gt;="&amp;(BF2-12),$C$2:$CH$2,"&lt;"&amp;BF2)&gt;4800000,Premissas!$F$10,Premissas!$F$9)</f>
        <v/>
      </c>
      <c r="BG42" s="26">
        <f>BG39*IF(SUMIFS($C$39:$CH$39,$C$2:$CH$2,"&gt;="&amp;(BG2-12),$C$2:$CH$2,"&lt;"&amp;BG2)&gt;4800000,Premissas!$F$10,Premissas!$F$9)</f>
        <v/>
      </c>
      <c r="BH42" s="26">
        <f>BH39*IF(SUMIFS($C$39:$CH$39,$C$2:$CH$2,"&gt;="&amp;(BH2-12),$C$2:$CH$2,"&lt;"&amp;BH2)&gt;4800000,Premissas!$F$10,Premissas!$F$9)</f>
        <v/>
      </c>
      <c r="BI42" s="26">
        <f>BI39*IF(SUMIFS($C$39:$CH$39,$C$2:$CH$2,"&gt;="&amp;(BI2-12),$C$2:$CH$2,"&lt;"&amp;BI2)&gt;4800000,Premissas!$F$10,Premissas!$F$9)</f>
        <v/>
      </c>
      <c r="BJ42" s="26">
        <f>BJ39*IF(SUMIFS($C$39:$CH$39,$C$2:$CH$2,"&gt;="&amp;(BJ2-12),$C$2:$CH$2,"&lt;"&amp;BJ2)&gt;4800000,Premissas!$F$10,Premissas!$F$9)</f>
        <v/>
      </c>
      <c r="BK42" s="26">
        <f>BK39*IF(SUMIFS($C$39:$CH$39,$C$2:$CH$2,"&gt;="&amp;(BK2-12),$C$2:$CH$2,"&lt;"&amp;BK2)&gt;4800000,Premissas!$F$10,Premissas!$F$9)</f>
        <v/>
      </c>
      <c r="BL42" s="26">
        <f>BL39*IF(SUMIFS($C$39:$CH$39,$C$2:$CH$2,"&gt;="&amp;(BL2-12),$C$2:$CH$2,"&lt;"&amp;BL2)&gt;4800000,Premissas!$F$10,Premissas!$F$9)</f>
        <v/>
      </c>
      <c r="BM42" s="26">
        <f>BM39*IF(SUMIFS($C$39:$CH$39,$C$2:$CH$2,"&gt;="&amp;(BM2-12),$C$2:$CH$2,"&lt;"&amp;BM2)&gt;4800000,Premissas!$F$10,Premissas!$F$9)</f>
        <v/>
      </c>
      <c r="BN42" s="26">
        <f>BN39*IF(SUMIFS($C$39:$CH$39,$C$2:$CH$2,"&gt;="&amp;(BN2-12),$C$2:$CH$2,"&lt;"&amp;BN2)&gt;4800000,Premissas!$F$10,Premissas!$F$9)</f>
        <v/>
      </c>
      <c r="BO42" s="26">
        <f>BO39*IF(SUMIFS($C$39:$CH$39,$C$2:$CH$2,"&gt;="&amp;(BO2-12),$C$2:$CH$2,"&lt;"&amp;BO2)&gt;4800000,Premissas!$F$10,Premissas!$F$9)</f>
        <v/>
      </c>
      <c r="BP42" s="26">
        <f>BP39*IF(SUMIFS($C$39:$CH$39,$C$2:$CH$2,"&gt;="&amp;(BP2-12),$C$2:$CH$2,"&lt;"&amp;BP2)&gt;4800000,Premissas!$F$10,Premissas!$F$9)</f>
        <v/>
      </c>
      <c r="BQ42" s="26">
        <f>BQ39*IF(SUMIFS($C$39:$CH$39,$C$2:$CH$2,"&gt;="&amp;(BQ2-12),$C$2:$CH$2,"&lt;"&amp;BQ2)&gt;4800000,Premissas!$F$10,Premissas!$F$9)</f>
        <v/>
      </c>
      <c r="BR42" s="26">
        <f>BR39*IF(SUMIFS($C$39:$CH$39,$C$2:$CH$2,"&gt;="&amp;(BR2-12),$C$2:$CH$2,"&lt;"&amp;BR2)&gt;4800000,Premissas!$F$10,Premissas!$F$9)</f>
        <v/>
      </c>
      <c r="BS42" s="26">
        <f>BS39*IF(SUMIFS($C$39:$CH$39,$C$2:$CH$2,"&gt;="&amp;(BS2-12),$C$2:$CH$2,"&lt;"&amp;BS2)&gt;4800000,Premissas!$F$10,Premissas!$F$9)</f>
        <v/>
      </c>
      <c r="BT42" s="26">
        <f>BT39*IF(SUMIFS($C$39:$CH$39,$C$2:$CH$2,"&gt;="&amp;(BT2-12),$C$2:$CH$2,"&lt;"&amp;BT2)&gt;4800000,Premissas!$F$10,Premissas!$F$9)</f>
        <v/>
      </c>
      <c r="BU42" s="26">
        <f>BU39*IF(SUMIFS($C$39:$CH$39,$C$2:$CH$2,"&gt;="&amp;(BU2-12),$C$2:$CH$2,"&lt;"&amp;BU2)&gt;4800000,Premissas!$F$10,Premissas!$F$9)</f>
        <v/>
      </c>
      <c r="BV42" s="26">
        <f>BV39*IF(SUMIFS($C$39:$CH$39,$C$2:$CH$2,"&gt;="&amp;(BV2-12),$C$2:$CH$2,"&lt;"&amp;BV2)&gt;4800000,Premissas!$F$10,Premissas!$F$9)</f>
        <v/>
      </c>
      <c r="BW42" s="26">
        <f>BW39*IF(SUMIFS($C$39:$CH$39,$C$2:$CH$2,"&gt;="&amp;(BW2-12),$C$2:$CH$2,"&lt;"&amp;BW2)&gt;4800000,Premissas!$F$10,Premissas!$F$9)</f>
        <v/>
      </c>
      <c r="BX42" s="26">
        <f>BX39*IF(SUMIFS($C$39:$CH$39,$C$2:$CH$2,"&gt;="&amp;(BX2-12),$C$2:$CH$2,"&lt;"&amp;BX2)&gt;4800000,Premissas!$F$10,Premissas!$F$9)</f>
        <v/>
      </c>
      <c r="BY42" s="26">
        <f>BY39*IF(SUMIFS($C$39:$CH$39,$C$2:$CH$2,"&gt;="&amp;(BY2-12),$C$2:$CH$2,"&lt;"&amp;BY2)&gt;4800000,Premissas!$F$10,Premissas!$F$9)</f>
        <v/>
      </c>
      <c r="BZ42" s="26">
        <f>BZ39*IF(SUMIFS($C$39:$CH$39,$C$2:$CH$2,"&gt;="&amp;(BZ2-12),$C$2:$CH$2,"&lt;"&amp;BZ2)&gt;4800000,Premissas!$F$10,Premissas!$F$9)</f>
        <v/>
      </c>
      <c r="CA42" s="26">
        <f>CA39*IF(SUMIFS($C$39:$CH$39,$C$2:$CH$2,"&gt;="&amp;(CA2-12),$C$2:$CH$2,"&lt;"&amp;CA2)&gt;4800000,Premissas!$F$10,Premissas!$F$9)</f>
        <v/>
      </c>
      <c r="CB42" s="26">
        <f>CB39*IF(SUMIFS($C$39:$CH$39,$C$2:$CH$2,"&gt;="&amp;(CB2-12),$C$2:$CH$2,"&lt;"&amp;CB2)&gt;4800000,Premissas!$F$10,Premissas!$F$9)</f>
        <v/>
      </c>
      <c r="CC42" s="26">
        <f>CC39*IF(SUMIFS($C$39:$CH$39,$C$2:$CH$2,"&gt;="&amp;(CC2-12),$C$2:$CH$2,"&lt;"&amp;CC2)&gt;4800000,Premissas!$F$10,Premissas!$F$9)</f>
        <v/>
      </c>
      <c r="CD42" s="26">
        <f>CD39*IF(SUMIFS($C$39:$CH$39,$C$2:$CH$2,"&gt;="&amp;(CD2-12),$C$2:$CH$2,"&lt;"&amp;CD2)&gt;4800000,Premissas!$F$10,Premissas!$F$9)</f>
        <v/>
      </c>
      <c r="CE42" s="26">
        <f>CE39*IF(SUMIFS($C$39:$CH$39,$C$2:$CH$2,"&gt;="&amp;(CE2-12),$C$2:$CH$2,"&lt;"&amp;CE2)&gt;4800000,Premissas!$F$10,Premissas!$F$9)</f>
        <v/>
      </c>
      <c r="CF42" s="26">
        <f>CF39*IF(SUMIFS($C$39:$CH$39,$C$2:$CH$2,"&gt;="&amp;(CF2-12),$C$2:$CH$2,"&lt;"&amp;CF2)&gt;4800000,Premissas!$F$10,Premissas!$F$9)</f>
        <v/>
      </c>
      <c r="CG42" s="26">
        <f>CG39*IF(SUMIFS($C$39:$CH$39,$C$2:$CH$2,"&gt;="&amp;(CG2-12),$C$2:$CH$2,"&lt;"&amp;CG2)&gt;4800000,Premissas!$F$10,Premissas!$F$9)</f>
        <v/>
      </c>
      <c r="CH42" s="26">
        <f>CH39*IF(SUMIFS($C$39:$CH$39,$C$2:$CH$2,"&gt;="&amp;(CH2-12),$C$2:$CH$2,"&lt;"&amp;CH2)&gt;4800000,Premissas!$F$10,Premissas!$F$9)</f>
        <v/>
      </c>
    </row>
    <row r="43">
      <c r="A43" s="3" t="inlineStr">
        <is>
          <t>Meios de pagamento</t>
        </is>
      </c>
      <c r="C43" s="26">
        <f>C39*Premissas!$F$11</f>
        <v/>
      </c>
      <c r="D43" s="26">
        <f>D39*Premissas!$F$11</f>
        <v/>
      </c>
      <c r="E43" s="26">
        <f>E39*Premissas!$F$11</f>
        <v/>
      </c>
      <c r="F43" s="26">
        <f>F39*Premissas!$F$11</f>
        <v/>
      </c>
      <c r="G43" s="26">
        <f>G39*Premissas!$F$11</f>
        <v/>
      </c>
      <c r="H43" s="26">
        <f>H39*Premissas!$F$11</f>
        <v/>
      </c>
      <c r="I43" s="26">
        <f>I39*Premissas!$F$11</f>
        <v/>
      </c>
      <c r="J43" s="26">
        <f>J39*Premissas!$F$11</f>
        <v/>
      </c>
      <c r="K43" s="26">
        <f>K39*Premissas!$F$11</f>
        <v/>
      </c>
      <c r="L43" s="26">
        <f>L39*Premissas!$F$11</f>
        <v/>
      </c>
      <c r="M43" s="26">
        <f>M39*Premissas!$F$11</f>
        <v/>
      </c>
      <c r="N43" s="26">
        <f>N39*Premissas!$F$11</f>
        <v/>
      </c>
      <c r="O43" s="26">
        <f>O39*Premissas!$F$11</f>
        <v/>
      </c>
      <c r="P43" s="26">
        <f>P39*Premissas!$F$11</f>
        <v/>
      </c>
      <c r="Q43" s="26">
        <f>Q39*Premissas!$F$11</f>
        <v/>
      </c>
      <c r="R43" s="26">
        <f>R39*Premissas!$F$11</f>
        <v/>
      </c>
      <c r="S43" s="26">
        <f>S39*Premissas!$F$11</f>
        <v/>
      </c>
      <c r="T43" s="26">
        <f>T39*Premissas!$F$11</f>
        <v/>
      </c>
      <c r="U43" s="26">
        <f>U39*Premissas!$F$11</f>
        <v/>
      </c>
      <c r="V43" s="26">
        <f>V39*Premissas!$F$11</f>
        <v/>
      </c>
      <c r="W43" s="26">
        <f>W39*Premissas!$F$11</f>
        <v/>
      </c>
      <c r="X43" s="26">
        <f>X39*Premissas!$F$11</f>
        <v/>
      </c>
      <c r="Y43" s="26">
        <f>Y39*Premissas!$F$11</f>
        <v/>
      </c>
      <c r="Z43" s="26">
        <f>Z39*Premissas!$F$11</f>
        <v/>
      </c>
      <c r="AA43" s="26">
        <f>AA39*Premissas!$F$11</f>
        <v/>
      </c>
      <c r="AB43" s="26">
        <f>AB39*Premissas!$F$11</f>
        <v/>
      </c>
      <c r="AC43" s="26">
        <f>AC39*Premissas!$F$11</f>
        <v/>
      </c>
      <c r="AD43" s="26">
        <f>AD39*Premissas!$F$11</f>
        <v/>
      </c>
      <c r="AE43" s="26">
        <f>AE39*Premissas!$F$11</f>
        <v/>
      </c>
      <c r="AF43" s="26">
        <f>AF39*Premissas!$F$11</f>
        <v/>
      </c>
      <c r="AG43" s="26">
        <f>AG39*Premissas!$F$11</f>
        <v/>
      </c>
      <c r="AH43" s="26">
        <f>AH39*Premissas!$F$11</f>
        <v/>
      </c>
      <c r="AI43" s="26">
        <f>AI39*Premissas!$F$11</f>
        <v/>
      </c>
      <c r="AJ43" s="26">
        <f>AJ39*Premissas!$F$11</f>
        <v/>
      </c>
      <c r="AK43" s="26">
        <f>AK39*Premissas!$F$11</f>
        <v/>
      </c>
      <c r="AL43" s="26">
        <f>AL39*Premissas!$F$11</f>
        <v/>
      </c>
      <c r="AM43" s="26">
        <f>AM39*Premissas!$F$11</f>
        <v/>
      </c>
      <c r="AN43" s="26">
        <f>AN39*Premissas!$F$11</f>
        <v/>
      </c>
      <c r="AO43" s="26">
        <f>AO39*Premissas!$F$11</f>
        <v/>
      </c>
      <c r="AP43" s="26">
        <f>AP39*Premissas!$F$11</f>
        <v/>
      </c>
      <c r="AQ43" s="26">
        <f>AQ39*Premissas!$F$11</f>
        <v/>
      </c>
      <c r="AR43" s="26">
        <f>AR39*Premissas!$F$11</f>
        <v/>
      </c>
      <c r="AS43" s="26">
        <f>AS39*Premissas!$F$11</f>
        <v/>
      </c>
      <c r="AT43" s="26">
        <f>AT39*Premissas!$F$11</f>
        <v/>
      </c>
      <c r="AU43" s="26">
        <f>AU39*Premissas!$F$11</f>
        <v/>
      </c>
      <c r="AV43" s="26">
        <f>AV39*Premissas!$F$11</f>
        <v/>
      </c>
      <c r="AW43" s="26">
        <f>AW39*Premissas!$F$11</f>
        <v/>
      </c>
      <c r="AX43" s="26">
        <f>AX39*Premissas!$F$11</f>
        <v/>
      </c>
      <c r="AY43" s="26">
        <f>AY39*Premissas!$F$11</f>
        <v/>
      </c>
      <c r="AZ43" s="26">
        <f>AZ39*Premissas!$F$11</f>
        <v/>
      </c>
      <c r="BA43" s="26">
        <f>BA39*Premissas!$F$11</f>
        <v/>
      </c>
      <c r="BB43" s="26">
        <f>BB39*Premissas!$F$11</f>
        <v/>
      </c>
      <c r="BC43" s="26">
        <f>BC39*Premissas!$F$11</f>
        <v/>
      </c>
      <c r="BD43" s="26">
        <f>BD39*Premissas!$F$11</f>
        <v/>
      </c>
      <c r="BE43" s="26">
        <f>BE39*Premissas!$F$11</f>
        <v/>
      </c>
      <c r="BF43" s="26">
        <f>BF39*Premissas!$F$11</f>
        <v/>
      </c>
      <c r="BG43" s="26">
        <f>BG39*Premissas!$F$11</f>
        <v/>
      </c>
      <c r="BH43" s="26">
        <f>BH39*Premissas!$F$11</f>
        <v/>
      </c>
      <c r="BI43" s="26">
        <f>BI39*Premissas!$F$11</f>
        <v/>
      </c>
      <c r="BJ43" s="26">
        <f>BJ39*Premissas!$F$11</f>
        <v/>
      </c>
      <c r="BK43" s="26">
        <f>BK39*Premissas!$F$11</f>
        <v/>
      </c>
      <c r="BL43" s="26">
        <f>BL39*Premissas!$F$11</f>
        <v/>
      </c>
      <c r="BM43" s="26">
        <f>BM39*Premissas!$F$11</f>
        <v/>
      </c>
      <c r="BN43" s="26">
        <f>BN39*Premissas!$F$11</f>
        <v/>
      </c>
      <c r="BO43" s="26">
        <f>BO39*Premissas!$F$11</f>
        <v/>
      </c>
      <c r="BP43" s="26">
        <f>BP39*Premissas!$F$11</f>
        <v/>
      </c>
      <c r="BQ43" s="26">
        <f>BQ39*Premissas!$F$11</f>
        <v/>
      </c>
      <c r="BR43" s="26">
        <f>BR39*Premissas!$F$11</f>
        <v/>
      </c>
      <c r="BS43" s="26">
        <f>BS39*Premissas!$F$11</f>
        <v/>
      </c>
      <c r="BT43" s="26">
        <f>BT39*Premissas!$F$11</f>
        <v/>
      </c>
      <c r="BU43" s="26">
        <f>BU39*Premissas!$F$11</f>
        <v/>
      </c>
      <c r="BV43" s="26">
        <f>BV39*Premissas!$F$11</f>
        <v/>
      </c>
      <c r="BW43" s="26">
        <f>BW39*Premissas!$F$11</f>
        <v/>
      </c>
      <c r="BX43" s="26">
        <f>BX39*Premissas!$F$11</f>
        <v/>
      </c>
      <c r="BY43" s="26">
        <f>BY39*Premissas!$F$11</f>
        <v/>
      </c>
      <c r="BZ43" s="26">
        <f>BZ39*Premissas!$F$11</f>
        <v/>
      </c>
      <c r="CA43" s="26">
        <f>CA39*Premissas!$F$11</f>
        <v/>
      </c>
      <c r="CB43" s="26">
        <f>CB39*Premissas!$F$11</f>
        <v/>
      </c>
      <c r="CC43" s="26">
        <f>CC39*Premissas!$F$11</f>
        <v/>
      </c>
      <c r="CD43" s="26">
        <f>CD39*Premissas!$F$11</f>
        <v/>
      </c>
      <c r="CE43" s="26">
        <f>CE39*Premissas!$F$11</f>
        <v/>
      </c>
      <c r="CF43" s="26">
        <f>CF39*Premissas!$F$11</f>
        <v/>
      </c>
      <c r="CG43" s="26">
        <f>CG39*Premissas!$F$11</f>
        <v/>
      </c>
      <c r="CH43" s="26">
        <f>CH39*Premissas!$F$11</f>
        <v/>
      </c>
    </row>
    <row r="44">
      <c r="A44" s="2" t="inlineStr">
        <is>
          <t>Receita líquida</t>
        </is>
      </c>
      <c r="C44" s="30">
        <f>C39-C42-C43</f>
        <v/>
      </c>
      <c r="D44" s="30">
        <f>D39-D42-D43</f>
        <v/>
      </c>
      <c r="E44" s="30">
        <f>E39-E42-E43</f>
        <v/>
      </c>
      <c r="F44" s="30">
        <f>F39-F42-F43</f>
        <v/>
      </c>
      <c r="G44" s="30">
        <f>G39-G42-G43</f>
        <v/>
      </c>
      <c r="H44" s="30">
        <f>H39-H42-H43</f>
        <v/>
      </c>
      <c r="I44" s="30">
        <f>I39-I42-I43</f>
        <v/>
      </c>
      <c r="J44" s="30">
        <f>J39-J42-J43</f>
        <v/>
      </c>
      <c r="K44" s="30">
        <f>K39-K42-K43</f>
        <v/>
      </c>
      <c r="L44" s="30">
        <f>L39-L42-L43</f>
        <v/>
      </c>
      <c r="M44" s="30">
        <f>M39-M42-M43</f>
        <v/>
      </c>
      <c r="N44" s="30">
        <f>N39-N42-N43</f>
        <v/>
      </c>
      <c r="O44" s="30">
        <f>O39-O42-O43</f>
        <v/>
      </c>
      <c r="P44" s="30">
        <f>P39-P42-P43</f>
        <v/>
      </c>
      <c r="Q44" s="30">
        <f>Q39-Q42-Q43</f>
        <v/>
      </c>
      <c r="R44" s="30">
        <f>R39-R42-R43</f>
        <v/>
      </c>
      <c r="S44" s="30">
        <f>S39-S42-S43</f>
        <v/>
      </c>
      <c r="T44" s="30">
        <f>T39-T42-T43</f>
        <v/>
      </c>
      <c r="U44" s="30">
        <f>U39-U42-U43</f>
        <v/>
      </c>
      <c r="V44" s="30">
        <f>V39-V42-V43</f>
        <v/>
      </c>
      <c r="W44" s="30">
        <f>W39-W42-W43</f>
        <v/>
      </c>
      <c r="X44" s="30">
        <f>X39-X42-X43</f>
        <v/>
      </c>
      <c r="Y44" s="30">
        <f>Y39-Y42-Y43</f>
        <v/>
      </c>
      <c r="Z44" s="30">
        <f>Z39-Z42-Z43</f>
        <v/>
      </c>
      <c r="AA44" s="30">
        <f>AA39-AA42-AA43</f>
        <v/>
      </c>
      <c r="AB44" s="30">
        <f>AB39-AB42-AB43</f>
        <v/>
      </c>
      <c r="AC44" s="30">
        <f>AC39-AC42-AC43</f>
        <v/>
      </c>
      <c r="AD44" s="30">
        <f>AD39-AD42-AD43</f>
        <v/>
      </c>
      <c r="AE44" s="30">
        <f>AE39-AE42-AE43</f>
        <v/>
      </c>
      <c r="AF44" s="30">
        <f>AF39-AF42-AF43</f>
        <v/>
      </c>
      <c r="AG44" s="30">
        <f>AG39-AG42-AG43</f>
        <v/>
      </c>
      <c r="AH44" s="30">
        <f>AH39-AH42-AH43</f>
        <v/>
      </c>
      <c r="AI44" s="30">
        <f>AI39-AI42-AI43</f>
        <v/>
      </c>
      <c r="AJ44" s="30">
        <f>AJ39-AJ42-AJ43</f>
        <v/>
      </c>
      <c r="AK44" s="30">
        <f>AK39-AK42-AK43</f>
        <v/>
      </c>
      <c r="AL44" s="30">
        <f>AL39-AL42-AL43</f>
        <v/>
      </c>
      <c r="AM44" s="30">
        <f>AM39-AM42-AM43</f>
        <v/>
      </c>
      <c r="AN44" s="30">
        <f>AN39-AN42-AN43</f>
        <v/>
      </c>
      <c r="AO44" s="30">
        <f>AO39-AO42-AO43</f>
        <v/>
      </c>
      <c r="AP44" s="30">
        <f>AP39-AP42-AP43</f>
        <v/>
      </c>
      <c r="AQ44" s="30">
        <f>AQ39-AQ42-AQ43</f>
        <v/>
      </c>
      <c r="AR44" s="30">
        <f>AR39-AR42-AR43</f>
        <v/>
      </c>
      <c r="AS44" s="30">
        <f>AS39-AS42-AS43</f>
        <v/>
      </c>
      <c r="AT44" s="30">
        <f>AT39-AT42-AT43</f>
        <v/>
      </c>
      <c r="AU44" s="30">
        <f>AU39-AU42-AU43</f>
        <v/>
      </c>
      <c r="AV44" s="30">
        <f>AV39-AV42-AV43</f>
        <v/>
      </c>
      <c r="AW44" s="30">
        <f>AW39-AW42-AW43</f>
        <v/>
      </c>
      <c r="AX44" s="30">
        <f>AX39-AX42-AX43</f>
        <v/>
      </c>
      <c r="AY44" s="30">
        <f>AY39-AY42-AY43</f>
        <v/>
      </c>
      <c r="AZ44" s="30">
        <f>AZ39-AZ42-AZ43</f>
        <v/>
      </c>
      <c r="BA44" s="30">
        <f>BA39-BA42-BA43</f>
        <v/>
      </c>
      <c r="BB44" s="30">
        <f>BB39-BB42-BB43</f>
        <v/>
      </c>
      <c r="BC44" s="30">
        <f>BC39-BC42-BC43</f>
        <v/>
      </c>
      <c r="BD44" s="30">
        <f>BD39-BD42-BD43</f>
        <v/>
      </c>
      <c r="BE44" s="30">
        <f>BE39-BE42-BE43</f>
        <v/>
      </c>
      <c r="BF44" s="30">
        <f>BF39-BF42-BF43</f>
        <v/>
      </c>
      <c r="BG44" s="30">
        <f>BG39-BG42-BG43</f>
        <v/>
      </c>
      <c r="BH44" s="30">
        <f>BH39-BH42-BH43</f>
        <v/>
      </c>
      <c r="BI44" s="30">
        <f>BI39-BI42-BI43</f>
        <v/>
      </c>
      <c r="BJ44" s="30">
        <f>BJ39-BJ42-BJ43</f>
        <v/>
      </c>
      <c r="BK44" s="30">
        <f>BK39-BK42-BK43</f>
        <v/>
      </c>
      <c r="BL44" s="30">
        <f>BL39-BL42-BL43</f>
        <v/>
      </c>
      <c r="BM44" s="30">
        <f>BM39-BM42-BM43</f>
        <v/>
      </c>
      <c r="BN44" s="30">
        <f>BN39-BN42-BN43</f>
        <v/>
      </c>
      <c r="BO44" s="30">
        <f>BO39-BO42-BO43</f>
        <v/>
      </c>
      <c r="BP44" s="30">
        <f>BP39-BP42-BP43</f>
        <v/>
      </c>
      <c r="BQ44" s="30">
        <f>BQ39-BQ42-BQ43</f>
        <v/>
      </c>
      <c r="BR44" s="30">
        <f>BR39-BR42-BR43</f>
        <v/>
      </c>
      <c r="BS44" s="30">
        <f>BS39-BS42-BS43</f>
        <v/>
      </c>
      <c r="BT44" s="30">
        <f>BT39-BT42-BT43</f>
        <v/>
      </c>
      <c r="BU44" s="30">
        <f>BU39-BU42-BU43</f>
        <v/>
      </c>
      <c r="BV44" s="30">
        <f>BV39-BV42-BV43</f>
        <v/>
      </c>
      <c r="BW44" s="30">
        <f>BW39-BW42-BW43</f>
        <v/>
      </c>
      <c r="BX44" s="30">
        <f>BX39-BX42-BX43</f>
        <v/>
      </c>
      <c r="BY44" s="30">
        <f>BY39-BY42-BY43</f>
        <v/>
      </c>
      <c r="BZ44" s="30">
        <f>BZ39-BZ42-BZ43</f>
        <v/>
      </c>
      <c r="CA44" s="30">
        <f>CA39-CA42-CA43</f>
        <v/>
      </c>
      <c r="CB44" s="30">
        <f>CB39-CB42-CB43</f>
        <v/>
      </c>
      <c r="CC44" s="30">
        <f>CC39-CC42-CC43</f>
        <v/>
      </c>
      <c r="CD44" s="30">
        <f>CD39-CD42-CD43</f>
        <v/>
      </c>
      <c r="CE44" s="30">
        <f>CE39-CE42-CE43</f>
        <v/>
      </c>
      <c r="CF44" s="30">
        <f>CF39-CF42-CF43</f>
        <v/>
      </c>
      <c r="CG44" s="30">
        <f>CG39-CG42-CG43</f>
        <v/>
      </c>
      <c r="CH44" s="30">
        <f>CH39-CH42-CH43</f>
        <v/>
      </c>
    </row>
    <row r="46">
      <c r="A46" s="4" t="inlineStr">
        <is>
          <t>Custo do serviço</t>
        </is>
      </c>
      <c r="B46" s="5" t="n"/>
    </row>
    <row r="47">
      <c r="A47" s="3" t="inlineStr">
        <is>
          <t>Custo direto (IA, ferramentas, hospedagem, implantação)</t>
        </is>
      </c>
      <c r="C47" s="26">
        <f>C18*Premissas!$F$78+C24*Premissas!$F$84+C30*Premissas!$F$91+C12*Premissas!$F$106</f>
        <v/>
      </c>
      <c r="D47" s="26">
        <f>D18*Premissas!$F$78+D24*Premissas!$F$84+D30*Premissas!$F$91+D12*Premissas!$F$106</f>
        <v/>
      </c>
      <c r="E47" s="26">
        <f>E18*Premissas!$F$78+E24*Premissas!$F$84+E30*Premissas!$F$91+E12*Premissas!$F$106</f>
        <v/>
      </c>
      <c r="F47" s="26">
        <f>F18*Premissas!$F$78+F24*Premissas!$F$84+F30*Premissas!$F$91+F12*Premissas!$F$106</f>
        <v/>
      </c>
      <c r="G47" s="26">
        <f>G18*Premissas!$F$78+G24*Premissas!$F$84+G30*Premissas!$F$91+G12*Premissas!$F$106</f>
        <v/>
      </c>
      <c r="H47" s="26">
        <f>H18*Premissas!$F$78+H24*Premissas!$F$84+H30*Premissas!$F$91+H12*Premissas!$F$106</f>
        <v/>
      </c>
      <c r="I47" s="26">
        <f>I18*Premissas!$F$78+I24*Premissas!$F$84+I30*Premissas!$F$91+I12*Premissas!$F$106</f>
        <v/>
      </c>
      <c r="J47" s="26">
        <f>J18*Premissas!$F$78+J24*Premissas!$F$84+J30*Premissas!$F$91+J12*Premissas!$F$106</f>
        <v/>
      </c>
      <c r="K47" s="26">
        <f>K18*Premissas!$F$78+K24*Premissas!$F$84+K30*Premissas!$F$91+K12*Premissas!$F$106</f>
        <v/>
      </c>
      <c r="L47" s="26">
        <f>L18*Premissas!$F$78+L24*Premissas!$F$84+L30*Premissas!$F$91+L12*Premissas!$F$106</f>
        <v/>
      </c>
      <c r="M47" s="26">
        <f>M18*Premissas!$F$78+M24*Premissas!$F$84+M30*Premissas!$F$91+M12*Premissas!$F$106</f>
        <v/>
      </c>
      <c r="N47" s="26">
        <f>N18*Premissas!$F$78+N24*Premissas!$F$84+N30*Premissas!$F$91+N12*Premissas!$F$106</f>
        <v/>
      </c>
      <c r="O47" s="26">
        <f>O18*Premissas!$F$78+O24*Premissas!$F$84+O30*Premissas!$F$91+O12*Premissas!$F$106</f>
        <v/>
      </c>
      <c r="P47" s="26">
        <f>P18*Premissas!$F$78+P24*Premissas!$F$84+P30*Premissas!$F$91+P12*Premissas!$F$106</f>
        <v/>
      </c>
      <c r="Q47" s="26">
        <f>Q18*Premissas!$F$78+Q24*Premissas!$F$84+Q30*Premissas!$F$91+Q12*Premissas!$F$106</f>
        <v/>
      </c>
      <c r="R47" s="26">
        <f>R18*Premissas!$F$78+R24*Premissas!$F$84+R30*Premissas!$F$91+R12*Premissas!$F$106</f>
        <v/>
      </c>
      <c r="S47" s="26">
        <f>S18*Premissas!$F$78+S24*Premissas!$F$84+S30*Premissas!$F$91+S12*Premissas!$F$106</f>
        <v/>
      </c>
      <c r="T47" s="26">
        <f>T18*Premissas!$F$78+T24*Premissas!$F$84+T30*Premissas!$F$91+T12*Premissas!$F$106</f>
        <v/>
      </c>
      <c r="U47" s="26">
        <f>U18*Premissas!$F$78+U24*Premissas!$F$84+U30*Premissas!$F$91+U12*Premissas!$F$106</f>
        <v/>
      </c>
      <c r="V47" s="26">
        <f>V18*Premissas!$F$78+V24*Premissas!$F$84+V30*Premissas!$F$91+V12*Premissas!$F$106</f>
        <v/>
      </c>
      <c r="W47" s="26">
        <f>W18*Premissas!$F$78+W24*Premissas!$F$84+W30*Premissas!$F$91+W12*Premissas!$F$106</f>
        <v/>
      </c>
      <c r="X47" s="26">
        <f>X18*Premissas!$F$78+X24*Premissas!$F$84+X30*Premissas!$F$91+X12*Premissas!$F$106</f>
        <v/>
      </c>
      <c r="Y47" s="26">
        <f>Y18*Premissas!$F$78+Y24*Premissas!$F$84+Y30*Premissas!$F$91+Y12*Premissas!$F$106</f>
        <v/>
      </c>
      <c r="Z47" s="26">
        <f>Z18*Premissas!$F$78+Z24*Premissas!$F$84+Z30*Premissas!$F$91+Z12*Premissas!$F$106</f>
        <v/>
      </c>
      <c r="AA47" s="26">
        <f>AA18*Premissas!$F$78+AA24*Premissas!$F$84+AA30*Premissas!$F$91+AA12*Premissas!$F$106</f>
        <v/>
      </c>
      <c r="AB47" s="26">
        <f>AB18*Premissas!$F$78+AB24*Premissas!$F$84+AB30*Premissas!$F$91+AB12*Premissas!$F$106</f>
        <v/>
      </c>
      <c r="AC47" s="26">
        <f>AC18*Premissas!$F$78+AC24*Premissas!$F$84+AC30*Premissas!$F$91+AC12*Premissas!$F$106</f>
        <v/>
      </c>
      <c r="AD47" s="26">
        <f>AD18*Premissas!$F$78+AD24*Premissas!$F$84+AD30*Premissas!$F$91+AD12*Premissas!$F$106</f>
        <v/>
      </c>
      <c r="AE47" s="26">
        <f>AE18*Premissas!$F$78+AE24*Premissas!$F$84+AE30*Premissas!$F$91+AE12*Premissas!$F$106</f>
        <v/>
      </c>
      <c r="AF47" s="26">
        <f>AF18*Premissas!$F$78+AF24*Premissas!$F$84+AF30*Premissas!$F$91+AF12*Premissas!$F$106</f>
        <v/>
      </c>
      <c r="AG47" s="26">
        <f>AG18*Premissas!$F$78+AG24*Premissas!$F$84+AG30*Premissas!$F$91+AG12*Premissas!$F$106</f>
        <v/>
      </c>
      <c r="AH47" s="26">
        <f>AH18*Premissas!$F$78+AH24*Premissas!$F$84+AH30*Premissas!$F$91+AH12*Premissas!$F$106</f>
        <v/>
      </c>
      <c r="AI47" s="26">
        <f>AI18*Premissas!$F$78+AI24*Premissas!$F$84+AI30*Premissas!$F$91+AI12*Premissas!$F$106</f>
        <v/>
      </c>
      <c r="AJ47" s="26">
        <f>AJ18*Premissas!$F$78+AJ24*Premissas!$F$84+AJ30*Premissas!$F$91+AJ12*Premissas!$F$106</f>
        <v/>
      </c>
      <c r="AK47" s="26">
        <f>AK18*Premissas!$F$78+AK24*Premissas!$F$84+AK30*Premissas!$F$91+AK12*Premissas!$F$106</f>
        <v/>
      </c>
      <c r="AL47" s="26">
        <f>AL18*Premissas!$F$78+AL24*Premissas!$F$84+AL30*Premissas!$F$91+AL12*Premissas!$F$106</f>
        <v/>
      </c>
      <c r="AM47" s="26">
        <f>AM18*Premissas!$F$78+AM24*Premissas!$F$84+AM30*Premissas!$F$91+AM12*Premissas!$F$106</f>
        <v/>
      </c>
      <c r="AN47" s="26">
        <f>AN18*Premissas!$F$78+AN24*Premissas!$F$84+AN30*Premissas!$F$91+AN12*Premissas!$F$106</f>
        <v/>
      </c>
      <c r="AO47" s="26">
        <f>AO18*Premissas!$F$78+AO24*Premissas!$F$84+AO30*Premissas!$F$91+AO12*Premissas!$F$106</f>
        <v/>
      </c>
      <c r="AP47" s="26">
        <f>AP18*Premissas!$F$78+AP24*Premissas!$F$84+AP30*Premissas!$F$91+AP12*Premissas!$F$106</f>
        <v/>
      </c>
      <c r="AQ47" s="26">
        <f>AQ18*Premissas!$F$78+AQ24*Premissas!$F$84+AQ30*Premissas!$F$91+AQ12*Premissas!$F$106</f>
        <v/>
      </c>
      <c r="AR47" s="26">
        <f>AR18*Premissas!$F$78+AR24*Premissas!$F$84+AR30*Premissas!$F$91+AR12*Premissas!$F$106</f>
        <v/>
      </c>
      <c r="AS47" s="26">
        <f>AS18*Premissas!$F$78+AS24*Premissas!$F$84+AS30*Premissas!$F$91+AS12*Premissas!$F$106</f>
        <v/>
      </c>
      <c r="AT47" s="26">
        <f>AT18*Premissas!$F$78+AT24*Premissas!$F$84+AT30*Premissas!$F$91+AT12*Premissas!$F$106</f>
        <v/>
      </c>
      <c r="AU47" s="26">
        <f>AU18*Premissas!$F$78+AU24*Premissas!$F$84+AU30*Premissas!$F$91+AU12*Premissas!$F$106</f>
        <v/>
      </c>
      <c r="AV47" s="26">
        <f>AV18*Premissas!$F$78+AV24*Premissas!$F$84+AV30*Premissas!$F$91+AV12*Premissas!$F$106</f>
        <v/>
      </c>
      <c r="AW47" s="26">
        <f>AW18*Premissas!$F$78+AW24*Premissas!$F$84+AW30*Premissas!$F$91+AW12*Premissas!$F$106</f>
        <v/>
      </c>
      <c r="AX47" s="26">
        <f>AX18*Premissas!$F$78+AX24*Premissas!$F$84+AX30*Premissas!$F$91+AX12*Premissas!$F$106</f>
        <v/>
      </c>
      <c r="AY47" s="26">
        <f>AY18*Premissas!$F$78+AY24*Premissas!$F$84+AY30*Premissas!$F$91+AY12*Premissas!$F$106</f>
        <v/>
      </c>
      <c r="AZ47" s="26">
        <f>AZ18*Premissas!$F$78+AZ24*Premissas!$F$84+AZ30*Premissas!$F$91+AZ12*Premissas!$F$106</f>
        <v/>
      </c>
      <c r="BA47" s="26">
        <f>BA18*Premissas!$F$78+BA24*Premissas!$F$84+BA30*Premissas!$F$91+BA12*Premissas!$F$106</f>
        <v/>
      </c>
      <c r="BB47" s="26">
        <f>BB18*Premissas!$F$78+BB24*Premissas!$F$84+BB30*Premissas!$F$91+BB12*Premissas!$F$106</f>
        <v/>
      </c>
      <c r="BC47" s="26">
        <f>BC18*Premissas!$F$78+BC24*Premissas!$F$84+BC30*Premissas!$F$91+BC12*Premissas!$F$106</f>
        <v/>
      </c>
      <c r="BD47" s="26">
        <f>BD18*Premissas!$F$78+BD24*Premissas!$F$84+BD30*Premissas!$F$91+BD12*Premissas!$F$106</f>
        <v/>
      </c>
      <c r="BE47" s="26">
        <f>BE18*Premissas!$F$78+BE24*Premissas!$F$84+BE30*Premissas!$F$91+BE12*Premissas!$F$106</f>
        <v/>
      </c>
      <c r="BF47" s="26">
        <f>BF18*Premissas!$F$78+BF24*Premissas!$F$84+BF30*Premissas!$F$91+BF12*Premissas!$F$106</f>
        <v/>
      </c>
      <c r="BG47" s="26">
        <f>BG18*Premissas!$F$78+BG24*Premissas!$F$84+BG30*Premissas!$F$91+BG12*Premissas!$F$106</f>
        <v/>
      </c>
      <c r="BH47" s="26">
        <f>BH18*Premissas!$F$78+BH24*Premissas!$F$84+BH30*Premissas!$F$91+BH12*Premissas!$F$106</f>
        <v/>
      </c>
      <c r="BI47" s="26">
        <f>BI18*Premissas!$F$78+BI24*Premissas!$F$84+BI30*Premissas!$F$91+BI12*Premissas!$F$106</f>
        <v/>
      </c>
      <c r="BJ47" s="26">
        <f>BJ18*Premissas!$F$78+BJ24*Premissas!$F$84+BJ30*Premissas!$F$91+BJ12*Premissas!$F$106</f>
        <v/>
      </c>
      <c r="BK47" s="26">
        <f>BK18*Premissas!$F$78+BK24*Premissas!$F$84+BK30*Premissas!$F$91+BK12*Premissas!$F$106</f>
        <v/>
      </c>
      <c r="BL47" s="26">
        <f>BL18*Premissas!$F$78+BL24*Premissas!$F$84+BL30*Premissas!$F$91+BL12*Premissas!$F$106</f>
        <v/>
      </c>
      <c r="BM47" s="26">
        <f>BM18*Premissas!$F$78+BM24*Premissas!$F$84+BM30*Premissas!$F$91+BM12*Premissas!$F$106</f>
        <v/>
      </c>
      <c r="BN47" s="26">
        <f>BN18*Premissas!$F$78+BN24*Premissas!$F$84+BN30*Premissas!$F$91+BN12*Premissas!$F$106</f>
        <v/>
      </c>
      <c r="BO47" s="26">
        <f>BO18*Premissas!$F$78+BO24*Premissas!$F$84+BO30*Premissas!$F$91+BO12*Premissas!$F$106</f>
        <v/>
      </c>
      <c r="BP47" s="26">
        <f>BP18*Premissas!$F$78+BP24*Premissas!$F$84+BP30*Premissas!$F$91+BP12*Premissas!$F$106</f>
        <v/>
      </c>
      <c r="BQ47" s="26">
        <f>BQ18*Premissas!$F$78+BQ24*Premissas!$F$84+BQ30*Premissas!$F$91+BQ12*Premissas!$F$106</f>
        <v/>
      </c>
      <c r="BR47" s="26">
        <f>BR18*Premissas!$F$78+BR24*Premissas!$F$84+BR30*Premissas!$F$91+BR12*Premissas!$F$106</f>
        <v/>
      </c>
      <c r="BS47" s="26">
        <f>BS18*Premissas!$F$78+BS24*Premissas!$F$84+BS30*Premissas!$F$91+BS12*Premissas!$F$106</f>
        <v/>
      </c>
      <c r="BT47" s="26">
        <f>BT18*Premissas!$F$78+BT24*Premissas!$F$84+BT30*Premissas!$F$91+BT12*Premissas!$F$106</f>
        <v/>
      </c>
      <c r="BU47" s="26">
        <f>BU18*Premissas!$F$78+BU24*Premissas!$F$84+BU30*Premissas!$F$91+BU12*Premissas!$F$106</f>
        <v/>
      </c>
      <c r="BV47" s="26">
        <f>BV18*Premissas!$F$78+BV24*Premissas!$F$84+BV30*Premissas!$F$91+BV12*Premissas!$F$106</f>
        <v/>
      </c>
      <c r="BW47" s="26">
        <f>BW18*Premissas!$F$78+BW24*Premissas!$F$84+BW30*Premissas!$F$91+BW12*Premissas!$F$106</f>
        <v/>
      </c>
      <c r="BX47" s="26">
        <f>BX18*Premissas!$F$78+BX24*Premissas!$F$84+BX30*Premissas!$F$91+BX12*Premissas!$F$106</f>
        <v/>
      </c>
      <c r="BY47" s="26">
        <f>BY18*Premissas!$F$78+BY24*Premissas!$F$84+BY30*Premissas!$F$91+BY12*Premissas!$F$106</f>
        <v/>
      </c>
      <c r="BZ47" s="26">
        <f>BZ18*Premissas!$F$78+BZ24*Premissas!$F$84+BZ30*Premissas!$F$91+BZ12*Premissas!$F$106</f>
        <v/>
      </c>
      <c r="CA47" s="26">
        <f>CA18*Premissas!$F$78+CA24*Premissas!$F$84+CA30*Premissas!$F$91+CA12*Premissas!$F$106</f>
        <v/>
      </c>
      <c r="CB47" s="26">
        <f>CB18*Premissas!$F$78+CB24*Premissas!$F$84+CB30*Premissas!$F$91+CB12*Premissas!$F$106</f>
        <v/>
      </c>
      <c r="CC47" s="26">
        <f>CC18*Premissas!$F$78+CC24*Premissas!$F$84+CC30*Premissas!$F$91+CC12*Premissas!$F$106</f>
        <v/>
      </c>
      <c r="CD47" s="26">
        <f>CD18*Premissas!$F$78+CD24*Premissas!$F$84+CD30*Premissas!$F$91+CD12*Premissas!$F$106</f>
        <v/>
      </c>
      <c r="CE47" s="26">
        <f>CE18*Premissas!$F$78+CE24*Premissas!$F$84+CE30*Premissas!$F$91+CE12*Premissas!$F$106</f>
        <v/>
      </c>
      <c r="CF47" s="26">
        <f>CF18*Premissas!$F$78+CF24*Premissas!$F$84+CF30*Premissas!$F$91+CF12*Premissas!$F$106</f>
        <v/>
      </c>
      <c r="CG47" s="26">
        <f>CG18*Premissas!$F$78+CG24*Premissas!$F$84+CG30*Premissas!$F$91+CG12*Premissas!$F$106</f>
        <v/>
      </c>
      <c r="CH47" s="26">
        <f>CH18*Premissas!$F$78+CH24*Premissas!$F$84+CH30*Premissas!$F$91+CH12*Premissas!$F$106</f>
        <v/>
      </c>
    </row>
    <row r="48">
      <c r="A48" s="3" t="inlineStr">
        <is>
          <t>Especialistas humanos nas contas (pessoas)</t>
        </is>
      </c>
      <c r="C48" s="12">
        <f>C18/Premissas!$F$79+C24/Premissas!$F$85+C30/Premissas!$F$92</f>
        <v/>
      </c>
      <c r="D48" s="12">
        <f>D18/Premissas!$F$79+D24/Premissas!$F$85+D30/Premissas!$F$92</f>
        <v/>
      </c>
      <c r="E48" s="12">
        <f>E18/Premissas!$F$79+E24/Premissas!$F$85+E30/Premissas!$F$92</f>
        <v/>
      </c>
      <c r="F48" s="12">
        <f>F18/Premissas!$F$79+F24/Premissas!$F$85+F30/Premissas!$F$92</f>
        <v/>
      </c>
      <c r="G48" s="12">
        <f>G18/Premissas!$F$79+G24/Premissas!$F$85+G30/Premissas!$F$92</f>
        <v/>
      </c>
      <c r="H48" s="12">
        <f>H18/Premissas!$F$79+H24/Premissas!$F$85+H30/Premissas!$F$92</f>
        <v/>
      </c>
      <c r="I48" s="12">
        <f>I18/Premissas!$F$79+I24/Premissas!$F$85+I30/Premissas!$F$92</f>
        <v/>
      </c>
      <c r="J48" s="12">
        <f>J18/Premissas!$F$79+J24/Premissas!$F$85+J30/Premissas!$F$92</f>
        <v/>
      </c>
      <c r="K48" s="12">
        <f>K18/Premissas!$F$79+K24/Premissas!$F$85+K30/Premissas!$F$92</f>
        <v/>
      </c>
      <c r="L48" s="12">
        <f>L18/Premissas!$F$79+L24/Premissas!$F$85+L30/Premissas!$F$92</f>
        <v/>
      </c>
      <c r="M48" s="12">
        <f>M18/Premissas!$F$79+M24/Premissas!$F$85+M30/Premissas!$F$92</f>
        <v/>
      </c>
      <c r="N48" s="12">
        <f>N18/Premissas!$F$79+N24/Premissas!$F$85+N30/Premissas!$F$92</f>
        <v/>
      </c>
      <c r="O48" s="12">
        <f>O18/Premissas!$F$79+O24/Premissas!$F$85+O30/Premissas!$F$92</f>
        <v/>
      </c>
      <c r="P48" s="12">
        <f>P18/Premissas!$F$79+P24/Premissas!$F$85+P30/Premissas!$F$92</f>
        <v/>
      </c>
      <c r="Q48" s="12">
        <f>Q18/Premissas!$F$79+Q24/Premissas!$F$85+Q30/Premissas!$F$92</f>
        <v/>
      </c>
      <c r="R48" s="12">
        <f>R18/Premissas!$F$79+R24/Premissas!$F$85+R30/Premissas!$F$92</f>
        <v/>
      </c>
      <c r="S48" s="12">
        <f>S18/Premissas!$F$79+S24/Premissas!$F$85+S30/Premissas!$F$92</f>
        <v/>
      </c>
      <c r="T48" s="12">
        <f>T18/Premissas!$F$79+T24/Premissas!$F$85+T30/Premissas!$F$92</f>
        <v/>
      </c>
      <c r="U48" s="12">
        <f>U18/Premissas!$F$79+U24/Premissas!$F$85+U30/Premissas!$F$92</f>
        <v/>
      </c>
      <c r="V48" s="12">
        <f>V18/Premissas!$F$79+V24/Premissas!$F$85+V30/Premissas!$F$92</f>
        <v/>
      </c>
      <c r="W48" s="12">
        <f>W18/Premissas!$F$79+W24/Premissas!$F$85+W30/Premissas!$F$92</f>
        <v/>
      </c>
      <c r="X48" s="12">
        <f>X18/Premissas!$F$79+X24/Premissas!$F$85+X30/Premissas!$F$92</f>
        <v/>
      </c>
      <c r="Y48" s="12">
        <f>Y18/Premissas!$F$79+Y24/Premissas!$F$85+Y30/Premissas!$F$92</f>
        <v/>
      </c>
      <c r="Z48" s="12">
        <f>Z18/Premissas!$F$79+Z24/Premissas!$F$85+Z30/Premissas!$F$92</f>
        <v/>
      </c>
      <c r="AA48" s="12">
        <f>AA18/Premissas!$F$79+AA24/Premissas!$F$85+AA30/Premissas!$F$92</f>
        <v/>
      </c>
      <c r="AB48" s="12">
        <f>AB18/Premissas!$F$79+AB24/Premissas!$F$85+AB30/Premissas!$F$92</f>
        <v/>
      </c>
      <c r="AC48" s="12">
        <f>AC18/Premissas!$F$79+AC24/Premissas!$F$85+AC30/Premissas!$F$92</f>
        <v/>
      </c>
      <c r="AD48" s="12">
        <f>AD18/Premissas!$F$79+AD24/Premissas!$F$85+AD30/Premissas!$F$92</f>
        <v/>
      </c>
      <c r="AE48" s="12">
        <f>AE18/Premissas!$F$79+AE24/Premissas!$F$85+AE30/Premissas!$F$92</f>
        <v/>
      </c>
      <c r="AF48" s="12">
        <f>AF18/Premissas!$F$79+AF24/Premissas!$F$85+AF30/Premissas!$F$92</f>
        <v/>
      </c>
      <c r="AG48" s="12">
        <f>AG18/Premissas!$F$79+AG24/Premissas!$F$85+AG30/Premissas!$F$92</f>
        <v/>
      </c>
      <c r="AH48" s="12">
        <f>AH18/Premissas!$F$79+AH24/Premissas!$F$85+AH30/Premissas!$F$92</f>
        <v/>
      </c>
      <c r="AI48" s="12">
        <f>AI18/Premissas!$F$79+AI24/Premissas!$F$85+AI30/Premissas!$F$92</f>
        <v/>
      </c>
      <c r="AJ48" s="12">
        <f>AJ18/Premissas!$F$79+AJ24/Premissas!$F$85+AJ30/Premissas!$F$92</f>
        <v/>
      </c>
      <c r="AK48" s="12">
        <f>AK18/Premissas!$F$79+AK24/Premissas!$F$85+AK30/Premissas!$F$92</f>
        <v/>
      </c>
      <c r="AL48" s="12">
        <f>AL18/Premissas!$F$79+AL24/Premissas!$F$85+AL30/Premissas!$F$92</f>
        <v/>
      </c>
      <c r="AM48" s="12">
        <f>AM18/Premissas!$F$79+AM24/Premissas!$F$85+AM30/Premissas!$F$92</f>
        <v/>
      </c>
      <c r="AN48" s="12">
        <f>AN18/Premissas!$F$79+AN24/Premissas!$F$85+AN30/Premissas!$F$92</f>
        <v/>
      </c>
      <c r="AO48" s="12">
        <f>AO18/Premissas!$F$79+AO24/Premissas!$F$85+AO30/Premissas!$F$92</f>
        <v/>
      </c>
      <c r="AP48" s="12">
        <f>AP18/Premissas!$F$79+AP24/Premissas!$F$85+AP30/Premissas!$F$92</f>
        <v/>
      </c>
      <c r="AQ48" s="12">
        <f>AQ18/Premissas!$F$79+AQ24/Premissas!$F$85+AQ30/Premissas!$F$92</f>
        <v/>
      </c>
      <c r="AR48" s="12">
        <f>AR18/Premissas!$F$79+AR24/Premissas!$F$85+AR30/Premissas!$F$92</f>
        <v/>
      </c>
      <c r="AS48" s="12">
        <f>AS18/Premissas!$F$79+AS24/Premissas!$F$85+AS30/Premissas!$F$92</f>
        <v/>
      </c>
      <c r="AT48" s="12">
        <f>AT18/Premissas!$F$79+AT24/Premissas!$F$85+AT30/Premissas!$F$92</f>
        <v/>
      </c>
      <c r="AU48" s="12">
        <f>AU18/Premissas!$F$79+AU24/Premissas!$F$85+AU30/Premissas!$F$92</f>
        <v/>
      </c>
      <c r="AV48" s="12">
        <f>AV18/Premissas!$F$79+AV24/Premissas!$F$85+AV30/Premissas!$F$92</f>
        <v/>
      </c>
      <c r="AW48" s="12">
        <f>AW18/Premissas!$F$79+AW24/Premissas!$F$85+AW30/Premissas!$F$92</f>
        <v/>
      </c>
      <c r="AX48" s="12">
        <f>AX18/Premissas!$F$79+AX24/Premissas!$F$85+AX30/Premissas!$F$92</f>
        <v/>
      </c>
      <c r="AY48" s="12">
        <f>AY18/Premissas!$F$79+AY24/Premissas!$F$85+AY30/Premissas!$F$92</f>
        <v/>
      </c>
      <c r="AZ48" s="12">
        <f>AZ18/Premissas!$F$79+AZ24/Premissas!$F$85+AZ30/Premissas!$F$92</f>
        <v/>
      </c>
      <c r="BA48" s="12">
        <f>BA18/Premissas!$F$79+BA24/Premissas!$F$85+BA30/Premissas!$F$92</f>
        <v/>
      </c>
      <c r="BB48" s="12">
        <f>BB18/Premissas!$F$79+BB24/Premissas!$F$85+BB30/Premissas!$F$92</f>
        <v/>
      </c>
      <c r="BC48" s="12">
        <f>BC18/Premissas!$F$79+BC24/Premissas!$F$85+BC30/Premissas!$F$92</f>
        <v/>
      </c>
      <c r="BD48" s="12">
        <f>BD18/Premissas!$F$79+BD24/Premissas!$F$85+BD30/Premissas!$F$92</f>
        <v/>
      </c>
      <c r="BE48" s="12">
        <f>BE18/Premissas!$F$79+BE24/Premissas!$F$85+BE30/Premissas!$F$92</f>
        <v/>
      </c>
      <c r="BF48" s="12">
        <f>BF18/Premissas!$F$79+BF24/Premissas!$F$85+BF30/Premissas!$F$92</f>
        <v/>
      </c>
      <c r="BG48" s="12">
        <f>BG18/Premissas!$F$79+BG24/Premissas!$F$85+BG30/Premissas!$F$92</f>
        <v/>
      </c>
      <c r="BH48" s="12">
        <f>BH18/Premissas!$F$79+BH24/Premissas!$F$85+BH30/Premissas!$F$92</f>
        <v/>
      </c>
      <c r="BI48" s="12">
        <f>BI18/Premissas!$F$79+BI24/Premissas!$F$85+BI30/Premissas!$F$92</f>
        <v/>
      </c>
      <c r="BJ48" s="12">
        <f>BJ18/Premissas!$F$79+BJ24/Premissas!$F$85+BJ30/Premissas!$F$92</f>
        <v/>
      </c>
      <c r="BK48" s="12">
        <f>BK18/Premissas!$F$79+BK24/Premissas!$F$85+BK30/Premissas!$F$92</f>
        <v/>
      </c>
      <c r="BL48" s="12">
        <f>BL18/Premissas!$F$79+BL24/Premissas!$F$85+BL30/Premissas!$F$92</f>
        <v/>
      </c>
      <c r="BM48" s="12">
        <f>BM18/Premissas!$F$79+BM24/Premissas!$F$85+BM30/Premissas!$F$92</f>
        <v/>
      </c>
      <c r="BN48" s="12">
        <f>BN18/Premissas!$F$79+BN24/Premissas!$F$85+BN30/Premissas!$F$92</f>
        <v/>
      </c>
      <c r="BO48" s="12">
        <f>BO18/Premissas!$F$79+BO24/Premissas!$F$85+BO30/Premissas!$F$92</f>
        <v/>
      </c>
      <c r="BP48" s="12">
        <f>BP18/Premissas!$F$79+BP24/Premissas!$F$85+BP30/Premissas!$F$92</f>
        <v/>
      </c>
      <c r="BQ48" s="12">
        <f>BQ18/Premissas!$F$79+BQ24/Premissas!$F$85+BQ30/Premissas!$F$92</f>
        <v/>
      </c>
      <c r="BR48" s="12">
        <f>BR18/Premissas!$F$79+BR24/Premissas!$F$85+BR30/Premissas!$F$92</f>
        <v/>
      </c>
      <c r="BS48" s="12">
        <f>BS18/Premissas!$F$79+BS24/Premissas!$F$85+BS30/Premissas!$F$92</f>
        <v/>
      </c>
      <c r="BT48" s="12">
        <f>BT18/Premissas!$F$79+BT24/Premissas!$F$85+BT30/Premissas!$F$92</f>
        <v/>
      </c>
      <c r="BU48" s="12">
        <f>BU18/Premissas!$F$79+BU24/Premissas!$F$85+BU30/Premissas!$F$92</f>
        <v/>
      </c>
      <c r="BV48" s="12">
        <f>BV18/Premissas!$F$79+BV24/Premissas!$F$85+BV30/Premissas!$F$92</f>
        <v/>
      </c>
      <c r="BW48" s="12">
        <f>BW18/Premissas!$F$79+BW24/Premissas!$F$85+BW30/Premissas!$F$92</f>
        <v/>
      </c>
      <c r="BX48" s="12">
        <f>BX18/Premissas!$F$79+BX24/Premissas!$F$85+BX30/Premissas!$F$92</f>
        <v/>
      </c>
      <c r="BY48" s="12">
        <f>BY18/Premissas!$F$79+BY24/Premissas!$F$85+BY30/Premissas!$F$92</f>
        <v/>
      </c>
      <c r="BZ48" s="12">
        <f>BZ18/Premissas!$F$79+BZ24/Premissas!$F$85+BZ30/Premissas!$F$92</f>
        <v/>
      </c>
      <c r="CA48" s="12">
        <f>CA18/Premissas!$F$79+CA24/Premissas!$F$85+CA30/Premissas!$F$92</f>
        <v/>
      </c>
      <c r="CB48" s="12">
        <f>CB18/Premissas!$F$79+CB24/Premissas!$F$85+CB30/Premissas!$F$92</f>
        <v/>
      </c>
      <c r="CC48" s="12">
        <f>CC18/Premissas!$F$79+CC24/Premissas!$F$85+CC30/Premissas!$F$92</f>
        <v/>
      </c>
      <c r="CD48" s="12">
        <f>CD18/Premissas!$F$79+CD24/Premissas!$F$85+CD30/Premissas!$F$92</f>
        <v/>
      </c>
      <c r="CE48" s="12">
        <f>CE18/Premissas!$F$79+CE24/Premissas!$F$85+CE30/Premissas!$F$92</f>
        <v/>
      </c>
      <c r="CF48" s="12">
        <f>CF18/Premissas!$F$79+CF24/Premissas!$F$85+CF30/Premissas!$F$92</f>
        <v/>
      </c>
      <c r="CG48" s="12">
        <f>CG18/Premissas!$F$79+CG24/Premissas!$F$85+CG30/Premissas!$F$92</f>
        <v/>
      </c>
      <c r="CH48" s="12">
        <f>CH18/Premissas!$F$79+CH24/Premissas!$F$85+CH30/Premissas!$F$92</f>
        <v/>
      </c>
    </row>
    <row r="49">
      <c r="A49" s="3" t="inlineStr">
        <is>
          <t>Custo dos especialistas</t>
        </is>
      </c>
      <c r="C49" s="26">
        <f>C48*Premissas!$F$72</f>
        <v/>
      </c>
      <c r="D49" s="26">
        <f>D48*Premissas!$F$72</f>
        <v/>
      </c>
      <c r="E49" s="26">
        <f>E48*Premissas!$F$72</f>
        <v/>
      </c>
      <c r="F49" s="26">
        <f>F48*Premissas!$F$72</f>
        <v/>
      </c>
      <c r="G49" s="26">
        <f>G48*Premissas!$F$72</f>
        <v/>
      </c>
      <c r="H49" s="26">
        <f>H48*Premissas!$F$72</f>
        <v/>
      </c>
      <c r="I49" s="26">
        <f>I48*Premissas!$F$72</f>
        <v/>
      </c>
      <c r="J49" s="26">
        <f>J48*Premissas!$F$72</f>
        <v/>
      </c>
      <c r="K49" s="26">
        <f>K48*Premissas!$F$72</f>
        <v/>
      </c>
      <c r="L49" s="26">
        <f>L48*Premissas!$F$72</f>
        <v/>
      </c>
      <c r="M49" s="26">
        <f>M48*Premissas!$F$72</f>
        <v/>
      </c>
      <c r="N49" s="26">
        <f>N48*Premissas!$F$72</f>
        <v/>
      </c>
      <c r="O49" s="26">
        <f>O48*Premissas!$F$72</f>
        <v/>
      </c>
      <c r="P49" s="26">
        <f>P48*Premissas!$F$72</f>
        <v/>
      </c>
      <c r="Q49" s="26">
        <f>Q48*Premissas!$F$72</f>
        <v/>
      </c>
      <c r="R49" s="26">
        <f>R48*Premissas!$F$72</f>
        <v/>
      </c>
      <c r="S49" s="26">
        <f>S48*Premissas!$F$72</f>
        <v/>
      </c>
      <c r="T49" s="26">
        <f>T48*Premissas!$F$72</f>
        <v/>
      </c>
      <c r="U49" s="26">
        <f>U48*Premissas!$F$72</f>
        <v/>
      </c>
      <c r="V49" s="26">
        <f>V48*Premissas!$F$72</f>
        <v/>
      </c>
      <c r="W49" s="26">
        <f>W48*Premissas!$F$72</f>
        <v/>
      </c>
      <c r="X49" s="26">
        <f>X48*Premissas!$F$72</f>
        <v/>
      </c>
      <c r="Y49" s="26">
        <f>Y48*Premissas!$F$72</f>
        <v/>
      </c>
      <c r="Z49" s="26">
        <f>Z48*Premissas!$F$72</f>
        <v/>
      </c>
      <c r="AA49" s="26">
        <f>AA48*Premissas!$F$72</f>
        <v/>
      </c>
      <c r="AB49" s="26">
        <f>AB48*Premissas!$F$72</f>
        <v/>
      </c>
      <c r="AC49" s="26">
        <f>AC48*Premissas!$F$72</f>
        <v/>
      </c>
      <c r="AD49" s="26">
        <f>AD48*Premissas!$F$72</f>
        <v/>
      </c>
      <c r="AE49" s="26">
        <f>AE48*Premissas!$F$72</f>
        <v/>
      </c>
      <c r="AF49" s="26">
        <f>AF48*Premissas!$F$72</f>
        <v/>
      </c>
      <c r="AG49" s="26">
        <f>AG48*Premissas!$F$72</f>
        <v/>
      </c>
      <c r="AH49" s="26">
        <f>AH48*Premissas!$F$72</f>
        <v/>
      </c>
      <c r="AI49" s="26">
        <f>AI48*Premissas!$F$72</f>
        <v/>
      </c>
      <c r="AJ49" s="26">
        <f>AJ48*Premissas!$F$72</f>
        <v/>
      </c>
      <c r="AK49" s="26">
        <f>AK48*Premissas!$F$72</f>
        <v/>
      </c>
      <c r="AL49" s="26">
        <f>AL48*Premissas!$F$72</f>
        <v/>
      </c>
      <c r="AM49" s="26">
        <f>AM48*Premissas!$F$72</f>
        <v/>
      </c>
      <c r="AN49" s="26">
        <f>AN48*Premissas!$F$72</f>
        <v/>
      </c>
      <c r="AO49" s="26">
        <f>AO48*Premissas!$F$72</f>
        <v/>
      </c>
      <c r="AP49" s="26">
        <f>AP48*Premissas!$F$72</f>
        <v/>
      </c>
      <c r="AQ49" s="26">
        <f>AQ48*Premissas!$F$72</f>
        <v/>
      </c>
      <c r="AR49" s="26">
        <f>AR48*Premissas!$F$72</f>
        <v/>
      </c>
      <c r="AS49" s="26">
        <f>AS48*Premissas!$F$72</f>
        <v/>
      </c>
      <c r="AT49" s="26">
        <f>AT48*Premissas!$F$72</f>
        <v/>
      </c>
      <c r="AU49" s="26">
        <f>AU48*Premissas!$F$72</f>
        <v/>
      </c>
      <c r="AV49" s="26">
        <f>AV48*Premissas!$F$72</f>
        <v/>
      </c>
      <c r="AW49" s="26">
        <f>AW48*Premissas!$F$72</f>
        <v/>
      </c>
      <c r="AX49" s="26">
        <f>AX48*Premissas!$F$72</f>
        <v/>
      </c>
      <c r="AY49" s="26">
        <f>AY48*Premissas!$F$72</f>
        <v/>
      </c>
      <c r="AZ49" s="26">
        <f>AZ48*Premissas!$F$72</f>
        <v/>
      </c>
      <c r="BA49" s="26">
        <f>BA48*Premissas!$F$72</f>
        <v/>
      </c>
      <c r="BB49" s="26">
        <f>BB48*Premissas!$F$72</f>
        <v/>
      </c>
      <c r="BC49" s="26">
        <f>BC48*Premissas!$F$72</f>
        <v/>
      </c>
      <c r="BD49" s="26">
        <f>BD48*Premissas!$F$72</f>
        <v/>
      </c>
      <c r="BE49" s="26">
        <f>BE48*Premissas!$F$72</f>
        <v/>
      </c>
      <c r="BF49" s="26">
        <f>BF48*Premissas!$F$72</f>
        <v/>
      </c>
      <c r="BG49" s="26">
        <f>BG48*Premissas!$F$72</f>
        <v/>
      </c>
      <c r="BH49" s="26">
        <f>BH48*Premissas!$F$72</f>
        <v/>
      </c>
      <c r="BI49" s="26">
        <f>BI48*Premissas!$F$72</f>
        <v/>
      </c>
      <c r="BJ49" s="26">
        <f>BJ48*Premissas!$F$72</f>
        <v/>
      </c>
      <c r="BK49" s="26">
        <f>BK48*Premissas!$F$72</f>
        <v/>
      </c>
      <c r="BL49" s="26">
        <f>BL48*Premissas!$F$72</f>
        <v/>
      </c>
      <c r="BM49" s="26">
        <f>BM48*Premissas!$F$72</f>
        <v/>
      </c>
      <c r="BN49" s="26">
        <f>BN48*Premissas!$F$72</f>
        <v/>
      </c>
      <c r="BO49" s="26">
        <f>BO48*Premissas!$F$72</f>
        <v/>
      </c>
      <c r="BP49" s="26">
        <f>BP48*Premissas!$F$72</f>
        <v/>
      </c>
      <c r="BQ49" s="26">
        <f>BQ48*Premissas!$F$72</f>
        <v/>
      </c>
      <c r="BR49" s="26">
        <f>BR48*Premissas!$F$72</f>
        <v/>
      </c>
      <c r="BS49" s="26">
        <f>BS48*Premissas!$F$72</f>
        <v/>
      </c>
      <c r="BT49" s="26">
        <f>BT48*Premissas!$F$72</f>
        <v/>
      </c>
      <c r="BU49" s="26">
        <f>BU48*Premissas!$F$72</f>
        <v/>
      </c>
      <c r="BV49" s="26">
        <f>BV48*Premissas!$F$72</f>
        <v/>
      </c>
      <c r="BW49" s="26">
        <f>BW48*Premissas!$F$72</f>
        <v/>
      </c>
      <c r="BX49" s="26">
        <f>BX48*Premissas!$F$72</f>
        <v/>
      </c>
      <c r="BY49" s="26">
        <f>BY48*Premissas!$F$72</f>
        <v/>
      </c>
      <c r="BZ49" s="26">
        <f>BZ48*Premissas!$F$72</f>
        <v/>
      </c>
      <c r="CA49" s="26">
        <f>CA48*Premissas!$F$72</f>
        <v/>
      </c>
      <c r="CB49" s="26">
        <f>CB48*Premissas!$F$72</f>
        <v/>
      </c>
      <c r="CC49" s="26">
        <f>CC48*Premissas!$F$72</f>
        <v/>
      </c>
      <c r="CD49" s="26">
        <f>CD48*Premissas!$F$72</f>
        <v/>
      </c>
      <c r="CE49" s="26">
        <f>CE48*Premissas!$F$72</f>
        <v/>
      </c>
      <c r="CF49" s="26">
        <f>CF48*Premissas!$F$72</f>
        <v/>
      </c>
      <c r="CG49" s="26">
        <f>CG48*Premissas!$F$72</f>
        <v/>
      </c>
      <c r="CH49" s="26">
        <f>CH48*Premissas!$F$72</f>
        <v/>
      </c>
    </row>
    <row r="50">
      <c r="A50" s="2" t="inlineStr">
        <is>
          <t>Custo do serviço total</t>
        </is>
      </c>
      <c r="C50" s="30">
        <f>C47+C49</f>
        <v/>
      </c>
      <c r="D50" s="30">
        <f>D47+D49</f>
        <v/>
      </c>
      <c r="E50" s="30">
        <f>E47+E49</f>
        <v/>
      </c>
      <c r="F50" s="30">
        <f>F47+F49</f>
        <v/>
      </c>
      <c r="G50" s="30">
        <f>G47+G49</f>
        <v/>
      </c>
      <c r="H50" s="30">
        <f>H47+H49</f>
        <v/>
      </c>
      <c r="I50" s="30">
        <f>I47+I49</f>
        <v/>
      </c>
      <c r="J50" s="30">
        <f>J47+J49</f>
        <v/>
      </c>
      <c r="K50" s="30">
        <f>K47+K49</f>
        <v/>
      </c>
      <c r="L50" s="30">
        <f>L47+L49</f>
        <v/>
      </c>
      <c r="M50" s="30">
        <f>M47+M49</f>
        <v/>
      </c>
      <c r="N50" s="30">
        <f>N47+N49</f>
        <v/>
      </c>
      <c r="O50" s="30">
        <f>O47+O49</f>
        <v/>
      </c>
      <c r="P50" s="30">
        <f>P47+P49</f>
        <v/>
      </c>
      <c r="Q50" s="30">
        <f>Q47+Q49</f>
        <v/>
      </c>
      <c r="R50" s="30">
        <f>R47+R49</f>
        <v/>
      </c>
      <c r="S50" s="30">
        <f>S47+S49</f>
        <v/>
      </c>
      <c r="T50" s="30">
        <f>T47+T49</f>
        <v/>
      </c>
      <c r="U50" s="30">
        <f>U47+U49</f>
        <v/>
      </c>
      <c r="V50" s="30">
        <f>V47+V49</f>
        <v/>
      </c>
      <c r="W50" s="30">
        <f>W47+W49</f>
        <v/>
      </c>
      <c r="X50" s="30">
        <f>X47+X49</f>
        <v/>
      </c>
      <c r="Y50" s="30">
        <f>Y47+Y49</f>
        <v/>
      </c>
      <c r="Z50" s="30">
        <f>Z47+Z49</f>
        <v/>
      </c>
      <c r="AA50" s="30">
        <f>AA47+AA49</f>
        <v/>
      </c>
      <c r="AB50" s="30">
        <f>AB47+AB49</f>
        <v/>
      </c>
      <c r="AC50" s="30">
        <f>AC47+AC49</f>
        <v/>
      </c>
      <c r="AD50" s="30">
        <f>AD47+AD49</f>
        <v/>
      </c>
      <c r="AE50" s="30">
        <f>AE47+AE49</f>
        <v/>
      </c>
      <c r="AF50" s="30">
        <f>AF47+AF49</f>
        <v/>
      </c>
      <c r="AG50" s="30">
        <f>AG47+AG49</f>
        <v/>
      </c>
      <c r="AH50" s="30">
        <f>AH47+AH49</f>
        <v/>
      </c>
      <c r="AI50" s="30">
        <f>AI47+AI49</f>
        <v/>
      </c>
      <c r="AJ50" s="30">
        <f>AJ47+AJ49</f>
        <v/>
      </c>
      <c r="AK50" s="30">
        <f>AK47+AK49</f>
        <v/>
      </c>
      <c r="AL50" s="30">
        <f>AL47+AL49</f>
        <v/>
      </c>
      <c r="AM50" s="30">
        <f>AM47+AM49</f>
        <v/>
      </c>
      <c r="AN50" s="30">
        <f>AN47+AN49</f>
        <v/>
      </c>
      <c r="AO50" s="30">
        <f>AO47+AO49</f>
        <v/>
      </c>
      <c r="AP50" s="30">
        <f>AP47+AP49</f>
        <v/>
      </c>
      <c r="AQ50" s="30">
        <f>AQ47+AQ49</f>
        <v/>
      </c>
      <c r="AR50" s="30">
        <f>AR47+AR49</f>
        <v/>
      </c>
      <c r="AS50" s="30">
        <f>AS47+AS49</f>
        <v/>
      </c>
      <c r="AT50" s="30">
        <f>AT47+AT49</f>
        <v/>
      </c>
      <c r="AU50" s="30">
        <f>AU47+AU49</f>
        <v/>
      </c>
      <c r="AV50" s="30">
        <f>AV47+AV49</f>
        <v/>
      </c>
      <c r="AW50" s="30">
        <f>AW47+AW49</f>
        <v/>
      </c>
      <c r="AX50" s="30">
        <f>AX47+AX49</f>
        <v/>
      </c>
      <c r="AY50" s="30">
        <f>AY47+AY49</f>
        <v/>
      </c>
      <c r="AZ50" s="30">
        <f>AZ47+AZ49</f>
        <v/>
      </c>
      <c r="BA50" s="30">
        <f>BA47+BA49</f>
        <v/>
      </c>
      <c r="BB50" s="30">
        <f>BB47+BB49</f>
        <v/>
      </c>
      <c r="BC50" s="30">
        <f>BC47+BC49</f>
        <v/>
      </c>
      <c r="BD50" s="30">
        <f>BD47+BD49</f>
        <v/>
      </c>
      <c r="BE50" s="30">
        <f>BE47+BE49</f>
        <v/>
      </c>
      <c r="BF50" s="30">
        <f>BF47+BF49</f>
        <v/>
      </c>
      <c r="BG50" s="30">
        <f>BG47+BG49</f>
        <v/>
      </c>
      <c r="BH50" s="30">
        <f>BH47+BH49</f>
        <v/>
      </c>
      <c r="BI50" s="30">
        <f>BI47+BI49</f>
        <v/>
      </c>
      <c r="BJ50" s="30">
        <f>BJ47+BJ49</f>
        <v/>
      </c>
      <c r="BK50" s="30">
        <f>BK47+BK49</f>
        <v/>
      </c>
      <c r="BL50" s="30">
        <f>BL47+BL49</f>
        <v/>
      </c>
      <c r="BM50" s="30">
        <f>BM47+BM49</f>
        <v/>
      </c>
      <c r="BN50" s="30">
        <f>BN47+BN49</f>
        <v/>
      </c>
      <c r="BO50" s="30">
        <f>BO47+BO49</f>
        <v/>
      </c>
      <c r="BP50" s="30">
        <f>BP47+BP49</f>
        <v/>
      </c>
      <c r="BQ50" s="30">
        <f>BQ47+BQ49</f>
        <v/>
      </c>
      <c r="BR50" s="30">
        <f>BR47+BR49</f>
        <v/>
      </c>
      <c r="BS50" s="30">
        <f>BS47+BS49</f>
        <v/>
      </c>
      <c r="BT50" s="30">
        <f>BT47+BT49</f>
        <v/>
      </c>
      <c r="BU50" s="30">
        <f>BU47+BU49</f>
        <v/>
      </c>
      <c r="BV50" s="30">
        <f>BV47+BV49</f>
        <v/>
      </c>
      <c r="BW50" s="30">
        <f>BW47+BW49</f>
        <v/>
      </c>
      <c r="BX50" s="30">
        <f>BX47+BX49</f>
        <v/>
      </c>
      <c r="BY50" s="30">
        <f>BY47+BY49</f>
        <v/>
      </c>
      <c r="BZ50" s="30">
        <f>BZ47+BZ49</f>
        <v/>
      </c>
      <c r="CA50" s="30">
        <f>CA47+CA49</f>
        <v/>
      </c>
      <c r="CB50" s="30">
        <f>CB47+CB49</f>
        <v/>
      </c>
      <c r="CC50" s="30">
        <f>CC47+CC49</f>
        <v/>
      </c>
      <c r="CD50" s="30">
        <f>CD47+CD49</f>
        <v/>
      </c>
      <c r="CE50" s="30">
        <f>CE47+CE49</f>
        <v/>
      </c>
      <c r="CF50" s="30">
        <f>CF47+CF49</f>
        <v/>
      </c>
      <c r="CG50" s="30">
        <f>CG47+CG49</f>
        <v/>
      </c>
      <c r="CH50" s="30">
        <f>CH47+CH49</f>
        <v/>
      </c>
    </row>
    <row r="51">
      <c r="A51" s="2" t="inlineStr">
        <is>
          <t>Lucro bruto</t>
        </is>
      </c>
      <c r="C51" s="30">
        <f>C44-C50</f>
        <v/>
      </c>
      <c r="D51" s="30">
        <f>D44-D50</f>
        <v/>
      </c>
      <c r="E51" s="30">
        <f>E44-E50</f>
        <v/>
      </c>
      <c r="F51" s="30">
        <f>F44-F50</f>
        <v/>
      </c>
      <c r="G51" s="30">
        <f>G44-G50</f>
        <v/>
      </c>
      <c r="H51" s="30">
        <f>H44-H50</f>
        <v/>
      </c>
      <c r="I51" s="30">
        <f>I44-I50</f>
        <v/>
      </c>
      <c r="J51" s="30">
        <f>J44-J50</f>
        <v/>
      </c>
      <c r="K51" s="30">
        <f>K44-K50</f>
        <v/>
      </c>
      <c r="L51" s="30">
        <f>L44-L50</f>
        <v/>
      </c>
      <c r="M51" s="30">
        <f>M44-M50</f>
        <v/>
      </c>
      <c r="N51" s="30">
        <f>N44-N50</f>
        <v/>
      </c>
      <c r="O51" s="30">
        <f>O44-O50</f>
        <v/>
      </c>
      <c r="P51" s="30">
        <f>P44-P50</f>
        <v/>
      </c>
      <c r="Q51" s="30">
        <f>Q44-Q50</f>
        <v/>
      </c>
      <c r="R51" s="30">
        <f>R44-R50</f>
        <v/>
      </c>
      <c r="S51" s="30">
        <f>S44-S50</f>
        <v/>
      </c>
      <c r="T51" s="30">
        <f>T44-T50</f>
        <v/>
      </c>
      <c r="U51" s="30">
        <f>U44-U50</f>
        <v/>
      </c>
      <c r="V51" s="30">
        <f>V44-V50</f>
        <v/>
      </c>
      <c r="W51" s="30">
        <f>W44-W50</f>
        <v/>
      </c>
      <c r="X51" s="30">
        <f>X44-X50</f>
        <v/>
      </c>
      <c r="Y51" s="30">
        <f>Y44-Y50</f>
        <v/>
      </c>
      <c r="Z51" s="30">
        <f>Z44-Z50</f>
        <v/>
      </c>
      <c r="AA51" s="30">
        <f>AA44-AA50</f>
        <v/>
      </c>
      <c r="AB51" s="30">
        <f>AB44-AB50</f>
        <v/>
      </c>
      <c r="AC51" s="30">
        <f>AC44-AC50</f>
        <v/>
      </c>
      <c r="AD51" s="30">
        <f>AD44-AD50</f>
        <v/>
      </c>
      <c r="AE51" s="30">
        <f>AE44-AE50</f>
        <v/>
      </c>
      <c r="AF51" s="30">
        <f>AF44-AF50</f>
        <v/>
      </c>
      <c r="AG51" s="30">
        <f>AG44-AG50</f>
        <v/>
      </c>
      <c r="AH51" s="30">
        <f>AH44-AH50</f>
        <v/>
      </c>
      <c r="AI51" s="30">
        <f>AI44-AI50</f>
        <v/>
      </c>
      <c r="AJ51" s="30">
        <f>AJ44-AJ50</f>
        <v/>
      </c>
      <c r="AK51" s="30">
        <f>AK44-AK50</f>
        <v/>
      </c>
      <c r="AL51" s="30">
        <f>AL44-AL50</f>
        <v/>
      </c>
      <c r="AM51" s="30">
        <f>AM44-AM50</f>
        <v/>
      </c>
      <c r="AN51" s="30">
        <f>AN44-AN50</f>
        <v/>
      </c>
      <c r="AO51" s="30">
        <f>AO44-AO50</f>
        <v/>
      </c>
      <c r="AP51" s="30">
        <f>AP44-AP50</f>
        <v/>
      </c>
      <c r="AQ51" s="30">
        <f>AQ44-AQ50</f>
        <v/>
      </c>
      <c r="AR51" s="30">
        <f>AR44-AR50</f>
        <v/>
      </c>
      <c r="AS51" s="30">
        <f>AS44-AS50</f>
        <v/>
      </c>
      <c r="AT51" s="30">
        <f>AT44-AT50</f>
        <v/>
      </c>
      <c r="AU51" s="30">
        <f>AU44-AU50</f>
        <v/>
      </c>
      <c r="AV51" s="30">
        <f>AV44-AV50</f>
        <v/>
      </c>
      <c r="AW51" s="30">
        <f>AW44-AW50</f>
        <v/>
      </c>
      <c r="AX51" s="30">
        <f>AX44-AX50</f>
        <v/>
      </c>
      <c r="AY51" s="30">
        <f>AY44-AY50</f>
        <v/>
      </c>
      <c r="AZ51" s="30">
        <f>AZ44-AZ50</f>
        <v/>
      </c>
      <c r="BA51" s="30">
        <f>BA44-BA50</f>
        <v/>
      </c>
      <c r="BB51" s="30">
        <f>BB44-BB50</f>
        <v/>
      </c>
      <c r="BC51" s="30">
        <f>BC44-BC50</f>
        <v/>
      </c>
      <c r="BD51" s="30">
        <f>BD44-BD50</f>
        <v/>
      </c>
      <c r="BE51" s="30">
        <f>BE44-BE50</f>
        <v/>
      </c>
      <c r="BF51" s="30">
        <f>BF44-BF50</f>
        <v/>
      </c>
      <c r="BG51" s="30">
        <f>BG44-BG50</f>
        <v/>
      </c>
      <c r="BH51" s="30">
        <f>BH44-BH50</f>
        <v/>
      </c>
      <c r="BI51" s="30">
        <f>BI44-BI50</f>
        <v/>
      </c>
      <c r="BJ51" s="30">
        <f>BJ44-BJ50</f>
        <v/>
      </c>
      <c r="BK51" s="30">
        <f>BK44-BK50</f>
        <v/>
      </c>
      <c r="BL51" s="30">
        <f>BL44-BL50</f>
        <v/>
      </c>
      <c r="BM51" s="30">
        <f>BM44-BM50</f>
        <v/>
      </c>
      <c r="BN51" s="30">
        <f>BN44-BN50</f>
        <v/>
      </c>
      <c r="BO51" s="30">
        <f>BO44-BO50</f>
        <v/>
      </c>
      <c r="BP51" s="30">
        <f>BP44-BP50</f>
        <v/>
      </c>
      <c r="BQ51" s="30">
        <f>BQ44-BQ50</f>
        <v/>
      </c>
      <c r="BR51" s="30">
        <f>BR44-BR50</f>
        <v/>
      </c>
      <c r="BS51" s="30">
        <f>BS44-BS50</f>
        <v/>
      </c>
      <c r="BT51" s="30">
        <f>BT44-BT50</f>
        <v/>
      </c>
      <c r="BU51" s="30">
        <f>BU44-BU50</f>
        <v/>
      </c>
      <c r="BV51" s="30">
        <f>BV44-BV50</f>
        <v/>
      </c>
      <c r="BW51" s="30">
        <f>BW44-BW50</f>
        <v/>
      </c>
      <c r="BX51" s="30">
        <f>BX44-BX50</f>
        <v/>
      </c>
      <c r="BY51" s="30">
        <f>BY44-BY50</f>
        <v/>
      </c>
      <c r="BZ51" s="30">
        <f>BZ44-BZ50</f>
        <v/>
      </c>
      <c r="CA51" s="30">
        <f>CA44-CA50</f>
        <v/>
      </c>
      <c r="CB51" s="30">
        <f>CB44-CB50</f>
        <v/>
      </c>
      <c r="CC51" s="30">
        <f>CC44-CC50</f>
        <v/>
      </c>
      <c r="CD51" s="30">
        <f>CD44-CD50</f>
        <v/>
      </c>
      <c r="CE51" s="30">
        <f>CE44-CE50</f>
        <v/>
      </c>
      <c r="CF51" s="30">
        <f>CF44-CF50</f>
        <v/>
      </c>
      <c r="CG51" s="30">
        <f>CG44-CG50</f>
        <v/>
      </c>
      <c r="CH51" s="30">
        <f>CH44-CH50</f>
        <v/>
      </c>
    </row>
    <row r="52">
      <c r="A52" s="3" t="inlineStr">
        <is>
          <t>Margem bruta (sobre a receita líquida)</t>
        </is>
      </c>
      <c r="C52" s="27">
        <f>IF(C44&gt;0,C51/C44,0)</f>
        <v/>
      </c>
      <c r="D52" s="27">
        <f>IF(D44&gt;0,D51/D44,0)</f>
        <v/>
      </c>
      <c r="E52" s="27">
        <f>IF(E44&gt;0,E51/E44,0)</f>
        <v/>
      </c>
      <c r="F52" s="27">
        <f>IF(F44&gt;0,F51/F44,0)</f>
        <v/>
      </c>
      <c r="G52" s="27">
        <f>IF(G44&gt;0,G51/G44,0)</f>
        <v/>
      </c>
      <c r="H52" s="27">
        <f>IF(H44&gt;0,H51/H44,0)</f>
        <v/>
      </c>
      <c r="I52" s="27">
        <f>IF(I44&gt;0,I51/I44,0)</f>
        <v/>
      </c>
      <c r="J52" s="27">
        <f>IF(J44&gt;0,J51/J44,0)</f>
        <v/>
      </c>
      <c r="K52" s="27">
        <f>IF(K44&gt;0,K51/K44,0)</f>
        <v/>
      </c>
      <c r="L52" s="27">
        <f>IF(L44&gt;0,L51/L44,0)</f>
        <v/>
      </c>
      <c r="M52" s="27">
        <f>IF(M44&gt;0,M51/M44,0)</f>
        <v/>
      </c>
      <c r="N52" s="27">
        <f>IF(N44&gt;0,N51/N44,0)</f>
        <v/>
      </c>
      <c r="O52" s="27">
        <f>IF(O44&gt;0,O51/O44,0)</f>
        <v/>
      </c>
      <c r="P52" s="27">
        <f>IF(P44&gt;0,P51/P44,0)</f>
        <v/>
      </c>
      <c r="Q52" s="27">
        <f>IF(Q44&gt;0,Q51/Q44,0)</f>
        <v/>
      </c>
      <c r="R52" s="27">
        <f>IF(R44&gt;0,R51/R44,0)</f>
        <v/>
      </c>
      <c r="S52" s="27">
        <f>IF(S44&gt;0,S51/S44,0)</f>
        <v/>
      </c>
      <c r="T52" s="27">
        <f>IF(T44&gt;0,T51/T44,0)</f>
        <v/>
      </c>
      <c r="U52" s="27">
        <f>IF(U44&gt;0,U51/U44,0)</f>
        <v/>
      </c>
      <c r="V52" s="27">
        <f>IF(V44&gt;0,V51/V44,0)</f>
        <v/>
      </c>
      <c r="W52" s="27">
        <f>IF(W44&gt;0,W51/W44,0)</f>
        <v/>
      </c>
      <c r="X52" s="27">
        <f>IF(X44&gt;0,X51/X44,0)</f>
        <v/>
      </c>
      <c r="Y52" s="27">
        <f>IF(Y44&gt;0,Y51/Y44,0)</f>
        <v/>
      </c>
      <c r="Z52" s="27">
        <f>IF(Z44&gt;0,Z51/Z44,0)</f>
        <v/>
      </c>
      <c r="AA52" s="27">
        <f>IF(AA44&gt;0,AA51/AA44,0)</f>
        <v/>
      </c>
      <c r="AB52" s="27">
        <f>IF(AB44&gt;0,AB51/AB44,0)</f>
        <v/>
      </c>
      <c r="AC52" s="27">
        <f>IF(AC44&gt;0,AC51/AC44,0)</f>
        <v/>
      </c>
      <c r="AD52" s="27">
        <f>IF(AD44&gt;0,AD51/AD44,0)</f>
        <v/>
      </c>
      <c r="AE52" s="27">
        <f>IF(AE44&gt;0,AE51/AE44,0)</f>
        <v/>
      </c>
      <c r="AF52" s="27">
        <f>IF(AF44&gt;0,AF51/AF44,0)</f>
        <v/>
      </c>
      <c r="AG52" s="27">
        <f>IF(AG44&gt;0,AG51/AG44,0)</f>
        <v/>
      </c>
      <c r="AH52" s="27">
        <f>IF(AH44&gt;0,AH51/AH44,0)</f>
        <v/>
      </c>
      <c r="AI52" s="27">
        <f>IF(AI44&gt;0,AI51/AI44,0)</f>
        <v/>
      </c>
      <c r="AJ52" s="27">
        <f>IF(AJ44&gt;0,AJ51/AJ44,0)</f>
        <v/>
      </c>
      <c r="AK52" s="27">
        <f>IF(AK44&gt;0,AK51/AK44,0)</f>
        <v/>
      </c>
      <c r="AL52" s="27">
        <f>IF(AL44&gt;0,AL51/AL44,0)</f>
        <v/>
      </c>
      <c r="AM52" s="27">
        <f>IF(AM44&gt;0,AM51/AM44,0)</f>
        <v/>
      </c>
      <c r="AN52" s="27">
        <f>IF(AN44&gt;0,AN51/AN44,0)</f>
        <v/>
      </c>
      <c r="AO52" s="27">
        <f>IF(AO44&gt;0,AO51/AO44,0)</f>
        <v/>
      </c>
      <c r="AP52" s="27">
        <f>IF(AP44&gt;0,AP51/AP44,0)</f>
        <v/>
      </c>
      <c r="AQ52" s="27">
        <f>IF(AQ44&gt;0,AQ51/AQ44,0)</f>
        <v/>
      </c>
      <c r="AR52" s="27">
        <f>IF(AR44&gt;0,AR51/AR44,0)</f>
        <v/>
      </c>
      <c r="AS52" s="27">
        <f>IF(AS44&gt;0,AS51/AS44,0)</f>
        <v/>
      </c>
      <c r="AT52" s="27">
        <f>IF(AT44&gt;0,AT51/AT44,0)</f>
        <v/>
      </c>
      <c r="AU52" s="27">
        <f>IF(AU44&gt;0,AU51/AU44,0)</f>
        <v/>
      </c>
      <c r="AV52" s="27">
        <f>IF(AV44&gt;0,AV51/AV44,0)</f>
        <v/>
      </c>
      <c r="AW52" s="27">
        <f>IF(AW44&gt;0,AW51/AW44,0)</f>
        <v/>
      </c>
      <c r="AX52" s="27">
        <f>IF(AX44&gt;0,AX51/AX44,0)</f>
        <v/>
      </c>
      <c r="AY52" s="27">
        <f>IF(AY44&gt;0,AY51/AY44,0)</f>
        <v/>
      </c>
      <c r="AZ52" s="27">
        <f>IF(AZ44&gt;0,AZ51/AZ44,0)</f>
        <v/>
      </c>
      <c r="BA52" s="27">
        <f>IF(BA44&gt;0,BA51/BA44,0)</f>
        <v/>
      </c>
      <c r="BB52" s="27">
        <f>IF(BB44&gt;0,BB51/BB44,0)</f>
        <v/>
      </c>
      <c r="BC52" s="27">
        <f>IF(BC44&gt;0,BC51/BC44,0)</f>
        <v/>
      </c>
      <c r="BD52" s="27">
        <f>IF(BD44&gt;0,BD51/BD44,0)</f>
        <v/>
      </c>
      <c r="BE52" s="27">
        <f>IF(BE44&gt;0,BE51/BE44,0)</f>
        <v/>
      </c>
      <c r="BF52" s="27">
        <f>IF(BF44&gt;0,BF51/BF44,0)</f>
        <v/>
      </c>
      <c r="BG52" s="27">
        <f>IF(BG44&gt;0,BG51/BG44,0)</f>
        <v/>
      </c>
      <c r="BH52" s="27">
        <f>IF(BH44&gt;0,BH51/BH44,0)</f>
        <v/>
      </c>
      <c r="BI52" s="27">
        <f>IF(BI44&gt;0,BI51/BI44,0)</f>
        <v/>
      </c>
      <c r="BJ52" s="27">
        <f>IF(BJ44&gt;0,BJ51/BJ44,0)</f>
        <v/>
      </c>
      <c r="BK52" s="27">
        <f>IF(BK44&gt;0,BK51/BK44,0)</f>
        <v/>
      </c>
      <c r="BL52" s="27">
        <f>IF(BL44&gt;0,BL51/BL44,0)</f>
        <v/>
      </c>
      <c r="BM52" s="27">
        <f>IF(BM44&gt;0,BM51/BM44,0)</f>
        <v/>
      </c>
      <c r="BN52" s="27">
        <f>IF(BN44&gt;0,BN51/BN44,0)</f>
        <v/>
      </c>
      <c r="BO52" s="27">
        <f>IF(BO44&gt;0,BO51/BO44,0)</f>
        <v/>
      </c>
      <c r="BP52" s="27">
        <f>IF(BP44&gt;0,BP51/BP44,0)</f>
        <v/>
      </c>
      <c r="BQ52" s="27">
        <f>IF(BQ44&gt;0,BQ51/BQ44,0)</f>
        <v/>
      </c>
      <c r="BR52" s="27">
        <f>IF(BR44&gt;0,BR51/BR44,0)</f>
        <v/>
      </c>
      <c r="BS52" s="27">
        <f>IF(BS44&gt;0,BS51/BS44,0)</f>
        <v/>
      </c>
      <c r="BT52" s="27">
        <f>IF(BT44&gt;0,BT51/BT44,0)</f>
        <v/>
      </c>
      <c r="BU52" s="27">
        <f>IF(BU44&gt;0,BU51/BU44,0)</f>
        <v/>
      </c>
      <c r="BV52" s="27">
        <f>IF(BV44&gt;0,BV51/BV44,0)</f>
        <v/>
      </c>
      <c r="BW52" s="27">
        <f>IF(BW44&gt;0,BW51/BW44,0)</f>
        <v/>
      </c>
      <c r="BX52" s="27">
        <f>IF(BX44&gt;0,BX51/BX44,0)</f>
        <v/>
      </c>
      <c r="BY52" s="27">
        <f>IF(BY44&gt;0,BY51/BY44,0)</f>
        <v/>
      </c>
      <c r="BZ52" s="27">
        <f>IF(BZ44&gt;0,BZ51/BZ44,0)</f>
        <v/>
      </c>
      <c r="CA52" s="27">
        <f>IF(CA44&gt;0,CA51/CA44,0)</f>
        <v/>
      </c>
      <c r="CB52" s="27">
        <f>IF(CB44&gt;0,CB51/CB44,0)</f>
        <v/>
      </c>
      <c r="CC52" s="27">
        <f>IF(CC44&gt;0,CC51/CC44,0)</f>
        <v/>
      </c>
      <c r="CD52" s="27">
        <f>IF(CD44&gt;0,CD51/CD44,0)</f>
        <v/>
      </c>
      <c r="CE52" s="27">
        <f>IF(CE44&gt;0,CE51/CE44,0)</f>
        <v/>
      </c>
      <c r="CF52" s="27">
        <f>IF(CF44&gt;0,CF51/CF44,0)</f>
        <v/>
      </c>
      <c r="CG52" s="27">
        <f>IF(CG44&gt;0,CG51/CG44,0)</f>
        <v/>
      </c>
      <c r="CH52" s="27">
        <f>IF(CH44&gt;0,CH51/CH44,0)</f>
        <v/>
      </c>
    </row>
    <row r="54">
      <c r="A54" s="4" t="inlineStr">
        <is>
          <t>Despesas operacionais</t>
        </is>
      </c>
      <c r="B54" s="5" t="n"/>
    </row>
    <row r="55">
      <c r="A55" s="3" t="inlineStr">
        <is>
          <t>Produto, engenharia e IA</t>
        </is>
      </c>
      <c r="C55" s="26">
        <f>INDEX(Premissas!$C$24:$I$24,1,C3)*Premissas!$F$32</f>
        <v/>
      </c>
      <c r="D55" s="26">
        <f>INDEX(Premissas!$C$24:$I$24,1,D3)*Premissas!$F$32</f>
        <v/>
      </c>
      <c r="E55" s="26">
        <f>INDEX(Premissas!$C$24:$I$24,1,E3)*Premissas!$F$32</f>
        <v/>
      </c>
      <c r="F55" s="26">
        <f>INDEX(Premissas!$C$24:$I$24,1,F3)*Premissas!$F$32</f>
        <v/>
      </c>
      <c r="G55" s="26">
        <f>INDEX(Premissas!$C$24:$I$24,1,G3)*Premissas!$F$32</f>
        <v/>
      </c>
      <c r="H55" s="26">
        <f>INDEX(Premissas!$C$24:$I$24,1,H3)*Premissas!$F$32</f>
        <v/>
      </c>
      <c r="I55" s="26">
        <f>INDEX(Premissas!$C$24:$I$24,1,I3)*Premissas!$F$32</f>
        <v/>
      </c>
      <c r="J55" s="26">
        <f>INDEX(Premissas!$C$24:$I$24,1,J3)*Premissas!$F$32</f>
        <v/>
      </c>
      <c r="K55" s="26">
        <f>INDEX(Premissas!$C$24:$I$24,1,K3)*Premissas!$F$32</f>
        <v/>
      </c>
      <c r="L55" s="26">
        <f>INDEX(Premissas!$C$24:$I$24,1,L3)*Premissas!$F$32</f>
        <v/>
      </c>
      <c r="M55" s="26">
        <f>INDEX(Premissas!$C$24:$I$24,1,M3)*Premissas!$F$32</f>
        <v/>
      </c>
      <c r="N55" s="26">
        <f>INDEX(Premissas!$C$24:$I$24,1,N3)*Premissas!$F$32</f>
        <v/>
      </c>
      <c r="O55" s="26">
        <f>INDEX(Premissas!$C$24:$I$24,1,O3)*Premissas!$F$32</f>
        <v/>
      </c>
      <c r="P55" s="26">
        <f>INDEX(Premissas!$C$24:$I$24,1,P3)*Premissas!$F$32</f>
        <v/>
      </c>
      <c r="Q55" s="26">
        <f>INDEX(Premissas!$C$24:$I$24,1,Q3)*Premissas!$F$32</f>
        <v/>
      </c>
      <c r="R55" s="26">
        <f>INDEX(Premissas!$C$24:$I$24,1,R3)*Premissas!$F$32</f>
        <v/>
      </c>
      <c r="S55" s="26">
        <f>INDEX(Premissas!$C$24:$I$24,1,S3)*Premissas!$F$32</f>
        <v/>
      </c>
      <c r="T55" s="26">
        <f>INDEX(Premissas!$C$24:$I$24,1,T3)*Premissas!$F$32</f>
        <v/>
      </c>
      <c r="U55" s="26">
        <f>INDEX(Premissas!$C$24:$I$24,1,U3)*Premissas!$F$32</f>
        <v/>
      </c>
      <c r="V55" s="26">
        <f>INDEX(Premissas!$C$24:$I$24,1,V3)*Premissas!$F$32</f>
        <v/>
      </c>
      <c r="W55" s="26">
        <f>INDEX(Premissas!$C$24:$I$24,1,W3)*Premissas!$F$32</f>
        <v/>
      </c>
      <c r="X55" s="26">
        <f>INDEX(Premissas!$C$24:$I$24,1,X3)*Premissas!$F$32</f>
        <v/>
      </c>
      <c r="Y55" s="26">
        <f>INDEX(Premissas!$C$24:$I$24,1,Y3)*Premissas!$F$32</f>
        <v/>
      </c>
      <c r="Z55" s="26">
        <f>INDEX(Premissas!$C$24:$I$24,1,Z3)*Premissas!$F$32</f>
        <v/>
      </c>
      <c r="AA55" s="26">
        <f>INDEX(Premissas!$C$24:$I$24,1,AA3)*Premissas!$F$32</f>
        <v/>
      </c>
      <c r="AB55" s="26">
        <f>INDEX(Premissas!$C$24:$I$24,1,AB3)*Premissas!$F$32</f>
        <v/>
      </c>
      <c r="AC55" s="26">
        <f>INDEX(Premissas!$C$24:$I$24,1,AC3)*Premissas!$F$32</f>
        <v/>
      </c>
      <c r="AD55" s="26">
        <f>INDEX(Premissas!$C$24:$I$24,1,AD3)*Premissas!$F$32</f>
        <v/>
      </c>
      <c r="AE55" s="26">
        <f>INDEX(Premissas!$C$24:$I$24,1,AE3)*Premissas!$F$32</f>
        <v/>
      </c>
      <c r="AF55" s="26">
        <f>INDEX(Premissas!$C$24:$I$24,1,AF3)*Premissas!$F$32</f>
        <v/>
      </c>
      <c r="AG55" s="26">
        <f>INDEX(Premissas!$C$24:$I$24,1,AG3)*Premissas!$F$32</f>
        <v/>
      </c>
      <c r="AH55" s="26">
        <f>INDEX(Premissas!$C$24:$I$24,1,AH3)*Premissas!$F$32</f>
        <v/>
      </c>
      <c r="AI55" s="26">
        <f>INDEX(Premissas!$C$24:$I$24,1,AI3)*Premissas!$F$32</f>
        <v/>
      </c>
      <c r="AJ55" s="26">
        <f>INDEX(Premissas!$C$24:$I$24,1,AJ3)*Premissas!$F$32</f>
        <v/>
      </c>
      <c r="AK55" s="26">
        <f>INDEX(Premissas!$C$24:$I$24,1,AK3)*Premissas!$F$32</f>
        <v/>
      </c>
      <c r="AL55" s="26">
        <f>INDEX(Premissas!$C$24:$I$24,1,AL3)*Premissas!$F$32</f>
        <v/>
      </c>
      <c r="AM55" s="26">
        <f>INDEX(Premissas!$C$24:$I$24,1,AM3)*Premissas!$F$32</f>
        <v/>
      </c>
      <c r="AN55" s="26">
        <f>INDEX(Premissas!$C$24:$I$24,1,AN3)*Premissas!$F$32</f>
        <v/>
      </c>
      <c r="AO55" s="26">
        <f>INDEX(Premissas!$C$24:$I$24,1,AO3)*Premissas!$F$32</f>
        <v/>
      </c>
      <c r="AP55" s="26">
        <f>INDEX(Premissas!$C$24:$I$24,1,AP3)*Premissas!$F$32</f>
        <v/>
      </c>
      <c r="AQ55" s="26">
        <f>INDEX(Premissas!$C$24:$I$24,1,AQ3)*Premissas!$F$32</f>
        <v/>
      </c>
      <c r="AR55" s="26">
        <f>INDEX(Premissas!$C$24:$I$24,1,AR3)*Premissas!$F$32</f>
        <v/>
      </c>
      <c r="AS55" s="26">
        <f>INDEX(Premissas!$C$24:$I$24,1,AS3)*Premissas!$F$32</f>
        <v/>
      </c>
      <c r="AT55" s="26">
        <f>INDEX(Premissas!$C$24:$I$24,1,AT3)*Premissas!$F$32</f>
        <v/>
      </c>
      <c r="AU55" s="26">
        <f>INDEX(Premissas!$C$24:$I$24,1,AU3)*Premissas!$F$32</f>
        <v/>
      </c>
      <c r="AV55" s="26">
        <f>INDEX(Premissas!$C$24:$I$24,1,AV3)*Premissas!$F$32</f>
        <v/>
      </c>
      <c r="AW55" s="26">
        <f>INDEX(Premissas!$C$24:$I$24,1,AW3)*Premissas!$F$32</f>
        <v/>
      </c>
      <c r="AX55" s="26">
        <f>INDEX(Premissas!$C$24:$I$24,1,AX3)*Premissas!$F$32</f>
        <v/>
      </c>
      <c r="AY55" s="26">
        <f>INDEX(Premissas!$C$24:$I$24,1,AY3)*Premissas!$F$32</f>
        <v/>
      </c>
      <c r="AZ55" s="26">
        <f>INDEX(Premissas!$C$24:$I$24,1,AZ3)*Premissas!$F$32</f>
        <v/>
      </c>
      <c r="BA55" s="26">
        <f>INDEX(Premissas!$C$24:$I$24,1,BA3)*Premissas!$F$32</f>
        <v/>
      </c>
      <c r="BB55" s="26">
        <f>INDEX(Premissas!$C$24:$I$24,1,BB3)*Premissas!$F$32</f>
        <v/>
      </c>
      <c r="BC55" s="26">
        <f>INDEX(Premissas!$C$24:$I$24,1,BC3)*Premissas!$F$32</f>
        <v/>
      </c>
      <c r="BD55" s="26">
        <f>INDEX(Premissas!$C$24:$I$24,1,BD3)*Premissas!$F$32</f>
        <v/>
      </c>
      <c r="BE55" s="26">
        <f>INDEX(Premissas!$C$24:$I$24,1,BE3)*Premissas!$F$32</f>
        <v/>
      </c>
      <c r="BF55" s="26">
        <f>INDEX(Premissas!$C$24:$I$24,1,BF3)*Premissas!$F$32</f>
        <v/>
      </c>
      <c r="BG55" s="26">
        <f>INDEX(Premissas!$C$24:$I$24,1,BG3)*Premissas!$F$32</f>
        <v/>
      </c>
      <c r="BH55" s="26">
        <f>INDEX(Premissas!$C$24:$I$24,1,BH3)*Premissas!$F$32</f>
        <v/>
      </c>
      <c r="BI55" s="26">
        <f>INDEX(Premissas!$C$24:$I$24,1,BI3)*Premissas!$F$32</f>
        <v/>
      </c>
      <c r="BJ55" s="26">
        <f>INDEX(Premissas!$C$24:$I$24,1,BJ3)*Premissas!$F$32</f>
        <v/>
      </c>
      <c r="BK55" s="26">
        <f>INDEX(Premissas!$C$24:$I$24,1,BK3)*Premissas!$F$32</f>
        <v/>
      </c>
      <c r="BL55" s="26">
        <f>INDEX(Premissas!$C$24:$I$24,1,BL3)*Premissas!$F$32</f>
        <v/>
      </c>
      <c r="BM55" s="26">
        <f>INDEX(Premissas!$C$24:$I$24,1,BM3)*Premissas!$F$32</f>
        <v/>
      </c>
      <c r="BN55" s="26">
        <f>INDEX(Premissas!$C$24:$I$24,1,BN3)*Premissas!$F$32</f>
        <v/>
      </c>
      <c r="BO55" s="26">
        <f>INDEX(Premissas!$C$24:$I$24,1,BO3)*Premissas!$F$32</f>
        <v/>
      </c>
      <c r="BP55" s="26">
        <f>INDEX(Premissas!$C$24:$I$24,1,BP3)*Premissas!$F$32</f>
        <v/>
      </c>
      <c r="BQ55" s="26">
        <f>INDEX(Premissas!$C$24:$I$24,1,BQ3)*Premissas!$F$32</f>
        <v/>
      </c>
      <c r="BR55" s="26">
        <f>INDEX(Premissas!$C$24:$I$24,1,BR3)*Premissas!$F$32</f>
        <v/>
      </c>
      <c r="BS55" s="26">
        <f>INDEX(Premissas!$C$24:$I$24,1,BS3)*Premissas!$F$32</f>
        <v/>
      </c>
      <c r="BT55" s="26">
        <f>INDEX(Premissas!$C$24:$I$24,1,BT3)*Premissas!$F$32</f>
        <v/>
      </c>
      <c r="BU55" s="26">
        <f>INDEX(Premissas!$C$24:$I$24,1,BU3)*Premissas!$F$32</f>
        <v/>
      </c>
      <c r="BV55" s="26">
        <f>INDEX(Premissas!$C$24:$I$24,1,BV3)*Premissas!$F$32</f>
        <v/>
      </c>
      <c r="BW55" s="26">
        <f>INDEX(Premissas!$C$24:$I$24,1,BW3)*Premissas!$F$32</f>
        <v/>
      </c>
      <c r="BX55" s="26">
        <f>INDEX(Premissas!$C$24:$I$24,1,BX3)*Premissas!$F$32</f>
        <v/>
      </c>
      <c r="BY55" s="26">
        <f>INDEX(Premissas!$C$24:$I$24,1,BY3)*Premissas!$F$32</f>
        <v/>
      </c>
      <c r="BZ55" s="26">
        <f>INDEX(Premissas!$C$24:$I$24,1,BZ3)*Premissas!$F$32</f>
        <v/>
      </c>
      <c r="CA55" s="26">
        <f>INDEX(Premissas!$C$24:$I$24,1,CA3)*Premissas!$F$32</f>
        <v/>
      </c>
      <c r="CB55" s="26">
        <f>INDEX(Premissas!$C$24:$I$24,1,CB3)*Premissas!$F$32</f>
        <v/>
      </c>
      <c r="CC55" s="26">
        <f>INDEX(Premissas!$C$24:$I$24,1,CC3)*Premissas!$F$32</f>
        <v/>
      </c>
      <c r="CD55" s="26">
        <f>INDEX(Premissas!$C$24:$I$24,1,CD3)*Premissas!$F$32</f>
        <v/>
      </c>
      <c r="CE55" s="26">
        <f>INDEX(Premissas!$C$24:$I$24,1,CE3)*Premissas!$F$32</f>
        <v/>
      </c>
      <c r="CF55" s="26">
        <f>INDEX(Premissas!$C$24:$I$24,1,CF3)*Premissas!$F$32</f>
        <v/>
      </c>
      <c r="CG55" s="26">
        <f>INDEX(Premissas!$C$24:$I$24,1,CG3)*Premissas!$F$32</f>
        <v/>
      </c>
      <c r="CH55" s="26">
        <f>INDEX(Premissas!$C$24:$I$24,1,CH3)*Premissas!$F$32</f>
        <v/>
      </c>
    </row>
    <row r="56">
      <c r="A56" s="3" t="inlineStr">
        <is>
          <t>Equipe de vendas e marketing</t>
        </is>
      </c>
      <c r="C56" s="26">
        <f>INDEX(Premissas!$C$28:$I$28,1,C3)*Premissas!$F$33</f>
        <v/>
      </c>
      <c r="D56" s="26">
        <f>INDEX(Premissas!$C$28:$I$28,1,D3)*Premissas!$F$33</f>
        <v/>
      </c>
      <c r="E56" s="26">
        <f>INDEX(Premissas!$C$28:$I$28,1,E3)*Premissas!$F$33</f>
        <v/>
      </c>
      <c r="F56" s="26">
        <f>INDEX(Premissas!$C$28:$I$28,1,F3)*Premissas!$F$33</f>
        <v/>
      </c>
      <c r="G56" s="26">
        <f>INDEX(Premissas!$C$28:$I$28,1,G3)*Premissas!$F$33</f>
        <v/>
      </c>
      <c r="H56" s="26">
        <f>INDEX(Premissas!$C$28:$I$28,1,H3)*Premissas!$F$33</f>
        <v/>
      </c>
      <c r="I56" s="26">
        <f>INDEX(Premissas!$C$28:$I$28,1,I3)*Premissas!$F$33</f>
        <v/>
      </c>
      <c r="J56" s="26">
        <f>INDEX(Premissas!$C$28:$I$28,1,J3)*Premissas!$F$33</f>
        <v/>
      </c>
      <c r="K56" s="26">
        <f>INDEX(Premissas!$C$28:$I$28,1,K3)*Premissas!$F$33</f>
        <v/>
      </c>
      <c r="L56" s="26">
        <f>INDEX(Premissas!$C$28:$I$28,1,L3)*Premissas!$F$33</f>
        <v/>
      </c>
      <c r="M56" s="26">
        <f>INDEX(Premissas!$C$28:$I$28,1,M3)*Premissas!$F$33</f>
        <v/>
      </c>
      <c r="N56" s="26">
        <f>INDEX(Premissas!$C$28:$I$28,1,N3)*Premissas!$F$33</f>
        <v/>
      </c>
      <c r="O56" s="26">
        <f>INDEX(Premissas!$C$28:$I$28,1,O3)*Premissas!$F$33</f>
        <v/>
      </c>
      <c r="P56" s="26">
        <f>INDEX(Premissas!$C$28:$I$28,1,P3)*Premissas!$F$33</f>
        <v/>
      </c>
      <c r="Q56" s="26">
        <f>INDEX(Premissas!$C$28:$I$28,1,Q3)*Premissas!$F$33</f>
        <v/>
      </c>
      <c r="R56" s="26">
        <f>INDEX(Premissas!$C$28:$I$28,1,R3)*Premissas!$F$33</f>
        <v/>
      </c>
      <c r="S56" s="26">
        <f>INDEX(Premissas!$C$28:$I$28,1,S3)*Premissas!$F$33</f>
        <v/>
      </c>
      <c r="T56" s="26">
        <f>INDEX(Premissas!$C$28:$I$28,1,T3)*Premissas!$F$33</f>
        <v/>
      </c>
      <c r="U56" s="26">
        <f>INDEX(Premissas!$C$28:$I$28,1,U3)*Premissas!$F$33</f>
        <v/>
      </c>
      <c r="V56" s="26">
        <f>INDEX(Premissas!$C$28:$I$28,1,V3)*Premissas!$F$33</f>
        <v/>
      </c>
      <c r="W56" s="26">
        <f>INDEX(Premissas!$C$28:$I$28,1,W3)*Premissas!$F$33</f>
        <v/>
      </c>
      <c r="X56" s="26">
        <f>INDEX(Premissas!$C$28:$I$28,1,X3)*Premissas!$F$33</f>
        <v/>
      </c>
      <c r="Y56" s="26">
        <f>INDEX(Premissas!$C$28:$I$28,1,Y3)*Premissas!$F$33</f>
        <v/>
      </c>
      <c r="Z56" s="26">
        <f>INDEX(Premissas!$C$28:$I$28,1,Z3)*Premissas!$F$33</f>
        <v/>
      </c>
      <c r="AA56" s="26">
        <f>INDEX(Premissas!$C$28:$I$28,1,AA3)*Premissas!$F$33</f>
        <v/>
      </c>
      <c r="AB56" s="26">
        <f>INDEX(Premissas!$C$28:$I$28,1,AB3)*Premissas!$F$33</f>
        <v/>
      </c>
      <c r="AC56" s="26">
        <f>INDEX(Premissas!$C$28:$I$28,1,AC3)*Premissas!$F$33</f>
        <v/>
      </c>
      <c r="AD56" s="26">
        <f>INDEX(Premissas!$C$28:$I$28,1,AD3)*Premissas!$F$33</f>
        <v/>
      </c>
      <c r="AE56" s="26">
        <f>INDEX(Premissas!$C$28:$I$28,1,AE3)*Premissas!$F$33</f>
        <v/>
      </c>
      <c r="AF56" s="26">
        <f>INDEX(Premissas!$C$28:$I$28,1,AF3)*Premissas!$F$33</f>
        <v/>
      </c>
      <c r="AG56" s="26">
        <f>INDEX(Premissas!$C$28:$I$28,1,AG3)*Premissas!$F$33</f>
        <v/>
      </c>
      <c r="AH56" s="26">
        <f>INDEX(Premissas!$C$28:$I$28,1,AH3)*Premissas!$F$33</f>
        <v/>
      </c>
      <c r="AI56" s="26">
        <f>INDEX(Premissas!$C$28:$I$28,1,AI3)*Premissas!$F$33</f>
        <v/>
      </c>
      <c r="AJ56" s="26">
        <f>INDEX(Premissas!$C$28:$I$28,1,AJ3)*Premissas!$F$33</f>
        <v/>
      </c>
      <c r="AK56" s="26">
        <f>INDEX(Premissas!$C$28:$I$28,1,AK3)*Premissas!$F$33</f>
        <v/>
      </c>
      <c r="AL56" s="26">
        <f>INDEX(Premissas!$C$28:$I$28,1,AL3)*Premissas!$F$33</f>
        <v/>
      </c>
      <c r="AM56" s="26">
        <f>INDEX(Premissas!$C$28:$I$28,1,AM3)*Premissas!$F$33</f>
        <v/>
      </c>
      <c r="AN56" s="26">
        <f>INDEX(Premissas!$C$28:$I$28,1,AN3)*Premissas!$F$33</f>
        <v/>
      </c>
      <c r="AO56" s="26">
        <f>INDEX(Premissas!$C$28:$I$28,1,AO3)*Premissas!$F$33</f>
        <v/>
      </c>
      <c r="AP56" s="26">
        <f>INDEX(Premissas!$C$28:$I$28,1,AP3)*Premissas!$F$33</f>
        <v/>
      </c>
      <c r="AQ56" s="26">
        <f>INDEX(Premissas!$C$28:$I$28,1,AQ3)*Premissas!$F$33</f>
        <v/>
      </c>
      <c r="AR56" s="26">
        <f>INDEX(Premissas!$C$28:$I$28,1,AR3)*Premissas!$F$33</f>
        <v/>
      </c>
      <c r="AS56" s="26">
        <f>INDEX(Premissas!$C$28:$I$28,1,AS3)*Premissas!$F$33</f>
        <v/>
      </c>
      <c r="AT56" s="26">
        <f>INDEX(Premissas!$C$28:$I$28,1,AT3)*Premissas!$F$33</f>
        <v/>
      </c>
      <c r="AU56" s="26">
        <f>INDEX(Premissas!$C$28:$I$28,1,AU3)*Premissas!$F$33</f>
        <v/>
      </c>
      <c r="AV56" s="26">
        <f>INDEX(Premissas!$C$28:$I$28,1,AV3)*Premissas!$F$33</f>
        <v/>
      </c>
      <c r="AW56" s="26">
        <f>INDEX(Premissas!$C$28:$I$28,1,AW3)*Premissas!$F$33</f>
        <v/>
      </c>
      <c r="AX56" s="26">
        <f>INDEX(Premissas!$C$28:$I$28,1,AX3)*Premissas!$F$33</f>
        <v/>
      </c>
      <c r="AY56" s="26">
        <f>INDEX(Premissas!$C$28:$I$28,1,AY3)*Premissas!$F$33</f>
        <v/>
      </c>
      <c r="AZ56" s="26">
        <f>INDEX(Premissas!$C$28:$I$28,1,AZ3)*Premissas!$F$33</f>
        <v/>
      </c>
      <c r="BA56" s="26">
        <f>INDEX(Premissas!$C$28:$I$28,1,BA3)*Premissas!$F$33</f>
        <v/>
      </c>
      <c r="BB56" s="26">
        <f>INDEX(Premissas!$C$28:$I$28,1,BB3)*Premissas!$F$33</f>
        <v/>
      </c>
      <c r="BC56" s="26">
        <f>INDEX(Premissas!$C$28:$I$28,1,BC3)*Premissas!$F$33</f>
        <v/>
      </c>
      <c r="BD56" s="26">
        <f>INDEX(Premissas!$C$28:$I$28,1,BD3)*Premissas!$F$33</f>
        <v/>
      </c>
      <c r="BE56" s="26">
        <f>INDEX(Premissas!$C$28:$I$28,1,BE3)*Premissas!$F$33</f>
        <v/>
      </c>
      <c r="BF56" s="26">
        <f>INDEX(Premissas!$C$28:$I$28,1,BF3)*Premissas!$F$33</f>
        <v/>
      </c>
      <c r="BG56" s="26">
        <f>INDEX(Premissas!$C$28:$I$28,1,BG3)*Premissas!$F$33</f>
        <v/>
      </c>
      <c r="BH56" s="26">
        <f>INDEX(Premissas!$C$28:$I$28,1,BH3)*Premissas!$F$33</f>
        <v/>
      </c>
      <c r="BI56" s="26">
        <f>INDEX(Premissas!$C$28:$I$28,1,BI3)*Premissas!$F$33</f>
        <v/>
      </c>
      <c r="BJ56" s="26">
        <f>INDEX(Premissas!$C$28:$I$28,1,BJ3)*Premissas!$F$33</f>
        <v/>
      </c>
      <c r="BK56" s="26">
        <f>INDEX(Premissas!$C$28:$I$28,1,BK3)*Premissas!$F$33</f>
        <v/>
      </c>
      <c r="BL56" s="26">
        <f>INDEX(Premissas!$C$28:$I$28,1,BL3)*Premissas!$F$33</f>
        <v/>
      </c>
      <c r="BM56" s="26">
        <f>INDEX(Premissas!$C$28:$I$28,1,BM3)*Premissas!$F$33</f>
        <v/>
      </c>
      <c r="BN56" s="26">
        <f>INDEX(Premissas!$C$28:$I$28,1,BN3)*Premissas!$F$33</f>
        <v/>
      </c>
      <c r="BO56" s="26">
        <f>INDEX(Premissas!$C$28:$I$28,1,BO3)*Premissas!$F$33</f>
        <v/>
      </c>
      <c r="BP56" s="26">
        <f>INDEX(Premissas!$C$28:$I$28,1,BP3)*Premissas!$F$33</f>
        <v/>
      </c>
      <c r="BQ56" s="26">
        <f>INDEX(Premissas!$C$28:$I$28,1,BQ3)*Premissas!$F$33</f>
        <v/>
      </c>
      <c r="BR56" s="26">
        <f>INDEX(Premissas!$C$28:$I$28,1,BR3)*Premissas!$F$33</f>
        <v/>
      </c>
      <c r="BS56" s="26">
        <f>INDEX(Premissas!$C$28:$I$28,1,BS3)*Premissas!$F$33</f>
        <v/>
      </c>
      <c r="BT56" s="26">
        <f>INDEX(Premissas!$C$28:$I$28,1,BT3)*Premissas!$F$33</f>
        <v/>
      </c>
      <c r="BU56" s="26">
        <f>INDEX(Premissas!$C$28:$I$28,1,BU3)*Premissas!$F$33</f>
        <v/>
      </c>
      <c r="BV56" s="26">
        <f>INDEX(Premissas!$C$28:$I$28,1,BV3)*Premissas!$F$33</f>
        <v/>
      </c>
      <c r="BW56" s="26">
        <f>INDEX(Premissas!$C$28:$I$28,1,BW3)*Premissas!$F$33</f>
        <v/>
      </c>
      <c r="BX56" s="26">
        <f>INDEX(Premissas!$C$28:$I$28,1,BX3)*Premissas!$F$33</f>
        <v/>
      </c>
      <c r="BY56" s="26">
        <f>INDEX(Premissas!$C$28:$I$28,1,BY3)*Premissas!$F$33</f>
        <v/>
      </c>
      <c r="BZ56" s="26">
        <f>INDEX(Premissas!$C$28:$I$28,1,BZ3)*Premissas!$F$33</f>
        <v/>
      </c>
      <c r="CA56" s="26">
        <f>INDEX(Premissas!$C$28:$I$28,1,CA3)*Premissas!$F$33</f>
        <v/>
      </c>
      <c r="CB56" s="26">
        <f>INDEX(Premissas!$C$28:$I$28,1,CB3)*Premissas!$F$33</f>
        <v/>
      </c>
      <c r="CC56" s="26">
        <f>INDEX(Premissas!$C$28:$I$28,1,CC3)*Premissas!$F$33</f>
        <v/>
      </c>
      <c r="CD56" s="26">
        <f>INDEX(Premissas!$C$28:$I$28,1,CD3)*Premissas!$F$33</f>
        <v/>
      </c>
      <c r="CE56" s="26">
        <f>INDEX(Premissas!$C$28:$I$28,1,CE3)*Premissas!$F$33</f>
        <v/>
      </c>
      <c r="CF56" s="26">
        <f>INDEX(Premissas!$C$28:$I$28,1,CF3)*Premissas!$F$33</f>
        <v/>
      </c>
      <c r="CG56" s="26">
        <f>INDEX(Premissas!$C$28:$I$28,1,CG3)*Premissas!$F$33</f>
        <v/>
      </c>
      <c r="CH56" s="26">
        <f>INDEX(Premissas!$C$28:$I$28,1,CH3)*Premissas!$F$33</f>
        <v/>
      </c>
    </row>
    <row r="57">
      <c r="A57" s="3" t="inlineStr">
        <is>
          <t>Administrativo, jurídico e conformidade</t>
        </is>
      </c>
      <c r="C57" s="26">
        <f>INDEX(Premissas!$C$25:$I$25,1,C3)*Premissas!$F$34</f>
        <v/>
      </c>
      <c r="D57" s="26">
        <f>INDEX(Premissas!$C$25:$I$25,1,D3)*Premissas!$F$34</f>
        <v/>
      </c>
      <c r="E57" s="26">
        <f>INDEX(Premissas!$C$25:$I$25,1,E3)*Premissas!$F$34</f>
        <v/>
      </c>
      <c r="F57" s="26">
        <f>INDEX(Premissas!$C$25:$I$25,1,F3)*Premissas!$F$34</f>
        <v/>
      </c>
      <c r="G57" s="26">
        <f>INDEX(Premissas!$C$25:$I$25,1,G3)*Premissas!$F$34</f>
        <v/>
      </c>
      <c r="H57" s="26">
        <f>INDEX(Premissas!$C$25:$I$25,1,H3)*Premissas!$F$34</f>
        <v/>
      </c>
      <c r="I57" s="26">
        <f>INDEX(Premissas!$C$25:$I$25,1,I3)*Premissas!$F$34</f>
        <v/>
      </c>
      <c r="J57" s="26">
        <f>INDEX(Premissas!$C$25:$I$25,1,J3)*Premissas!$F$34</f>
        <v/>
      </c>
      <c r="K57" s="26">
        <f>INDEX(Premissas!$C$25:$I$25,1,K3)*Premissas!$F$34</f>
        <v/>
      </c>
      <c r="L57" s="26">
        <f>INDEX(Premissas!$C$25:$I$25,1,L3)*Premissas!$F$34</f>
        <v/>
      </c>
      <c r="M57" s="26">
        <f>INDEX(Premissas!$C$25:$I$25,1,M3)*Premissas!$F$34</f>
        <v/>
      </c>
      <c r="N57" s="26">
        <f>INDEX(Premissas!$C$25:$I$25,1,N3)*Premissas!$F$34</f>
        <v/>
      </c>
      <c r="O57" s="26">
        <f>INDEX(Premissas!$C$25:$I$25,1,O3)*Premissas!$F$34</f>
        <v/>
      </c>
      <c r="P57" s="26">
        <f>INDEX(Premissas!$C$25:$I$25,1,P3)*Premissas!$F$34</f>
        <v/>
      </c>
      <c r="Q57" s="26">
        <f>INDEX(Premissas!$C$25:$I$25,1,Q3)*Premissas!$F$34</f>
        <v/>
      </c>
      <c r="R57" s="26">
        <f>INDEX(Premissas!$C$25:$I$25,1,R3)*Premissas!$F$34</f>
        <v/>
      </c>
      <c r="S57" s="26">
        <f>INDEX(Premissas!$C$25:$I$25,1,S3)*Premissas!$F$34</f>
        <v/>
      </c>
      <c r="T57" s="26">
        <f>INDEX(Premissas!$C$25:$I$25,1,T3)*Premissas!$F$34</f>
        <v/>
      </c>
      <c r="U57" s="26">
        <f>INDEX(Premissas!$C$25:$I$25,1,U3)*Premissas!$F$34</f>
        <v/>
      </c>
      <c r="V57" s="26">
        <f>INDEX(Premissas!$C$25:$I$25,1,V3)*Premissas!$F$34</f>
        <v/>
      </c>
      <c r="W57" s="26">
        <f>INDEX(Premissas!$C$25:$I$25,1,W3)*Premissas!$F$34</f>
        <v/>
      </c>
      <c r="X57" s="26">
        <f>INDEX(Premissas!$C$25:$I$25,1,X3)*Premissas!$F$34</f>
        <v/>
      </c>
      <c r="Y57" s="26">
        <f>INDEX(Premissas!$C$25:$I$25,1,Y3)*Premissas!$F$34</f>
        <v/>
      </c>
      <c r="Z57" s="26">
        <f>INDEX(Premissas!$C$25:$I$25,1,Z3)*Premissas!$F$34</f>
        <v/>
      </c>
      <c r="AA57" s="26">
        <f>INDEX(Premissas!$C$25:$I$25,1,AA3)*Premissas!$F$34</f>
        <v/>
      </c>
      <c r="AB57" s="26">
        <f>INDEX(Premissas!$C$25:$I$25,1,AB3)*Premissas!$F$34</f>
        <v/>
      </c>
      <c r="AC57" s="26">
        <f>INDEX(Premissas!$C$25:$I$25,1,AC3)*Premissas!$F$34</f>
        <v/>
      </c>
      <c r="AD57" s="26">
        <f>INDEX(Premissas!$C$25:$I$25,1,AD3)*Premissas!$F$34</f>
        <v/>
      </c>
      <c r="AE57" s="26">
        <f>INDEX(Premissas!$C$25:$I$25,1,AE3)*Premissas!$F$34</f>
        <v/>
      </c>
      <c r="AF57" s="26">
        <f>INDEX(Premissas!$C$25:$I$25,1,AF3)*Premissas!$F$34</f>
        <v/>
      </c>
      <c r="AG57" s="26">
        <f>INDEX(Premissas!$C$25:$I$25,1,AG3)*Premissas!$F$34</f>
        <v/>
      </c>
      <c r="AH57" s="26">
        <f>INDEX(Premissas!$C$25:$I$25,1,AH3)*Premissas!$F$34</f>
        <v/>
      </c>
      <c r="AI57" s="26">
        <f>INDEX(Premissas!$C$25:$I$25,1,AI3)*Premissas!$F$34</f>
        <v/>
      </c>
      <c r="AJ57" s="26">
        <f>INDEX(Premissas!$C$25:$I$25,1,AJ3)*Premissas!$F$34</f>
        <v/>
      </c>
      <c r="AK57" s="26">
        <f>INDEX(Premissas!$C$25:$I$25,1,AK3)*Premissas!$F$34</f>
        <v/>
      </c>
      <c r="AL57" s="26">
        <f>INDEX(Premissas!$C$25:$I$25,1,AL3)*Premissas!$F$34</f>
        <v/>
      </c>
      <c r="AM57" s="26">
        <f>INDEX(Premissas!$C$25:$I$25,1,AM3)*Premissas!$F$34</f>
        <v/>
      </c>
      <c r="AN57" s="26">
        <f>INDEX(Premissas!$C$25:$I$25,1,AN3)*Premissas!$F$34</f>
        <v/>
      </c>
      <c r="AO57" s="26">
        <f>INDEX(Premissas!$C$25:$I$25,1,AO3)*Premissas!$F$34</f>
        <v/>
      </c>
      <c r="AP57" s="26">
        <f>INDEX(Premissas!$C$25:$I$25,1,AP3)*Premissas!$F$34</f>
        <v/>
      </c>
      <c r="AQ57" s="26">
        <f>INDEX(Premissas!$C$25:$I$25,1,AQ3)*Premissas!$F$34</f>
        <v/>
      </c>
      <c r="AR57" s="26">
        <f>INDEX(Premissas!$C$25:$I$25,1,AR3)*Premissas!$F$34</f>
        <v/>
      </c>
      <c r="AS57" s="26">
        <f>INDEX(Premissas!$C$25:$I$25,1,AS3)*Premissas!$F$34</f>
        <v/>
      </c>
      <c r="AT57" s="26">
        <f>INDEX(Premissas!$C$25:$I$25,1,AT3)*Premissas!$F$34</f>
        <v/>
      </c>
      <c r="AU57" s="26">
        <f>INDEX(Premissas!$C$25:$I$25,1,AU3)*Premissas!$F$34</f>
        <v/>
      </c>
      <c r="AV57" s="26">
        <f>INDEX(Premissas!$C$25:$I$25,1,AV3)*Premissas!$F$34</f>
        <v/>
      </c>
      <c r="AW57" s="26">
        <f>INDEX(Premissas!$C$25:$I$25,1,AW3)*Premissas!$F$34</f>
        <v/>
      </c>
      <c r="AX57" s="26">
        <f>INDEX(Premissas!$C$25:$I$25,1,AX3)*Premissas!$F$34</f>
        <v/>
      </c>
      <c r="AY57" s="26">
        <f>INDEX(Premissas!$C$25:$I$25,1,AY3)*Premissas!$F$34</f>
        <v/>
      </c>
      <c r="AZ57" s="26">
        <f>INDEX(Premissas!$C$25:$I$25,1,AZ3)*Premissas!$F$34</f>
        <v/>
      </c>
      <c r="BA57" s="26">
        <f>INDEX(Premissas!$C$25:$I$25,1,BA3)*Premissas!$F$34</f>
        <v/>
      </c>
      <c r="BB57" s="26">
        <f>INDEX(Premissas!$C$25:$I$25,1,BB3)*Premissas!$F$34</f>
        <v/>
      </c>
      <c r="BC57" s="26">
        <f>INDEX(Premissas!$C$25:$I$25,1,BC3)*Premissas!$F$34</f>
        <v/>
      </c>
      <c r="BD57" s="26">
        <f>INDEX(Premissas!$C$25:$I$25,1,BD3)*Premissas!$F$34</f>
        <v/>
      </c>
      <c r="BE57" s="26">
        <f>INDEX(Premissas!$C$25:$I$25,1,BE3)*Premissas!$F$34</f>
        <v/>
      </c>
      <c r="BF57" s="26">
        <f>INDEX(Premissas!$C$25:$I$25,1,BF3)*Premissas!$F$34</f>
        <v/>
      </c>
      <c r="BG57" s="26">
        <f>INDEX(Premissas!$C$25:$I$25,1,BG3)*Premissas!$F$34</f>
        <v/>
      </c>
      <c r="BH57" s="26">
        <f>INDEX(Premissas!$C$25:$I$25,1,BH3)*Premissas!$F$34</f>
        <v/>
      </c>
      <c r="BI57" s="26">
        <f>INDEX(Premissas!$C$25:$I$25,1,BI3)*Premissas!$F$34</f>
        <v/>
      </c>
      <c r="BJ57" s="26">
        <f>INDEX(Premissas!$C$25:$I$25,1,BJ3)*Premissas!$F$34</f>
        <v/>
      </c>
      <c r="BK57" s="26">
        <f>INDEX(Premissas!$C$25:$I$25,1,BK3)*Premissas!$F$34</f>
        <v/>
      </c>
      <c r="BL57" s="26">
        <f>INDEX(Premissas!$C$25:$I$25,1,BL3)*Premissas!$F$34</f>
        <v/>
      </c>
      <c r="BM57" s="26">
        <f>INDEX(Premissas!$C$25:$I$25,1,BM3)*Premissas!$F$34</f>
        <v/>
      </c>
      <c r="BN57" s="26">
        <f>INDEX(Premissas!$C$25:$I$25,1,BN3)*Premissas!$F$34</f>
        <v/>
      </c>
      <c r="BO57" s="26">
        <f>INDEX(Premissas!$C$25:$I$25,1,BO3)*Premissas!$F$34</f>
        <v/>
      </c>
      <c r="BP57" s="26">
        <f>INDEX(Premissas!$C$25:$I$25,1,BP3)*Premissas!$F$34</f>
        <v/>
      </c>
      <c r="BQ57" s="26">
        <f>INDEX(Premissas!$C$25:$I$25,1,BQ3)*Premissas!$F$34</f>
        <v/>
      </c>
      <c r="BR57" s="26">
        <f>INDEX(Premissas!$C$25:$I$25,1,BR3)*Premissas!$F$34</f>
        <v/>
      </c>
      <c r="BS57" s="26">
        <f>INDEX(Premissas!$C$25:$I$25,1,BS3)*Premissas!$F$34</f>
        <v/>
      </c>
      <c r="BT57" s="26">
        <f>INDEX(Premissas!$C$25:$I$25,1,BT3)*Premissas!$F$34</f>
        <v/>
      </c>
      <c r="BU57" s="26">
        <f>INDEX(Premissas!$C$25:$I$25,1,BU3)*Premissas!$F$34</f>
        <v/>
      </c>
      <c r="BV57" s="26">
        <f>INDEX(Premissas!$C$25:$I$25,1,BV3)*Premissas!$F$34</f>
        <v/>
      </c>
      <c r="BW57" s="26">
        <f>INDEX(Premissas!$C$25:$I$25,1,BW3)*Premissas!$F$34</f>
        <v/>
      </c>
      <c r="BX57" s="26">
        <f>INDEX(Premissas!$C$25:$I$25,1,BX3)*Premissas!$F$34</f>
        <v/>
      </c>
      <c r="BY57" s="26">
        <f>INDEX(Premissas!$C$25:$I$25,1,BY3)*Premissas!$F$34</f>
        <v/>
      </c>
      <c r="BZ57" s="26">
        <f>INDEX(Premissas!$C$25:$I$25,1,BZ3)*Premissas!$F$34</f>
        <v/>
      </c>
      <c r="CA57" s="26">
        <f>INDEX(Premissas!$C$25:$I$25,1,CA3)*Premissas!$F$34</f>
        <v/>
      </c>
      <c r="CB57" s="26">
        <f>INDEX(Premissas!$C$25:$I$25,1,CB3)*Premissas!$F$34</f>
        <v/>
      </c>
      <c r="CC57" s="26">
        <f>INDEX(Premissas!$C$25:$I$25,1,CC3)*Premissas!$F$34</f>
        <v/>
      </c>
      <c r="CD57" s="26">
        <f>INDEX(Premissas!$C$25:$I$25,1,CD3)*Premissas!$F$34</f>
        <v/>
      </c>
      <c r="CE57" s="26">
        <f>INDEX(Premissas!$C$25:$I$25,1,CE3)*Premissas!$F$34</f>
        <v/>
      </c>
      <c r="CF57" s="26">
        <f>INDEX(Premissas!$C$25:$I$25,1,CF3)*Premissas!$F$34</f>
        <v/>
      </c>
      <c r="CG57" s="26">
        <f>INDEX(Premissas!$C$25:$I$25,1,CG3)*Premissas!$F$34</f>
        <v/>
      </c>
      <c r="CH57" s="26">
        <f>INDEX(Premissas!$C$25:$I$25,1,CH3)*Premissas!$F$34</f>
        <v/>
      </c>
    </row>
    <row r="58">
      <c r="A58" s="3" t="inlineStr">
        <is>
          <t>Pró-labore dos fundadores</t>
        </is>
      </c>
      <c r="C58" s="26">
        <f>INDEX(Premissas!$C$26:$I$26,1,C3)*Premissas!$F$35</f>
        <v/>
      </c>
      <c r="D58" s="26">
        <f>INDEX(Premissas!$C$26:$I$26,1,D3)*Premissas!$F$35</f>
        <v/>
      </c>
      <c r="E58" s="26">
        <f>INDEX(Premissas!$C$26:$I$26,1,E3)*Premissas!$F$35</f>
        <v/>
      </c>
      <c r="F58" s="26">
        <f>INDEX(Premissas!$C$26:$I$26,1,F3)*Premissas!$F$35</f>
        <v/>
      </c>
      <c r="G58" s="26">
        <f>INDEX(Premissas!$C$26:$I$26,1,G3)*Premissas!$F$35</f>
        <v/>
      </c>
      <c r="H58" s="26">
        <f>INDEX(Premissas!$C$26:$I$26,1,H3)*Premissas!$F$35</f>
        <v/>
      </c>
      <c r="I58" s="26">
        <f>INDEX(Premissas!$C$26:$I$26,1,I3)*Premissas!$F$35</f>
        <v/>
      </c>
      <c r="J58" s="26">
        <f>INDEX(Premissas!$C$26:$I$26,1,J3)*Premissas!$F$35</f>
        <v/>
      </c>
      <c r="K58" s="26">
        <f>INDEX(Premissas!$C$26:$I$26,1,K3)*Premissas!$F$35</f>
        <v/>
      </c>
      <c r="L58" s="26">
        <f>INDEX(Premissas!$C$26:$I$26,1,L3)*Premissas!$F$35</f>
        <v/>
      </c>
      <c r="M58" s="26">
        <f>INDEX(Premissas!$C$26:$I$26,1,M3)*Premissas!$F$35</f>
        <v/>
      </c>
      <c r="N58" s="26">
        <f>INDEX(Premissas!$C$26:$I$26,1,N3)*Premissas!$F$35</f>
        <v/>
      </c>
      <c r="O58" s="26">
        <f>INDEX(Premissas!$C$26:$I$26,1,O3)*Premissas!$F$35</f>
        <v/>
      </c>
      <c r="P58" s="26">
        <f>INDEX(Premissas!$C$26:$I$26,1,P3)*Premissas!$F$35</f>
        <v/>
      </c>
      <c r="Q58" s="26">
        <f>INDEX(Premissas!$C$26:$I$26,1,Q3)*Premissas!$F$35</f>
        <v/>
      </c>
      <c r="R58" s="26">
        <f>INDEX(Premissas!$C$26:$I$26,1,R3)*Premissas!$F$35</f>
        <v/>
      </c>
      <c r="S58" s="26">
        <f>INDEX(Premissas!$C$26:$I$26,1,S3)*Premissas!$F$35</f>
        <v/>
      </c>
      <c r="T58" s="26">
        <f>INDEX(Premissas!$C$26:$I$26,1,T3)*Premissas!$F$35</f>
        <v/>
      </c>
      <c r="U58" s="26">
        <f>INDEX(Premissas!$C$26:$I$26,1,U3)*Premissas!$F$35</f>
        <v/>
      </c>
      <c r="V58" s="26">
        <f>INDEX(Premissas!$C$26:$I$26,1,V3)*Premissas!$F$35</f>
        <v/>
      </c>
      <c r="W58" s="26">
        <f>INDEX(Premissas!$C$26:$I$26,1,W3)*Premissas!$F$35</f>
        <v/>
      </c>
      <c r="X58" s="26">
        <f>INDEX(Premissas!$C$26:$I$26,1,X3)*Premissas!$F$35</f>
        <v/>
      </c>
      <c r="Y58" s="26">
        <f>INDEX(Premissas!$C$26:$I$26,1,Y3)*Premissas!$F$35</f>
        <v/>
      </c>
      <c r="Z58" s="26">
        <f>INDEX(Premissas!$C$26:$I$26,1,Z3)*Premissas!$F$35</f>
        <v/>
      </c>
      <c r="AA58" s="26">
        <f>INDEX(Premissas!$C$26:$I$26,1,AA3)*Premissas!$F$35</f>
        <v/>
      </c>
      <c r="AB58" s="26">
        <f>INDEX(Premissas!$C$26:$I$26,1,AB3)*Premissas!$F$35</f>
        <v/>
      </c>
      <c r="AC58" s="26">
        <f>INDEX(Premissas!$C$26:$I$26,1,AC3)*Premissas!$F$35</f>
        <v/>
      </c>
      <c r="AD58" s="26">
        <f>INDEX(Premissas!$C$26:$I$26,1,AD3)*Premissas!$F$35</f>
        <v/>
      </c>
      <c r="AE58" s="26">
        <f>INDEX(Premissas!$C$26:$I$26,1,AE3)*Premissas!$F$35</f>
        <v/>
      </c>
      <c r="AF58" s="26">
        <f>INDEX(Premissas!$C$26:$I$26,1,AF3)*Premissas!$F$35</f>
        <v/>
      </c>
      <c r="AG58" s="26">
        <f>INDEX(Premissas!$C$26:$I$26,1,AG3)*Premissas!$F$35</f>
        <v/>
      </c>
      <c r="AH58" s="26">
        <f>INDEX(Premissas!$C$26:$I$26,1,AH3)*Premissas!$F$35</f>
        <v/>
      </c>
      <c r="AI58" s="26">
        <f>INDEX(Premissas!$C$26:$I$26,1,AI3)*Premissas!$F$35</f>
        <v/>
      </c>
      <c r="AJ58" s="26">
        <f>INDEX(Premissas!$C$26:$I$26,1,AJ3)*Premissas!$F$35</f>
        <v/>
      </c>
      <c r="AK58" s="26">
        <f>INDEX(Premissas!$C$26:$I$26,1,AK3)*Premissas!$F$35</f>
        <v/>
      </c>
      <c r="AL58" s="26">
        <f>INDEX(Premissas!$C$26:$I$26,1,AL3)*Premissas!$F$35</f>
        <v/>
      </c>
      <c r="AM58" s="26">
        <f>INDEX(Premissas!$C$26:$I$26,1,AM3)*Premissas!$F$35</f>
        <v/>
      </c>
      <c r="AN58" s="26">
        <f>INDEX(Premissas!$C$26:$I$26,1,AN3)*Premissas!$F$35</f>
        <v/>
      </c>
      <c r="AO58" s="26">
        <f>INDEX(Premissas!$C$26:$I$26,1,AO3)*Premissas!$F$35</f>
        <v/>
      </c>
      <c r="AP58" s="26">
        <f>INDEX(Premissas!$C$26:$I$26,1,AP3)*Premissas!$F$35</f>
        <v/>
      </c>
      <c r="AQ58" s="26">
        <f>INDEX(Premissas!$C$26:$I$26,1,AQ3)*Premissas!$F$35</f>
        <v/>
      </c>
      <c r="AR58" s="26">
        <f>INDEX(Premissas!$C$26:$I$26,1,AR3)*Premissas!$F$35</f>
        <v/>
      </c>
      <c r="AS58" s="26">
        <f>INDEX(Premissas!$C$26:$I$26,1,AS3)*Premissas!$F$35</f>
        <v/>
      </c>
      <c r="AT58" s="26">
        <f>INDEX(Premissas!$C$26:$I$26,1,AT3)*Premissas!$F$35</f>
        <v/>
      </c>
      <c r="AU58" s="26">
        <f>INDEX(Premissas!$C$26:$I$26,1,AU3)*Premissas!$F$35</f>
        <v/>
      </c>
      <c r="AV58" s="26">
        <f>INDEX(Premissas!$C$26:$I$26,1,AV3)*Premissas!$F$35</f>
        <v/>
      </c>
      <c r="AW58" s="26">
        <f>INDEX(Premissas!$C$26:$I$26,1,AW3)*Premissas!$F$35</f>
        <v/>
      </c>
      <c r="AX58" s="26">
        <f>INDEX(Premissas!$C$26:$I$26,1,AX3)*Premissas!$F$35</f>
        <v/>
      </c>
      <c r="AY58" s="26">
        <f>INDEX(Premissas!$C$26:$I$26,1,AY3)*Premissas!$F$35</f>
        <v/>
      </c>
      <c r="AZ58" s="26">
        <f>INDEX(Premissas!$C$26:$I$26,1,AZ3)*Premissas!$F$35</f>
        <v/>
      </c>
      <c r="BA58" s="26">
        <f>INDEX(Premissas!$C$26:$I$26,1,BA3)*Premissas!$F$35</f>
        <v/>
      </c>
      <c r="BB58" s="26">
        <f>INDEX(Premissas!$C$26:$I$26,1,BB3)*Premissas!$F$35</f>
        <v/>
      </c>
      <c r="BC58" s="26">
        <f>INDEX(Premissas!$C$26:$I$26,1,BC3)*Premissas!$F$35</f>
        <v/>
      </c>
      <c r="BD58" s="26">
        <f>INDEX(Premissas!$C$26:$I$26,1,BD3)*Premissas!$F$35</f>
        <v/>
      </c>
      <c r="BE58" s="26">
        <f>INDEX(Premissas!$C$26:$I$26,1,BE3)*Premissas!$F$35</f>
        <v/>
      </c>
      <c r="BF58" s="26">
        <f>INDEX(Premissas!$C$26:$I$26,1,BF3)*Premissas!$F$35</f>
        <v/>
      </c>
      <c r="BG58" s="26">
        <f>INDEX(Premissas!$C$26:$I$26,1,BG3)*Premissas!$F$35</f>
        <v/>
      </c>
      <c r="BH58" s="26">
        <f>INDEX(Premissas!$C$26:$I$26,1,BH3)*Premissas!$F$35</f>
        <v/>
      </c>
      <c r="BI58" s="26">
        <f>INDEX(Premissas!$C$26:$I$26,1,BI3)*Premissas!$F$35</f>
        <v/>
      </c>
      <c r="BJ58" s="26">
        <f>INDEX(Premissas!$C$26:$I$26,1,BJ3)*Premissas!$F$35</f>
        <v/>
      </c>
      <c r="BK58" s="26">
        <f>INDEX(Premissas!$C$26:$I$26,1,BK3)*Premissas!$F$35</f>
        <v/>
      </c>
      <c r="BL58" s="26">
        <f>INDEX(Premissas!$C$26:$I$26,1,BL3)*Premissas!$F$35</f>
        <v/>
      </c>
      <c r="BM58" s="26">
        <f>INDEX(Premissas!$C$26:$I$26,1,BM3)*Premissas!$F$35</f>
        <v/>
      </c>
      <c r="BN58" s="26">
        <f>INDEX(Premissas!$C$26:$I$26,1,BN3)*Premissas!$F$35</f>
        <v/>
      </c>
      <c r="BO58" s="26">
        <f>INDEX(Premissas!$C$26:$I$26,1,BO3)*Premissas!$F$35</f>
        <v/>
      </c>
      <c r="BP58" s="26">
        <f>INDEX(Premissas!$C$26:$I$26,1,BP3)*Premissas!$F$35</f>
        <v/>
      </c>
      <c r="BQ58" s="26">
        <f>INDEX(Premissas!$C$26:$I$26,1,BQ3)*Premissas!$F$35</f>
        <v/>
      </c>
      <c r="BR58" s="26">
        <f>INDEX(Premissas!$C$26:$I$26,1,BR3)*Premissas!$F$35</f>
        <v/>
      </c>
      <c r="BS58" s="26">
        <f>INDEX(Premissas!$C$26:$I$26,1,BS3)*Premissas!$F$35</f>
        <v/>
      </c>
      <c r="BT58" s="26">
        <f>INDEX(Premissas!$C$26:$I$26,1,BT3)*Premissas!$F$35</f>
        <v/>
      </c>
      <c r="BU58" s="26">
        <f>INDEX(Premissas!$C$26:$I$26,1,BU3)*Premissas!$F$35</f>
        <v/>
      </c>
      <c r="BV58" s="26">
        <f>INDEX(Premissas!$C$26:$I$26,1,BV3)*Premissas!$F$35</f>
        <v/>
      </c>
      <c r="BW58" s="26">
        <f>INDEX(Premissas!$C$26:$I$26,1,BW3)*Premissas!$F$35</f>
        <v/>
      </c>
      <c r="BX58" s="26">
        <f>INDEX(Premissas!$C$26:$I$26,1,BX3)*Premissas!$F$35</f>
        <v/>
      </c>
      <c r="BY58" s="26">
        <f>INDEX(Premissas!$C$26:$I$26,1,BY3)*Premissas!$F$35</f>
        <v/>
      </c>
      <c r="BZ58" s="26">
        <f>INDEX(Premissas!$C$26:$I$26,1,BZ3)*Premissas!$F$35</f>
        <v/>
      </c>
      <c r="CA58" s="26">
        <f>INDEX(Premissas!$C$26:$I$26,1,CA3)*Premissas!$F$35</f>
        <v/>
      </c>
      <c r="CB58" s="26">
        <f>INDEX(Premissas!$C$26:$I$26,1,CB3)*Premissas!$F$35</f>
        <v/>
      </c>
      <c r="CC58" s="26">
        <f>INDEX(Premissas!$C$26:$I$26,1,CC3)*Premissas!$F$35</f>
        <v/>
      </c>
      <c r="CD58" s="26">
        <f>INDEX(Premissas!$C$26:$I$26,1,CD3)*Premissas!$F$35</f>
        <v/>
      </c>
      <c r="CE58" s="26">
        <f>INDEX(Premissas!$C$26:$I$26,1,CE3)*Premissas!$F$35</f>
        <v/>
      </c>
      <c r="CF58" s="26">
        <f>INDEX(Premissas!$C$26:$I$26,1,CF3)*Premissas!$F$35</f>
        <v/>
      </c>
      <c r="CG58" s="26">
        <f>INDEX(Premissas!$C$26:$I$26,1,CG3)*Premissas!$F$35</f>
        <v/>
      </c>
      <c r="CH58" s="26">
        <f>INDEX(Premissas!$C$26:$I$26,1,CH3)*Premissas!$F$35</f>
        <v/>
      </c>
    </row>
    <row r="59">
      <c r="A59" s="3" t="inlineStr">
        <is>
          <t>Mídia paga</t>
        </is>
      </c>
      <c r="C59" s="26">
        <f>C8</f>
        <v/>
      </c>
      <c r="D59" s="26">
        <f>D8</f>
        <v/>
      </c>
      <c r="E59" s="26">
        <f>E8</f>
        <v/>
      </c>
      <c r="F59" s="26">
        <f>F8</f>
        <v/>
      </c>
      <c r="G59" s="26">
        <f>G8</f>
        <v/>
      </c>
      <c r="H59" s="26">
        <f>H8</f>
        <v/>
      </c>
      <c r="I59" s="26">
        <f>I8</f>
        <v/>
      </c>
      <c r="J59" s="26">
        <f>J8</f>
        <v/>
      </c>
      <c r="K59" s="26">
        <f>K8</f>
        <v/>
      </c>
      <c r="L59" s="26">
        <f>L8</f>
        <v/>
      </c>
      <c r="M59" s="26">
        <f>M8</f>
        <v/>
      </c>
      <c r="N59" s="26">
        <f>N8</f>
        <v/>
      </c>
      <c r="O59" s="26">
        <f>O8</f>
        <v/>
      </c>
      <c r="P59" s="26">
        <f>P8</f>
        <v/>
      </c>
      <c r="Q59" s="26">
        <f>Q8</f>
        <v/>
      </c>
      <c r="R59" s="26">
        <f>R8</f>
        <v/>
      </c>
      <c r="S59" s="26">
        <f>S8</f>
        <v/>
      </c>
      <c r="T59" s="26">
        <f>T8</f>
        <v/>
      </c>
      <c r="U59" s="26">
        <f>U8</f>
        <v/>
      </c>
      <c r="V59" s="26">
        <f>V8</f>
        <v/>
      </c>
      <c r="W59" s="26">
        <f>W8</f>
        <v/>
      </c>
      <c r="X59" s="26">
        <f>X8</f>
        <v/>
      </c>
      <c r="Y59" s="26">
        <f>Y8</f>
        <v/>
      </c>
      <c r="Z59" s="26">
        <f>Z8</f>
        <v/>
      </c>
      <c r="AA59" s="26">
        <f>AA8</f>
        <v/>
      </c>
      <c r="AB59" s="26">
        <f>AB8</f>
        <v/>
      </c>
      <c r="AC59" s="26">
        <f>AC8</f>
        <v/>
      </c>
      <c r="AD59" s="26">
        <f>AD8</f>
        <v/>
      </c>
      <c r="AE59" s="26">
        <f>AE8</f>
        <v/>
      </c>
      <c r="AF59" s="26">
        <f>AF8</f>
        <v/>
      </c>
      <c r="AG59" s="26">
        <f>AG8</f>
        <v/>
      </c>
      <c r="AH59" s="26">
        <f>AH8</f>
        <v/>
      </c>
      <c r="AI59" s="26">
        <f>AI8</f>
        <v/>
      </c>
      <c r="AJ59" s="26">
        <f>AJ8</f>
        <v/>
      </c>
      <c r="AK59" s="26">
        <f>AK8</f>
        <v/>
      </c>
      <c r="AL59" s="26">
        <f>AL8</f>
        <v/>
      </c>
      <c r="AM59" s="26">
        <f>AM8</f>
        <v/>
      </c>
      <c r="AN59" s="26">
        <f>AN8</f>
        <v/>
      </c>
      <c r="AO59" s="26">
        <f>AO8</f>
        <v/>
      </c>
      <c r="AP59" s="26">
        <f>AP8</f>
        <v/>
      </c>
      <c r="AQ59" s="26">
        <f>AQ8</f>
        <v/>
      </c>
      <c r="AR59" s="26">
        <f>AR8</f>
        <v/>
      </c>
      <c r="AS59" s="26">
        <f>AS8</f>
        <v/>
      </c>
      <c r="AT59" s="26">
        <f>AT8</f>
        <v/>
      </c>
      <c r="AU59" s="26">
        <f>AU8</f>
        <v/>
      </c>
      <c r="AV59" s="26">
        <f>AV8</f>
        <v/>
      </c>
      <c r="AW59" s="26">
        <f>AW8</f>
        <v/>
      </c>
      <c r="AX59" s="26">
        <f>AX8</f>
        <v/>
      </c>
      <c r="AY59" s="26">
        <f>AY8</f>
        <v/>
      </c>
      <c r="AZ59" s="26">
        <f>AZ8</f>
        <v/>
      </c>
      <c r="BA59" s="26">
        <f>BA8</f>
        <v/>
      </c>
      <c r="BB59" s="26">
        <f>BB8</f>
        <v/>
      </c>
      <c r="BC59" s="26">
        <f>BC8</f>
        <v/>
      </c>
      <c r="BD59" s="26">
        <f>BD8</f>
        <v/>
      </c>
      <c r="BE59" s="26">
        <f>BE8</f>
        <v/>
      </c>
      <c r="BF59" s="26">
        <f>BF8</f>
        <v/>
      </c>
      <c r="BG59" s="26">
        <f>BG8</f>
        <v/>
      </c>
      <c r="BH59" s="26">
        <f>BH8</f>
        <v/>
      </c>
      <c r="BI59" s="26">
        <f>BI8</f>
        <v/>
      </c>
      <c r="BJ59" s="26">
        <f>BJ8</f>
        <v/>
      </c>
      <c r="BK59" s="26">
        <f>BK8</f>
        <v/>
      </c>
      <c r="BL59" s="26">
        <f>BL8</f>
        <v/>
      </c>
      <c r="BM59" s="26">
        <f>BM8</f>
        <v/>
      </c>
      <c r="BN59" s="26">
        <f>BN8</f>
        <v/>
      </c>
      <c r="BO59" s="26">
        <f>BO8</f>
        <v/>
      </c>
      <c r="BP59" s="26">
        <f>BP8</f>
        <v/>
      </c>
      <c r="BQ59" s="26">
        <f>BQ8</f>
        <v/>
      </c>
      <c r="BR59" s="26">
        <f>BR8</f>
        <v/>
      </c>
      <c r="BS59" s="26">
        <f>BS8</f>
        <v/>
      </c>
      <c r="BT59" s="26">
        <f>BT8</f>
        <v/>
      </c>
      <c r="BU59" s="26">
        <f>BU8</f>
        <v/>
      </c>
      <c r="BV59" s="26">
        <f>BV8</f>
        <v/>
      </c>
      <c r="BW59" s="26">
        <f>BW8</f>
        <v/>
      </c>
      <c r="BX59" s="26">
        <f>BX8</f>
        <v/>
      </c>
      <c r="BY59" s="26">
        <f>BY8</f>
        <v/>
      </c>
      <c r="BZ59" s="26">
        <f>BZ8</f>
        <v/>
      </c>
      <c r="CA59" s="26">
        <f>CA8</f>
        <v/>
      </c>
      <c r="CB59" s="26">
        <f>CB8</f>
        <v/>
      </c>
      <c r="CC59" s="26">
        <f>CC8</f>
        <v/>
      </c>
      <c r="CD59" s="26">
        <f>CD8</f>
        <v/>
      </c>
      <c r="CE59" s="26">
        <f>CE8</f>
        <v/>
      </c>
      <c r="CF59" s="26">
        <f>CF8</f>
        <v/>
      </c>
      <c r="CG59" s="26">
        <f>CG8</f>
        <v/>
      </c>
      <c r="CH59" s="26">
        <f>CH8</f>
        <v/>
      </c>
    </row>
    <row r="60">
      <c r="A60" s="3" t="inlineStr">
        <is>
          <t>Comissões de parceria e meses grátis de indicação</t>
        </is>
      </c>
      <c r="C60" s="26">
        <f>C10*Premissas!$F$71+C11*Premissas!$F$108</f>
        <v/>
      </c>
      <c r="D60" s="26">
        <f>D10*Premissas!$F$71+D11*Premissas!$F$108</f>
        <v/>
      </c>
      <c r="E60" s="26">
        <f>E10*Premissas!$F$71+E11*Premissas!$F$108</f>
        <v/>
      </c>
      <c r="F60" s="26">
        <f>F10*Premissas!$F$71+F11*Premissas!$F$108</f>
        <v/>
      </c>
      <c r="G60" s="26">
        <f>G10*Premissas!$F$71+G11*Premissas!$F$108</f>
        <v/>
      </c>
      <c r="H60" s="26">
        <f>H10*Premissas!$F$71+H11*Premissas!$F$108</f>
        <v/>
      </c>
      <c r="I60" s="26">
        <f>I10*Premissas!$F$71+I11*Premissas!$F$108</f>
        <v/>
      </c>
      <c r="J60" s="26">
        <f>J10*Premissas!$F$71+J11*Premissas!$F$108</f>
        <v/>
      </c>
      <c r="K60" s="26">
        <f>K10*Premissas!$F$71+K11*Premissas!$F$108</f>
        <v/>
      </c>
      <c r="L60" s="26">
        <f>L10*Premissas!$F$71+L11*Premissas!$F$108</f>
        <v/>
      </c>
      <c r="M60" s="26">
        <f>M10*Premissas!$F$71+M11*Premissas!$F$108</f>
        <v/>
      </c>
      <c r="N60" s="26">
        <f>N10*Premissas!$F$71+N11*Premissas!$F$108</f>
        <v/>
      </c>
      <c r="O60" s="26">
        <f>O10*Premissas!$F$71+O11*Premissas!$F$108</f>
        <v/>
      </c>
      <c r="P60" s="26">
        <f>P10*Premissas!$F$71+P11*Premissas!$F$108</f>
        <v/>
      </c>
      <c r="Q60" s="26">
        <f>Q10*Premissas!$F$71+Q11*Premissas!$F$108</f>
        <v/>
      </c>
      <c r="R60" s="26">
        <f>R10*Premissas!$F$71+R11*Premissas!$F$108</f>
        <v/>
      </c>
      <c r="S60" s="26">
        <f>S10*Premissas!$F$71+S11*Premissas!$F$108</f>
        <v/>
      </c>
      <c r="T60" s="26">
        <f>T10*Premissas!$F$71+T11*Premissas!$F$108</f>
        <v/>
      </c>
      <c r="U60" s="26">
        <f>U10*Premissas!$F$71+U11*Premissas!$F$108</f>
        <v/>
      </c>
      <c r="V60" s="26">
        <f>V10*Premissas!$F$71+V11*Premissas!$F$108</f>
        <v/>
      </c>
      <c r="W60" s="26">
        <f>W10*Premissas!$F$71+W11*Premissas!$F$108</f>
        <v/>
      </c>
      <c r="X60" s="26">
        <f>X10*Premissas!$F$71+X11*Premissas!$F$108</f>
        <v/>
      </c>
      <c r="Y60" s="26">
        <f>Y10*Premissas!$F$71+Y11*Premissas!$F$108</f>
        <v/>
      </c>
      <c r="Z60" s="26">
        <f>Z10*Premissas!$F$71+Z11*Premissas!$F$108</f>
        <v/>
      </c>
      <c r="AA60" s="26">
        <f>AA10*Premissas!$F$71+AA11*Premissas!$F$108</f>
        <v/>
      </c>
      <c r="AB60" s="26">
        <f>AB10*Premissas!$F$71+AB11*Premissas!$F$108</f>
        <v/>
      </c>
      <c r="AC60" s="26">
        <f>AC10*Premissas!$F$71+AC11*Premissas!$F$108</f>
        <v/>
      </c>
      <c r="AD60" s="26">
        <f>AD10*Premissas!$F$71+AD11*Premissas!$F$108</f>
        <v/>
      </c>
      <c r="AE60" s="26">
        <f>AE10*Premissas!$F$71+AE11*Premissas!$F$108</f>
        <v/>
      </c>
      <c r="AF60" s="26">
        <f>AF10*Premissas!$F$71+AF11*Premissas!$F$108</f>
        <v/>
      </c>
      <c r="AG60" s="26">
        <f>AG10*Premissas!$F$71+AG11*Premissas!$F$108</f>
        <v/>
      </c>
      <c r="AH60" s="26">
        <f>AH10*Premissas!$F$71+AH11*Premissas!$F$108</f>
        <v/>
      </c>
      <c r="AI60" s="26">
        <f>AI10*Premissas!$F$71+AI11*Premissas!$F$108</f>
        <v/>
      </c>
      <c r="AJ60" s="26">
        <f>AJ10*Premissas!$F$71+AJ11*Premissas!$F$108</f>
        <v/>
      </c>
      <c r="AK60" s="26">
        <f>AK10*Premissas!$F$71+AK11*Premissas!$F$108</f>
        <v/>
      </c>
      <c r="AL60" s="26">
        <f>AL10*Premissas!$F$71+AL11*Premissas!$F$108</f>
        <v/>
      </c>
      <c r="AM60" s="26">
        <f>AM10*Premissas!$F$71+AM11*Premissas!$F$108</f>
        <v/>
      </c>
      <c r="AN60" s="26">
        <f>AN10*Premissas!$F$71+AN11*Premissas!$F$108</f>
        <v/>
      </c>
      <c r="AO60" s="26">
        <f>AO10*Premissas!$F$71+AO11*Premissas!$F$108</f>
        <v/>
      </c>
      <c r="AP60" s="26">
        <f>AP10*Premissas!$F$71+AP11*Premissas!$F$108</f>
        <v/>
      </c>
      <c r="AQ60" s="26">
        <f>AQ10*Premissas!$F$71+AQ11*Premissas!$F$108</f>
        <v/>
      </c>
      <c r="AR60" s="26">
        <f>AR10*Premissas!$F$71+AR11*Premissas!$F$108</f>
        <v/>
      </c>
      <c r="AS60" s="26">
        <f>AS10*Premissas!$F$71+AS11*Premissas!$F$108</f>
        <v/>
      </c>
      <c r="AT60" s="26">
        <f>AT10*Premissas!$F$71+AT11*Premissas!$F$108</f>
        <v/>
      </c>
      <c r="AU60" s="26">
        <f>AU10*Premissas!$F$71+AU11*Premissas!$F$108</f>
        <v/>
      </c>
      <c r="AV60" s="26">
        <f>AV10*Premissas!$F$71+AV11*Premissas!$F$108</f>
        <v/>
      </c>
      <c r="AW60" s="26">
        <f>AW10*Premissas!$F$71+AW11*Premissas!$F$108</f>
        <v/>
      </c>
      <c r="AX60" s="26">
        <f>AX10*Premissas!$F$71+AX11*Premissas!$F$108</f>
        <v/>
      </c>
      <c r="AY60" s="26">
        <f>AY10*Premissas!$F$71+AY11*Premissas!$F$108</f>
        <v/>
      </c>
      <c r="AZ60" s="26">
        <f>AZ10*Premissas!$F$71+AZ11*Premissas!$F$108</f>
        <v/>
      </c>
      <c r="BA60" s="26">
        <f>BA10*Premissas!$F$71+BA11*Premissas!$F$108</f>
        <v/>
      </c>
      <c r="BB60" s="26">
        <f>BB10*Premissas!$F$71+BB11*Premissas!$F$108</f>
        <v/>
      </c>
      <c r="BC60" s="26">
        <f>BC10*Premissas!$F$71+BC11*Premissas!$F$108</f>
        <v/>
      </c>
      <c r="BD60" s="26">
        <f>BD10*Premissas!$F$71+BD11*Premissas!$F$108</f>
        <v/>
      </c>
      <c r="BE60" s="26">
        <f>BE10*Premissas!$F$71+BE11*Premissas!$F$108</f>
        <v/>
      </c>
      <c r="BF60" s="26">
        <f>BF10*Premissas!$F$71+BF11*Premissas!$F$108</f>
        <v/>
      </c>
      <c r="BG60" s="26">
        <f>BG10*Premissas!$F$71+BG11*Premissas!$F$108</f>
        <v/>
      </c>
      <c r="BH60" s="26">
        <f>BH10*Premissas!$F$71+BH11*Premissas!$F$108</f>
        <v/>
      </c>
      <c r="BI60" s="26">
        <f>BI10*Premissas!$F$71+BI11*Premissas!$F$108</f>
        <v/>
      </c>
      <c r="BJ60" s="26">
        <f>BJ10*Premissas!$F$71+BJ11*Premissas!$F$108</f>
        <v/>
      </c>
      <c r="BK60" s="26">
        <f>BK10*Premissas!$F$71+BK11*Premissas!$F$108</f>
        <v/>
      </c>
      <c r="BL60" s="26">
        <f>BL10*Premissas!$F$71+BL11*Premissas!$F$108</f>
        <v/>
      </c>
      <c r="BM60" s="26">
        <f>BM10*Premissas!$F$71+BM11*Premissas!$F$108</f>
        <v/>
      </c>
      <c r="BN60" s="26">
        <f>BN10*Premissas!$F$71+BN11*Premissas!$F$108</f>
        <v/>
      </c>
      <c r="BO60" s="26">
        <f>BO10*Premissas!$F$71+BO11*Premissas!$F$108</f>
        <v/>
      </c>
      <c r="BP60" s="26">
        <f>BP10*Premissas!$F$71+BP11*Premissas!$F$108</f>
        <v/>
      </c>
      <c r="BQ60" s="26">
        <f>BQ10*Premissas!$F$71+BQ11*Premissas!$F$108</f>
        <v/>
      </c>
      <c r="BR60" s="26">
        <f>BR10*Premissas!$F$71+BR11*Premissas!$F$108</f>
        <v/>
      </c>
      <c r="BS60" s="26">
        <f>BS10*Premissas!$F$71+BS11*Premissas!$F$108</f>
        <v/>
      </c>
      <c r="BT60" s="26">
        <f>BT10*Premissas!$F$71+BT11*Premissas!$F$108</f>
        <v/>
      </c>
      <c r="BU60" s="26">
        <f>BU10*Premissas!$F$71+BU11*Premissas!$F$108</f>
        <v/>
      </c>
      <c r="BV60" s="26">
        <f>BV10*Premissas!$F$71+BV11*Premissas!$F$108</f>
        <v/>
      </c>
      <c r="BW60" s="26">
        <f>BW10*Premissas!$F$71+BW11*Premissas!$F$108</f>
        <v/>
      </c>
      <c r="BX60" s="26">
        <f>BX10*Premissas!$F$71+BX11*Premissas!$F$108</f>
        <v/>
      </c>
      <c r="BY60" s="26">
        <f>BY10*Premissas!$F$71+BY11*Premissas!$F$108</f>
        <v/>
      </c>
      <c r="BZ60" s="26">
        <f>BZ10*Premissas!$F$71+BZ11*Premissas!$F$108</f>
        <v/>
      </c>
      <c r="CA60" s="26">
        <f>CA10*Premissas!$F$71+CA11*Premissas!$F$108</f>
        <v/>
      </c>
      <c r="CB60" s="26">
        <f>CB10*Premissas!$F$71+CB11*Premissas!$F$108</f>
        <v/>
      </c>
      <c r="CC60" s="26">
        <f>CC10*Premissas!$F$71+CC11*Premissas!$F$108</f>
        <v/>
      </c>
      <c r="CD60" s="26">
        <f>CD10*Premissas!$F$71+CD11*Premissas!$F$108</f>
        <v/>
      </c>
      <c r="CE60" s="26">
        <f>CE10*Premissas!$F$71+CE11*Premissas!$F$108</f>
        <v/>
      </c>
      <c r="CF60" s="26">
        <f>CF10*Premissas!$F$71+CF11*Premissas!$F$108</f>
        <v/>
      </c>
      <c r="CG60" s="26">
        <f>CG10*Premissas!$F$71+CG11*Premissas!$F$108</f>
        <v/>
      </c>
      <c r="CH60" s="26">
        <f>CH10*Premissas!$F$71+CH11*Premissas!$F$108</f>
        <v/>
      </c>
    </row>
    <row r="61">
      <c r="A61" s="3" t="inlineStr">
        <is>
          <t>Marca e eventos</t>
        </is>
      </c>
      <c r="C61" s="26">
        <f>C8*Premissas!$F$38</f>
        <v/>
      </c>
      <c r="D61" s="26">
        <f>D8*Premissas!$F$38</f>
        <v/>
      </c>
      <c r="E61" s="26">
        <f>E8*Premissas!$F$38</f>
        <v/>
      </c>
      <c r="F61" s="26">
        <f>F8*Premissas!$F$38</f>
        <v/>
      </c>
      <c r="G61" s="26">
        <f>G8*Premissas!$F$38</f>
        <v/>
      </c>
      <c r="H61" s="26">
        <f>H8*Premissas!$F$38</f>
        <v/>
      </c>
      <c r="I61" s="26">
        <f>I8*Premissas!$F$38</f>
        <v/>
      </c>
      <c r="J61" s="26">
        <f>J8*Premissas!$F$38</f>
        <v/>
      </c>
      <c r="K61" s="26">
        <f>K8*Premissas!$F$38</f>
        <v/>
      </c>
      <c r="L61" s="26">
        <f>L8*Premissas!$F$38</f>
        <v/>
      </c>
      <c r="M61" s="26">
        <f>M8*Premissas!$F$38</f>
        <v/>
      </c>
      <c r="N61" s="26">
        <f>N8*Premissas!$F$38</f>
        <v/>
      </c>
      <c r="O61" s="26">
        <f>O8*Premissas!$F$38</f>
        <v/>
      </c>
      <c r="P61" s="26">
        <f>P8*Premissas!$F$38</f>
        <v/>
      </c>
      <c r="Q61" s="26">
        <f>Q8*Premissas!$F$38</f>
        <v/>
      </c>
      <c r="R61" s="26">
        <f>R8*Premissas!$F$38</f>
        <v/>
      </c>
      <c r="S61" s="26">
        <f>S8*Premissas!$F$38</f>
        <v/>
      </c>
      <c r="T61" s="26">
        <f>T8*Premissas!$F$38</f>
        <v/>
      </c>
      <c r="U61" s="26">
        <f>U8*Premissas!$F$38</f>
        <v/>
      </c>
      <c r="V61" s="26">
        <f>V8*Premissas!$F$38</f>
        <v/>
      </c>
      <c r="W61" s="26">
        <f>W8*Premissas!$F$38</f>
        <v/>
      </c>
      <c r="X61" s="26">
        <f>X8*Premissas!$F$38</f>
        <v/>
      </c>
      <c r="Y61" s="26">
        <f>Y8*Premissas!$F$38</f>
        <v/>
      </c>
      <c r="Z61" s="26">
        <f>Z8*Premissas!$F$38</f>
        <v/>
      </c>
      <c r="AA61" s="26">
        <f>AA8*Premissas!$F$38</f>
        <v/>
      </c>
      <c r="AB61" s="26">
        <f>AB8*Premissas!$F$38</f>
        <v/>
      </c>
      <c r="AC61" s="26">
        <f>AC8*Premissas!$F$38</f>
        <v/>
      </c>
      <c r="AD61" s="26">
        <f>AD8*Premissas!$F$38</f>
        <v/>
      </c>
      <c r="AE61" s="26">
        <f>AE8*Premissas!$F$38</f>
        <v/>
      </c>
      <c r="AF61" s="26">
        <f>AF8*Premissas!$F$38</f>
        <v/>
      </c>
      <c r="AG61" s="26">
        <f>AG8*Premissas!$F$38</f>
        <v/>
      </c>
      <c r="AH61" s="26">
        <f>AH8*Premissas!$F$38</f>
        <v/>
      </c>
      <c r="AI61" s="26">
        <f>AI8*Premissas!$F$38</f>
        <v/>
      </c>
      <c r="AJ61" s="26">
        <f>AJ8*Premissas!$F$38</f>
        <v/>
      </c>
      <c r="AK61" s="26">
        <f>AK8*Premissas!$F$38</f>
        <v/>
      </c>
      <c r="AL61" s="26">
        <f>AL8*Premissas!$F$38</f>
        <v/>
      </c>
      <c r="AM61" s="26">
        <f>AM8*Premissas!$F$38</f>
        <v/>
      </c>
      <c r="AN61" s="26">
        <f>AN8*Premissas!$F$38</f>
        <v/>
      </c>
      <c r="AO61" s="26">
        <f>AO8*Premissas!$F$38</f>
        <v/>
      </c>
      <c r="AP61" s="26">
        <f>AP8*Premissas!$F$38</f>
        <v/>
      </c>
      <c r="AQ61" s="26">
        <f>AQ8*Premissas!$F$38</f>
        <v/>
      </c>
      <c r="AR61" s="26">
        <f>AR8*Premissas!$F$38</f>
        <v/>
      </c>
      <c r="AS61" s="26">
        <f>AS8*Premissas!$F$38</f>
        <v/>
      </c>
      <c r="AT61" s="26">
        <f>AT8*Premissas!$F$38</f>
        <v/>
      </c>
      <c r="AU61" s="26">
        <f>AU8*Premissas!$F$38</f>
        <v/>
      </c>
      <c r="AV61" s="26">
        <f>AV8*Premissas!$F$38</f>
        <v/>
      </c>
      <c r="AW61" s="26">
        <f>AW8*Premissas!$F$38</f>
        <v/>
      </c>
      <c r="AX61" s="26">
        <f>AX8*Premissas!$F$38</f>
        <v/>
      </c>
      <c r="AY61" s="26">
        <f>AY8*Premissas!$F$38</f>
        <v/>
      </c>
      <c r="AZ61" s="26">
        <f>AZ8*Premissas!$F$38</f>
        <v/>
      </c>
      <c r="BA61" s="26">
        <f>BA8*Premissas!$F$38</f>
        <v/>
      </c>
      <c r="BB61" s="26">
        <f>BB8*Premissas!$F$38</f>
        <v/>
      </c>
      <c r="BC61" s="26">
        <f>BC8*Premissas!$F$38</f>
        <v/>
      </c>
      <c r="BD61" s="26">
        <f>BD8*Premissas!$F$38</f>
        <v/>
      </c>
      <c r="BE61" s="26">
        <f>BE8*Premissas!$F$38</f>
        <v/>
      </c>
      <c r="BF61" s="26">
        <f>BF8*Premissas!$F$38</f>
        <v/>
      </c>
      <c r="BG61" s="26">
        <f>BG8*Premissas!$F$38</f>
        <v/>
      </c>
      <c r="BH61" s="26">
        <f>BH8*Premissas!$F$38</f>
        <v/>
      </c>
      <c r="BI61" s="26">
        <f>BI8*Premissas!$F$38</f>
        <v/>
      </c>
      <c r="BJ61" s="26">
        <f>BJ8*Premissas!$F$38</f>
        <v/>
      </c>
      <c r="BK61" s="26">
        <f>BK8*Premissas!$F$38</f>
        <v/>
      </c>
      <c r="BL61" s="26">
        <f>BL8*Premissas!$F$38</f>
        <v/>
      </c>
      <c r="BM61" s="26">
        <f>BM8*Premissas!$F$38</f>
        <v/>
      </c>
      <c r="BN61" s="26">
        <f>BN8*Premissas!$F$38</f>
        <v/>
      </c>
      <c r="BO61" s="26">
        <f>BO8*Premissas!$F$38</f>
        <v/>
      </c>
      <c r="BP61" s="26">
        <f>BP8*Premissas!$F$38</f>
        <v/>
      </c>
      <c r="BQ61" s="26">
        <f>BQ8*Premissas!$F$38</f>
        <v/>
      </c>
      <c r="BR61" s="26">
        <f>BR8*Premissas!$F$38</f>
        <v/>
      </c>
      <c r="BS61" s="26">
        <f>BS8*Premissas!$F$38</f>
        <v/>
      </c>
      <c r="BT61" s="26">
        <f>BT8*Premissas!$F$38</f>
        <v/>
      </c>
      <c r="BU61" s="26">
        <f>BU8*Premissas!$F$38</f>
        <v/>
      </c>
      <c r="BV61" s="26">
        <f>BV8*Premissas!$F$38</f>
        <v/>
      </c>
      <c r="BW61" s="26">
        <f>BW8*Premissas!$F$38</f>
        <v/>
      </c>
      <c r="BX61" s="26">
        <f>BX8*Premissas!$F$38</f>
        <v/>
      </c>
      <c r="BY61" s="26">
        <f>BY8*Premissas!$F$38</f>
        <v/>
      </c>
      <c r="BZ61" s="26">
        <f>BZ8*Premissas!$F$38</f>
        <v/>
      </c>
      <c r="CA61" s="26">
        <f>CA8*Premissas!$F$38</f>
        <v/>
      </c>
      <c r="CB61" s="26">
        <f>CB8*Premissas!$F$38</f>
        <v/>
      </c>
      <c r="CC61" s="26">
        <f>CC8*Premissas!$F$38</f>
        <v/>
      </c>
      <c r="CD61" s="26">
        <f>CD8*Premissas!$F$38</f>
        <v/>
      </c>
      <c r="CE61" s="26">
        <f>CE8*Premissas!$F$38</f>
        <v/>
      </c>
      <c r="CF61" s="26">
        <f>CF8*Premissas!$F$38</f>
        <v/>
      </c>
      <c r="CG61" s="26">
        <f>CG8*Premissas!$F$38</f>
        <v/>
      </c>
      <c r="CH61" s="26">
        <f>CH8*Premissas!$F$38</f>
        <v/>
      </c>
    </row>
    <row r="62">
      <c r="A62" s="3" t="inlineStr">
        <is>
          <t>Outras despesas</t>
        </is>
      </c>
      <c r="C62" s="26">
        <f>Premissas!$F$36+C39*Premissas!$F$37</f>
        <v/>
      </c>
      <c r="D62" s="26">
        <f>Premissas!$F$36+D39*Premissas!$F$37</f>
        <v/>
      </c>
      <c r="E62" s="26">
        <f>Premissas!$F$36+E39*Premissas!$F$37</f>
        <v/>
      </c>
      <c r="F62" s="26">
        <f>Premissas!$F$36+F39*Premissas!$F$37</f>
        <v/>
      </c>
      <c r="G62" s="26">
        <f>Premissas!$F$36+G39*Premissas!$F$37</f>
        <v/>
      </c>
      <c r="H62" s="26">
        <f>Premissas!$F$36+H39*Premissas!$F$37</f>
        <v/>
      </c>
      <c r="I62" s="26">
        <f>Premissas!$F$36+I39*Premissas!$F$37</f>
        <v/>
      </c>
      <c r="J62" s="26">
        <f>Premissas!$F$36+J39*Premissas!$F$37</f>
        <v/>
      </c>
      <c r="K62" s="26">
        <f>Premissas!$F$36+K39*Premissas!$F$37</f>
        <v/>
      </c>
      <c r="L62" s="26">
        <f>Premissas!$F$36+L39*Premissas!$F$37</f>
        <v/>
      </c>
      <c r="M62" s="26">
        <f>Premissas!$F$36+M39*Premissas!$F$37</f>
        <v/>
      </c>
      <c r="N62" s="26">
        <f>Premissas!$F$36+N39*Premissas!$F$37</f>
        <v/>
      </c>
      <c r="O62" s="26">
        <f>Premissas!$F$36+O39*Premissas!$F$37</f>
        <v/>
      </c>
      <c r="P62" s="26">
        <f>Premissas!$F$36+P39*Premissas!$F$37</f>
        <v/>
      </c>
      <c r="Q62" s="26">
        <f>Premissas!$F$36+Q39*Premissas!$F$37</f>
        <v/>
      </c>
      <c r="R62" s="26">
        <f>Premissas!$F$36+R39*Premissas!$F$37</f>
        <v/>
      </c>
      <c r="S62" s="26">
        <f>Premissas!$F$36+S39*Premissas!$F$37</f>
        <v/>
      </c>
      <c r="T62" s="26">
        <f>Premissas!$F$36+T39*Premissas!$F$37</f>
        <v/>
      </c>
      <c r="U62" s="26">
        <f>Premissas!$F$36+U39*Premissas!$F$37</f>
        <v/>
      </c>
      <c r="V62" s="26">
        <f>Premissas!$F$36+V39*Premissas!$F$37</f>
        <v/>
      </c>
      <c r="W62" s="26">
        <f>Premissas!$F$36+W39*Premissas!$F$37</f>
        <v/>
      </c>
      <c r="X62" s="26">
        <f>Premissas!$F$36+X39*Premissas!$F$37</f>
        <v/>
      </c>
      <c r="Y62" s="26">
        <f>Premissas!$F$36+Y39*Premissas!$F$37</f>
        <v/>
      </c>
      <c r="Z62" s="26">
        <f>Premissas!$F$36+Z39*Premissas!$F$37</f>
        <v/>
      </c>
      <c r="AA62" s="26">
        <f>Premissas!$F$36+AA39*Premissas!$F$37</f>
        <v/>
      </c>
      <c r="AB62" s="26">
        <f>Premissas!$F$36+AB39*Premissas!$F$37</f>
        <v/>
      </c>
      <c r="AC62" s="26">
        <f>Premissas!$F$36+AC39*Premissas!$F$37</f>
        <v/>
      </c>
      <c r="AD62" s="26">
        <f>Premissas!$F$36+AD39*Premissas!$F$37</f>
        <v/>
      </c>
      <c r="AE62" s="26">
        <f>Premissas!$F$36+AE39*Premissas!$F$37</f>
        <v/>
      </c>
      <c r="AF62" s="26">
        <f>Premissas!$F$36+AF39*Premissas!$F$37</f>
        <v/>
      </c>
      <c r="AG62" s="26">
        <f>Premissas!$F$36+AG39*Premissas!$F$37</f>
        <v/>
      </c>
      <c r="AH62" s="26">
        <f>Premissas!$F$36+AH39*Premissas!$F$37</f>
        <v/>
      </c>
      <c r="AI62" s="26">
        <f>Premissas!$F$36+AI39*Premissas!$F$37</f>
        <v/>
      </c>
      <c r="AJ62" s="26">
        <f>Premissas!$F$36+AJ39*Premissas!$F$37</f>
        <v/>
      </c>
      <c r="AK62" s="26">
        <f>Premissas!$F$36+AK39*Premissas!$F$37</f>
        <v/>
      </c>
      <c r="AL62" s="26">
        <f>Premissas!$F$36+AL39*Premissas!$F$37</f>
        <v/>
      </c>
      <c r="AM62" s="26">
        <f>Premissas!$F$36+AM39*Premissas!$F$37</f>
        <v/>
      </c>
      <c r="AN62" s="26">
        <f>Premissas!$F$36+AN39*Premissas!$F$37</f>
        <v/>
      </c>
      <c r="AO62" s="26">
        <f>Premissas!$F$36+AO39*Premissas!$F$37</f>
        <v/>
      </c>
      <c r="AP62" s="26">
        <f>Premissas!$F$36+AP39*Premissas!$F$37</f>
        <v/>
      </c>
      <c r="AQ62" s="26">
        <f>Premissas!$F$36+AQ39*Premissas!$F$37</f>
        <v/>
      </c>
      <c r="AR62" s="26">
        <f>Premissas!$F$36+AR39*Premissas!$F$37</f>
        <v/>
      </c>
      <c r="AS62" s="26">
        <f>Premissas!$F$36+AS39*Premissas!$F$37</f>
        <v/>
      </c>
      <c r="AT62" s="26">
        <f>Premissas!$F$36+AT39*Premissas!$F$37</f>
        <v/>
      </c>
      <c r="AU62" s="26">
        <f>Premissas!$F$36+AU39*Premissas!$F$37</f>
        <v/>
      </c>
      <c r="AV62" s="26">
        <f>Premissas!$F$36+AV39*Premissas!$F$37</f>
        <v/>
      </c>
      <c r="AW62" s="26">
        <f>Premissas!$F$36+AW39*Premissas!$F$37</f>
        <v/>
      </c>
      <c r="AX62" s="26">
        <f>Premissas!$F$36+AX39*Premissas!$F$37</f>
        <v/>
      </c>
      <c r="AY62" s="26">
        <f>Premissas!$F$36+AY39*Premissas!$F$37</f>
        <v/>
      </c>
      <c r="AZ62" s="26">
        <f>Premissas!$F$36+AZ39*Premissas!$F$37</f>
        <v/>
      </c>
      <c r="BA62" s="26">
        <f>Premissas!$F$36+BA39*Premissas!$F$37</f>
        <v/>
      </c>
      <c r="BB62" s="26">
        <f>Premissas!$F$36+BB39*Premissas!$F$37</f>
        <v/>
      </c>
      <c r="BC62" s="26">
        <f>Premissas!$F$36+BC39*Premissas!$F$37</f>
        <v/>
      </c>
      <c r="BD62" s="26">
        <f>Premissas!$F$36+BD39*Premissas!$F$37</f>
        <v/>
      </c>
      <c r="BE62" s="26">
        <f>Premissas!$F$36+BE39*Premissas!$F$37</f>
        <v/>
      </c>
      <c r="BF62" s="26">
        <f>Premissas!$F$36+BF39*Premissas!$F$37</f>
        <v/>
      </c>
      <c r="BG62" s="26">
        <f>Premissas!$F$36+BG39*Premissas!$F$37</f>
        <v/>
      </c>
      <c r="BH62" s="26">
        <f>Premissas!$F$36+BH39*Premissas!$F$37</f>
        <v/>
      </c>
      <c r="BI62" s="26">
        <f>Premissas!$F$36+BI39*Premissas!$F$37</f>
        <v/>
      </c>
      <c r="BJ62" s="26">
        <f>Premissas!$F$36+BJ39*Premissas!$F$37</f>
        <v/>
      </c>
      <c r="BK62" s="26">
        <f>Premissas!$F$36+BK39*Premissas!$F$37</f>
        <v/>
      </c>
      <c r="BL62" s="26">
        <f>Premissas!$F$36+BL39*Premissas!$F$37</f>
        <v/>
      </c>
      <c r="BM62" s="26">
        <f>Premissas!$F$36+BM39*Premissas!$F$37</f>
        <v/>
      </c>
      <c r="BN62" s="26">
        <f>Premissas!$F$36+BN39*Premissas!$F$37</f>
        <v/>
      </c>
      <c r="BO62" s="26">
        <f>Premissas!$F$36+BO39*Premissas!$F$37</f>
        <v/>
      </c>
      <c r="BP62" s="26">
        <f>Premissas!$F$36+BP39*Premissas!$F$37</f>
        <v/>
      </c>
      <c r="BQ62" s="26">
        <f>Premissas!$F$36+BQ39*Premissas!$F$37</f>
        <v/>
      </c>
      <c r="BR62" s="26">
        <f>Premissas!$F$36+BR39*Premissas!$F$37</f>
        <v/>
      </c>
      <c r="BS62" s="26">
        <f>Premissas!$F$36+BS39*Premissas!$F$37</f>
        <v/>
      </c>
      <c r="BT62" s="26">
        <f>Premissas!$F$36+BT39*Premissas!$F$37</f>
        <v/>
      </c>
      <c r="BU62" s="26">
        <f>Premissas!$F$36+BU39*Premissas!$F$37</f>
        <v/>
      </c>
      <c r="BV62" s="26">
        <f>Premissas!$F$36+BV39*Premissas!$F$37</f>
        <v/>
      </c>
      <c r="BW62" s="26">
        <f>Premissas!$F$36+BW39*Premissas!$F$37</f>
        <v/>
      </c>
      <c r="BX62" s="26">
        <f>Premissas!$F$36+BX39*Premissas!$F$37</f>
        <v/>
      </c>
      <c r="BY62" s="26">
        <f>Premissas!$F$36+BY39*Premissas!$F$37</f>
        <v/>
      </c>
      <c r="BZ62" s="26">
        <f>Premissas!$F$36+BZ39*Premissas!$F$37</f>
        <v/>
      </c>
      <c r="CA62" s="26">
        <f>Premissas!$F$36+CA39*Premissas!$F$37</f>
        <v/>
      </c>
      <c r="CB62" s="26">
        <f>Premissas!$F$36+CB39*Premissas!$F$37</f>
        <v/>
      </c>
      <c r="CC62" s="26">
        <f>Premissas!$F$36+CC39*Premissas!$F$37</f>
        <v/>
      </c>
      <c r="CD62" s="26">
        <f>Premissas!$F$36+CD39*Premissas!$F$37</f>
        <v/>
      </c>
      <c r="CE62" s="26">
        <f>Premissas!$F$36+CE39*Premissas!$F$37</f>
        <v/>
      </c>
      <c r="CF62" s="26">
        <f>Premissas!$F$36+CF39*Premissas!$F$37</f>
        <v/>
      </c>
      <c r="CG62" s="26">
        <f>Premissas!$F$36+CG39*Premissas!$F$37</f>
        <v/>
      </c>
      <c r="CH62" s="26">
        <f>Premissas!$F$36+CH39*Premissas!$F$37</f>
        <v/>
      </c>
    </row>
    <row r="63">
      <c r="A63" s="3" t="inlineStr">
        <is>
          <t>Custo único da expansão</t>
        </is>
      </c>
      <c r="C63" s="26">
        <f>IF(C2=Premissas!$F$13,Premissas!$F$16,0)</f>
        <v/>
      </c>
      <c r="D63" s="26">
        <f>IF(D2=Premissas!$F$13,Premissas!$F$16,0)</f>
        <v/>
      </c>
      <c r="E63" s="26">
        <f>IF(E2=Premissas!$F$13,Premissas!$F$16,0)</f>
        <v/>
      </c>
      <c r="F63" s="26">
        <f>IF(F2=Premissas!$F$13,Premissas!$F$16,0)</f>
        <v/>
      </c>
      <c r="G63" s="26">
        <f>IF(G2=Premissas!$F$13,Premissas!$F$16,0)</f>
        <v/>
      </c>
      <c r="H63" s="26">
        <f>IF(H2=Premissas!$F$13,Premissas!$F$16,0)</f>
        <v/>
      </c>
      <c r="I63" s="26">
        <f>IF(I2=Premissas!$F$13,Premissas!$F$16,0)</f>
        <v/>
      </c>
      <c r="J63" s="26">
        <f>IF(J2=Premissas!$F$13,Premissas!$F$16,0)</f>
        <v/>
      </c>
      <c r="K63" s="26">
        <f>IF(K2=Premissas!$F$13,Premissas!$F$16,0)</f>
        <v/>
      </c>
      <c r="L63" s="26">
        <f>IF(L2=Premissas!$F$13,Premissas!$F$16,0)</f>
        <v/>
      </c>
      <c r="M63" s="26">
        <f>IF(M2=Premissas!$F$13,Premissas!$F$16,0)</f>
        <v/>
      </c>
      <c r="N63" s="26">
        <f>IF(N2=Premissas!$F$13,Premissas!$F$16,0)</f>
        <v/>
      </c>
      <c r="O63" s="26">
        <f>IF(O2=Premissas!$F$13,Premissas!$F$16,0)</f>
        <v/>
      </c>
      <c r="P63" s="26">
        <f>IF(P2=Premissas!$F$13,Premissas!$F$16,0)</f>
        <v/>
      </c>
      <c r="Q63" s="26">
        <f>IF(Q2=Premissas!$F$13,Premissas!$F$16,0)</f>
        <v/>
      </c>
      <c r="R63" s="26">
        <f>IF(R2=Premissas!$F$13,Premissas!$F$16,0)</f>
        <v/>
      </c>
      <c r="S63" s="26">
        <f>IF(S2=Premissas!$F$13,Premissas!$F$16,0)</f>
        <v/>
      </c>
      <c r="T63" s="26">
        <f>IF(T2=Premissas!$F$13,Premissas!$F$16,0)</f>
        <v/>
      </c>
      <c r="U63" s="26">
        <f>IF(U2=Premissas!$F$13,Premissas!$F$16,0)</f>
        <v/>
      </c>
      <c r="V63" s="26">
        <f>IF(V2=Premissas!$F$13,Premissas!$F$16,0)</f>
        <v/>
      </c>
      <c r="W63" s="26">
        <f>IF(W2=Premissas!$F$13,Premissas!$F$16,0)</f>
        <v/>
      </c>
      <c r="X63" s="26">
        <f>IF(X2=Premissas!$F$13,Premissas!$F$16,0)</f>
        <v/>
      </c>
      <c r="Y63" s="26">
        <f>IF(Y2=Premissas!$F$13,Premissas!$F$16,0)</f>
        <v/>
      </c>
      <c r="Z63" s="26">
        <f>IF(Z2=Premissas!$F$13,Premissas!$F$16,0)</f>
        <v/>
      </c>
      <c r="AA63" s="26">
        <f>IF(AA2=Premissas!$F$13,Premissas!$F$16,0)</f>
        <v/>
      </c>
      <c r="AB63" s="26">
        <f>IF(AB2=Premissas!$F$13,Premissas!$F$16,0)</f>
        <v/>
      </c>
      <c r="AC63" s="26">
        <f>IF(AC2=Premissas!$F$13,Premissas!$F$16,0)</f>
        <v/>
      </c>
      <c r="AD63" s="26">
        <f>IF(AD2=Premissas!$F$13,Premissas!$F$16,0)</f>
        <v/>
      </c>
      <c r="AE63" s="26">
        <f>IF(AE2=Premissas!$F$13,Premissas!$F$16,0)</f>
        <v/>
      </c>
      <c r="AF63" s="26">
        <f>IF(AF2=Premissas!$F$13,Premissas!$F$16,0)</f>
        <v/>
      </c>
      <c r="AG63" s="26">
        <f>IF(AG2=Premissas!$F$13,Premissas!$F$16,0)</f>
        <v/>
      </c>
      <c r="AH63" s="26">
        <f>IF(AH2=Premissas!$F$13,Premissas!$F$16,0)</f>
        <v/>
      </c>
      <c r="AI63" s="26">
        <f>IF(AI2=Premissas!$F$13,Premissas!$F$16,0)</f>
        <v/>
      </c>
      <c r="AJ63" s="26">
        <f>IF(AJ2=Premissas!$F$13,Premissas!$F$16,0)</f>
        <v/>
      </c>
      <c r="AK63" s="26">
        <f>IF(AK2=Premissas!$F$13,Premissas!$F$16,0)</f>
        <v/>
      </c>
      <c r="AL63" s="26">
        <f>IF(AL2=Premissas!$F$13,Premissas!$F$16,0)</f>
        <v/>
      </c>
      <c r="AM63" s="26">
        <f>IF(AM2=Premissas!$F$13,Premissas!$F$16,0)</f>
        <v/>
      </c>
      <c r="AN63" s="26">
        <f>IF(AN2=Premissas!$F$13,Premissas!$F$16,0)</f>
        <v/>
      </c>
      <c r="AO63" s="26">
        <f>IF(AO2=Premissas!$F$13,Premissas!$F$16,0)</f>
        <v/>
      </c>
      <c r="AP63" s="26">
        <f>IF(AP2=Premissas!$F$13,Premissas!$F$16,0)</f>
        <v/>
      </c>
      <c r="AQ63" s="26">
        <f>IF(AQ2=Premissas!$F$13,Premissas!$F$16,0)</f>
        <v/>
      </c>
      <c r="AR63" s="26">
        <f>IF(AR2=Premissas!$F$13,Premissas!$F$16,0)</f>
        <v/>
      </c>
      <c r="AS63" s="26">
        <f>IF(AS2=Premissas!$F$13,Premissas!$F$16,0)</f>
        <v/>
      </c>
      <c r="AT63" s="26">
        <f>IF(AT2=Premissas!$F$13,Premissas!$F$16,0)</f>
        <v/>
      </c>
      <c r="AU63" s="26">
        <f>IF(AU2=Premissas!$F$13,Premissas!$F$16,0)</f>
        <v/>
      </c>
      <c r="AV63" s="26">
        <f>IF(AV2=Premissas!$F$13,Premissas!$F$16,0)</f>
        <v/>
      </c>
      <c r="AW63" s="26">
        <f>IF(AW2=Premissas!$F$13,Premissas!$F$16,0)</f>
        <v/>
      </c>
      <c r="AX63" s="26">
        <f>IF(AX2=Premissas!$F$13,Premissas!$F$16,0)</f>
        <v/>
      </c>
      <c r="AY63" s="26">
        <f>IF(AY2=Premissas!$F$13,Premissas!$F$16,0)</f>
        <v/>
      </c>
      <c r="AZ63" s="26">
        <f>IF(AZ2=Premissas!$F$13,Premissas!$F$16,0)</f>
        <v/>
      </c>
      <c r="BA63" s="26">
        <f>IF(BA2=Premissas!$F$13,Premissas!$F$16,0)</f>
        <v/>
      </c>
      <c r="BB63" s="26">
        <f>IF(BB2=Premissas!$F$13,Premissas!$F$16,0)</f>
        <v/>
      </c>
      <c r="BC63" s="26">
        <f>IF(BC2=Premissas!$F$13,Premissas!$F$16,0)</f>
        <v/>
      </c>
      <c r="BD63" s="26">
        <f>IF(BD2=Premissas!$F$13,Premissas!$F$16,0)</f>
        <v/>
      </c>
      <c r="BE63" s="26">
        <f>IF(BE2=Premissas!$F$13,Premissas!$F$16,0)</f>
        <v/>
      </c>
      <c r="BF63" s="26">
        <f>IF(BF2=Premissas!$F$13,Premissas!$F$16,0)</f>
        <v/>
      </c>
      <c r="BG63" s="26">
        <f>IF(BG2=Premissas!$F$13,Premissas!$F$16,0)</f>
        <v/>
      </c>
      <c r="BH63" s="26">
        <f>IF(BH2=Premissas!$F$13,Premissas!$F$16,0)</f>
        <v/>
      </c>
      <c r="BI63" s="26">
        <f>IF(BI2=Premissas!$F$13,Premissas!$F$16,0)</f>
        <v/>
      </c>
      <c r="BJ63" s="26">
        <f>IF(BJ2=Premissas!$F$13,Premissas!$F$16,0)</f>
        <v/>
      </c>
      <c r="BK63" s="26">
        <f>IF(BK2=Premissas!$F$13,Premissas!$F$16,0)</f>
        <v/>
      </c>
      <c r="BL63" s="26">
        <f>IF(BL2=Premissas!$F$13,Premissas!$F$16,0)</f>
        <v/>
      </c>
      <c r="BM63" s="26">
        <f>IF(BM2=Premissas!$F$13,Premissas!$F$16,0)</f>
        <v/>
      </c>
      <c r="BN63" s="26">
        <f>IF(BN2=Premissas!$F$13,Premissas!$F$16,0)</f>
        <v/>
      </c>
      <c r="BO63" s="26">
        <f>IF(BO2=Premissas!$F$13,Premissas!$F$16,0)</f>
        <v/>
      </c>
      <c r="BP63" s="26">
        <f>IF(BP2=Premissas!$F$13,Premissas!$F$16,0)</f>
        <v/>
      </c>
      <c r="BQ63" s="26">
        <f>IF(BQ2=Premissas!$F$13,Premissas!$F$16,0)</f>
        <v/>
      </c>
      <c r="BR63" s="26">
        <f>IF(BR2=Premissas!$F$13,Premissas!$F$16,0)</f>
        <v/>
      </c>
      <c r="BS63" s="26">
        <f>IF(BS2=Premissas!$F$13,Premissas!$F$16,0)</f>
        <v/>
      </c>
      <c r="BT63" s="26">
        <f>IF(BT2=Premissas!$F$13,Premissas!$F$16,0)</f>
        <v/>
      </c>
      <c r="BU63" s="26">
        <f>IF(BU2=Premissas!$F$13,Premissas!$F$16,0)</f>
        <v/>
      </c>
      <c r="BV63" s="26">
        <f>IF(BV2=Premissas!$F$13,Premissas!$F$16,0)</f>
        <v/>
      </c>
      <c r="BW63" s="26">
        <f>IF(BW2=Premissas!$F$13,Premissas!$F$16,0)</f>
        <v/>
      </c>
      <c r="BX63" s="26">
        <f>IF(BX2=Premissas!$F$13,Premissas!$F$16,0)</f>
        <v/>
      </c>
      <c r="BY63" s="26">
        <f>IF(BY2=Premissas!$F$13,Premissas!$F$16,0)</f>
        <v/>
      </c>
      <c r="BZ63" s="26">
        <f>IF(BZ2=Premissas!$F$13,Premissas!$F$16,0)</f>
        <v/>
      </c>
      <c r="CA63" s="26">
        <f>IF(CA2=Premissas!$F$13,Premissas!$F$16,0)</f>
        <v/>
      </c>
      <c r="CB63" s="26">
        <f>IF(CB2=Premissas!$F$13,Premissas!$F$16,0)</f>
        <v/>
      </c>
      <c r="CC63" s="26">
        <f>IF(CC2=Premissas!$F$13,Premissas!$F$16,0)</f>
        <v/>
      </c>
      <c r="CD63" s="26">
        <f>IF(CD2=Premissas!$F$13,Premissas!$F$16,0)</f>
        <v/>
      </c>
      <c r="CE63" s="26">
        <f>IF(CE2=Premissas!$F$13,Premissas!$F$16,0)</f>
        <v/>
      </c>
      <c r="CF63" s="26">
        <f>IF(CF2=Premissas!$F$13,Premissas!$F$16,0)</f>
        <v/>
      </c>
      <c r="CG63" s="26">
        <f>IF(CG2=Premissas!$F$13,Premissas!$F$16,0)</f>
        <v/>
      </c>
      <c r="CH63" s="26">
        <f>IF(CH2=Premissas!$F$13,Premissas!$F$16,0)</f>
        <v/>
      </c>
    </row>
    <row r="64">
      <c r="A64" s="2" t="inlineStr">
        <is>
          <t>Despesas operacionais totais</t>
        </is>
      </c>
      <c r="C64" s="30">
        <f>C55+C56+C57+C58+C59+C60+C61+C62+C63</f>
        <v/>
      </c>
      <c r="D64" s="30">
        <f>D55+D56+D57+D58+D59+D60+D61+D62+D63</f>
        <v/>
      </c>
      <c r="E64" s="30">
        <f>E55+E56+E57+E58+E59+E60+E61+E62+E63</f>
        <v/>
      </c>
      <c r="F64" s="30">
        <f>F55+F56+F57+F58+F59+F60+F61+F62+F63</f>
        <v/>
      </c>
      <c r="G64" s="30">
        <f>G55+G56+G57+G58+G59+G60+G61+G62+G63</f>
        <v/>
      </c>
      <c r="H64" s="30">
        <f>H55+H56+H57+H58+H59+H60+H61+H62+H63</f>
        <v/>
      </c>
      <c r="I64" s="30">
        <f>I55+I56+I57+I58+I59+I60+I61+I62+I63</f>
        <v/>
      </c>
      <c r="J64" s="30">
        <f>J55+J56+J57+J58+J59+J60+J61+J62+J63</f>
        <v/>
      </c>
      <c r="K64" s="30">
        <f>K55+K56+K57+K58+K59+K60+K61+K62+K63</f>
        <v/>
      </c>
      <c r="L64" s="30">
        <f>L55+L56+L57+L58+L59+L60+L61+L62+L63</f>
        <v/>
      </c>
      <c r="M64" s="30">
        <f>M55+M56+M57+M58+M59+M60+M61+M62+M63</f>
        <v/>
      </c>
      <c r="N64" s="30">
        <f>N55+N56+N57+N58+N59+N60+N61+N62+N63</f>
        <v/>
      </c>
      <c r="O64" s="30">
        <f>O55+O56+O57+O58+O59+O60+O61+O62+O63</f>
        <v/>
      </c>
      <c r="P64" s="30">
        <f>P55+P56+P57+P58+P59+P60+P61+P62+P63</f>
        <v/>
      </c>
      <c r="Q64" s="30">
        <f>Q55+Q56+Q57+Q58+Q59+Q60+Q61+Q62+Q63</f>
        <v/>
      </c>
      <c r="R64" s="30">
        <f>R55+R56+R57+R58+R59+R60+R61+R62+R63</f>
        <v/>
      </c>
      <c r="S64" s="30">
        <f>S55+S56+S57+S58+S59+S60+S61+S62+S63</f>
        <v/>
      </c>
      <c r="T64" s="30">
        <f>T55+T56+T57+T58+T59+T60+T61+T62+T63</f>
        <v/>
      </c>
      <c r="U64" s="30">
        <f>U55+U56+U57+U58+U59+U60+U61+U62+U63</f>
        <v/>
      </c>
      <c r="V64" s="30">
        <f>V55+V56+V57+V58+V59+V60+V61+V62+V63</f>
        <v/>
      </c>
      <c r="W64" s="30">
        <f>W55+W56+W57+W58+W59+W60+W61+W62+W63</f>
        <v/>
      </c>
      <c r="X64" s="30">
        <f>X55+X56+X57+X58+X59+X60+X61+X62+X63</f>
        <v/>
      </c>
      <c r="Y64" s="30">
        <f>Y55+Y56+Y57+Y58+Y59+Y60+Y61+Y62+Y63</f>
        <v/>
      </c>
      <c r="Z64" s="30">
        <f>Z55+Z56+Z57+Z58+Z59+Z60+Z61+Z62+Z63</f>
        <v/>
      </c>
      <c r="AA64" s="30">
        <f>AA55+AA56+AA57+AA58+AA59+AA60+AA61+AA62+AA63</f>
        <v/>
      </c>
      <c r="AB64" s="30">
        <f>AB55+AB56+AB57+AB58+AB59+AB60+AB61+AB62+AB63</f>
        <v/>
      </c>
      <c r="AC64" s="30">
        <f>AC55+AC56+AC57+AC58+AC59+AC60+AC61+AC62+AC63</f>
        <v/>
      </c>
      <c r="AD64" s="30">
        <f>AD55+AD56+AD57+AD58+AD59+AD60+AD61+AD62+AD63</f>
        <v/>
      </c>
      <c r="AE64" s="30">
        <f>AE55+AE56+AE57+AE58+AE59+AE60+AE61+AE62+AE63</f>
        <v/>
      </c>
      <c r="AF64" s="30">
        <f>AF55+AF56+AF57+AF58+AF59+AF60+AF61+AF62+AF63</f>
        <v/>
      </c>
      <c r="AG64" s="30">
        <f>AG55+AG56+AG57+AG58+AG59+AG60+AG61+AG62+AG63</f>
        <v/>
      </c>
      <c r="AH64" s="30">
        <f>AH55+AH56+AH57+AH58+AH59+AH60+AH61+AH62+AH63</f>
        <v/>
      </c>
      <c r="AI64" s="30">
        <f>AI55+AI56+AI57+AI58+AI59+AI60+AI61+AI62+AI63</f>
        <v/>
      </c>
      <c r="AJ64" s="30">
        <f>AJ55+AJ56+AJ57+AJ58+AJ59+AJ60+AJ61+AJ62+AJ63</f>
        <v/>
      </c>
      <c r="AK64" s="30">
        <f>AK55+AK56+AK57+AK58+AK59+AK60+AK61+AK62+AK63</f>
        <v/>
      </c>
      <c r="AL64" s="30">
        <f>AL55+AL56+AL57+AL58+AL59+AL60+AL61+AL62+AL63</f>
        <v/>
      </c>
      <c r="AM64" s="30">
        <f>AM55+AM56+AM57+AM58+AM59+AM60+AM61+AM62+AM63</f>
        <v/>
      </c>
      <c r="AN64" s="30">
        <f>AN55+AN56+AN57+AN58+AN59+AN60+AN61+AN62+AN63</f>
        <v/>
      </c>
      <c r="AO64" s="30">
        <f>AO55+AO56+AO57+AO58+AO59+AO60+AO61+AO62+AO63</f>
        <v/>
      </c>
      <c r="AP64" s="30">
        <f>AP55+AP56+AP57+AP58+AP59+AP60+AP61+AP62+AP63</f>
        <v/>
      </c>
      <c r="AQ64" s="30">
        <f>AQ55+AQ56+AQ57+AQ58+AQ59+AQ60+AQ61+AQ62+AQ63</f>
        <v/>
      </c>
      <c r="AR64" s="30">
        <f>AR55+AR56+AR57+AR58+AR59+AR60+AR61+AR62+AR63</f>
        <v/>
      </c>
      <c r="AS64" s="30">
        <f>AS55+AS56+AS57+AS58+AS59+AS60+AS61+AS62+AS63</f>
        <v/>
      </c>
      <c r="AT64" s="30">
        <f>AT55+AT56+AT57+AT58+AT59+AT60+AT61+AT62+AT63</f>
        <v/>
      </c>
      <c r="AU64" s="30">
        <f>AU55+AU56+AU57+AU58+AU59+AU60+AU61+AU62+AU63</f>
        <v/>
      </c>
      <c r="AV64" s="30">
        <f>AV55+AV56+AV57+AV58+AV59+AV60+AV61+AV62+AV63</f>
        <v/>
      </c>
      <c r="AW64" s="30">
        <f>AW55+AW56+AW57+AW58+AW59+AW60+AW61+AW62+AW63</f>
        <v/>
      </c>
      <c r="AX64" s="30">
        <f>AX55+AX56+AX57+AX58+AX59+AX60+AX61+AX62+AX63</f>
        <v/>
      </c>
      <c r="AY64" s="30">
        <f>AY55+AY56+AY57+AY58+AY59+AY60+AY61+AY62+AY63</f>
        <v/>
      </c>
      <c r="AZ64" s="30">
        <f>AZ55+AZ56+AZ57+AZ58+AZ59+AZ60+AZ61+AZ62+AZ63</f>
        <v/>
      </c>
      <c r="BA64" s="30">
        <f>BA55+BA56+BA57+BA58+BA59+BA60+BA61+BA62+BA63</f>
        <v/>
      </c>
      <c r="BB64" s="30">
        <f>BB55+BB56+BB57+BB58+BB59+BB60+BB61+BB62+BB63</f>
        <v/>
      </c>
      <c r="BC64" s="30">
        <f>BC55+BC56+BC57+BC58+BC59+BC60+BC61+BC62+BC63</f>
        <v/>
      </c>
      <c r="BD64" s="30">
        <f>BD55+BD56+BD57+BD58+BD59+BD60+BD61+BD62+BD63</f>
        <v/>
      </c>
      <c r="BE64" s="30">
        <f>BE55+BE56+BE57+BE58+BE59+BE60+BE61+BE62+BE63</f>
        <v/>
      </c>
      <c r="BF64" s="30">
        <f>BF55+BF56+BF57+BF58+BF59+BF60+BF61+BF62+BF63</f>
        <v/>
      </c>
      <c r="BG64" s="30">
        <f>BG55+BG56+BG57+BG58+BG59+BG60+BG61+BG62+BG63</f>
        <v/>
      </c>
      <c r="BH64" s="30">
        <f>BH55+BH56+BH57+BH58+BH59+BH60+BH61+BH62+BH63</f>
        <v/>
      </c>
      <c r="BI64" s="30">
        <f>BI55+BI56+BI57+BI58+BI59+BI60+BI61+BI62+BI63</f>
        <v/>
      </c>
      <c r="BJ64" s="30">
        <f>BJ55+BJ56+BJ57+BJ58+BJ59+BJ60+BJ61+BJ62+BJ63</f>
        <v/>
      </c>
      <c r="BK64" s="30">
        <f>BK55+BK56+BK57+BK58+BK59+BK60+BK61+BK62+BK63</f>
        <v/>
      </c>
      <c r="BL64" s="30">
        <f>BL55+BL56+BL57+BL58+BL59+BL60+BL61+BL62+BL63</f>
        <v/>
      </c>
      <c r="BM64" s="30">
        <f>BM55+BM56+BM57+BM58+BM59+BM60+BM61+BM62+BM63</f>
        <v/>
      </c>
      <c r="BN64" s="30">
        <f>BN55+BN56+BN57+BN58+BN59+BN60+BN61+BN62+BN63</f>
        <v/>
      </c>
      <c r="BO64" s="30">
        <f>BO55+BO56+BO57+BO58+BO59+BO60+BO61+BO62+BO63</f>
        <v/>
      </c>
      <c r="BP64" s="30">
        <f>BP55+BP56+BP57+BP58+BP59+BP60+BP61+BP62+BP63</f>
        <v/>
      </c>
      <c r="BQ64" s="30">
        <f>BQ55+BQ56+BQ57+BQ58+BQ59+BQ60+BQ61+BQ62+BQ63</f>
        <v/>
      </c>
      <c r="BR64" s="30">
        <f>BR55+BR56+BR57+BR58+BR59+BR60+BR61+BR62+BR63</f>
        <v/>
      </c>
      <c r="BS64" s="30">
        <f>BS55+BS56+BS57+BS58+BS59+BS60+BS61+BS62+BS63</f>
        <v/>
      </c>
      <c r="BT64" s="30">
        <f>BT55+BT56+BT57+BT58+BT59+BT60+BT61+BT62+BT63</f>
        <v/>
      </c>
      <c r="BU64" s="30">
        <f>BU55+BU56+BU57+BU58+BU59+BU60+BU61+BU62+BU63</f>
        <v/>
      </c>
      <c r="BV64" s="30">
        <f>BV55+BV56+BV57+BV58+BV59+BV60+BV61+BV62+BV63</f>
        <v/>
      </c>
      <c r="BW64" s="30">
        <f>BW55+BW56+BW57+BW58+BW59+BW60+BW61+BW62+BW63</f>
        <v/>
      </c>
      <c r="BX64" s="30">
        <f>BX55+BX56+BX57+BX58+BX59+BX60+BX61+BX62+BX63</f>
        <v/>
      </c>
      <c r="BY64" s="30">
        <f>BY55+BY56+BY57+BY58+BY59+BY60+BY61+BY62+BY63</f>
        <v/>
      </c>
      <c r="BZ64" s="30">
        <f>BZ55+BZ56+BZ57+BZ58+BZ59+BZ60+BZ61+BZ62+BZ63</f>
        <v/>
      </c>
      <c r="CA64" s="30">
        <f>CA55+CA56+CA57+CA58+CA59+CA60+CA61+CA62+CA63</f>
        <v/>
      </c>
      <c r="CB64" s="30">
        <f>CB55+CB56+CB57+CB58+CB59+CB60+CB61+CB62+CB63</f>
        <v/>
      </c>
      <c r="CC64" s="30">
        <f>CC55+CC56+CC57+CC58+CC59+CC60+CC61+CC62+CC63</f>
        <v/>
      </c>
      <c r="CD64" s="30">
        <f>CD55+CD56+CD57+CD58+CD59+CD60+CD61+CD62+CD63</f>
        <v/>
      </c>
      <c r="CE64" s="30">
        <f>CE55+CE56+CE57+CE58+CE59+CE60+CE61+CE62+CE63</f>
        <v/>
      </c>
      <c r="CF64" s="30">
        <f>CF55+CF56+CF57+CF58+CF59+CF60+CF61+CF62+CF63</f>
        <v/>
      </c>
      <c r="CG64" s="30">
        <f>CG55+CG56+CG57+CG58+CG59+CG60+CG61+CG62+CG63</f>
        <v/>
      </c>
      <c r="CH64" s="30">
        <f>CH55+CH56+CH57+CH58+CH59+CH60+CH61+CH62+CH63</f>
        <v/>
      </c>
    </row>
    <row r="66">
      <c r="A66" s="4" t="inlineStr">
        <is>
          <t>Resultado e caixa</t>
        </is>
      </c>
      <c r="B66" s="5" t="n"/>
    </row>
    <row r="67">
      <c r="A67" s="24" t="inlineStr">
        <is>
          <t>EBITDA</t>
        </is>
      </c>
      <c r="C67" s="31">
        <f>C51-C64</f>
        <v/>
      </c>
      <c r="D67" s="31">
        <f>D51-D64</f>
        <v/>
      </c>
      <c r="E67" s="31">
        <f>E51-E64</f>
        <v/>
      </c>
      <c r="F67" s="31">
        <f>F51-F64</f>
        <v/>
      </c>
      <c r="G67" s="31">
        <f>G51-G64</f>
        <v/>
      </c>
      <c r="H67" s="31">
        <f>H51-H64</f>
        <v/>
      </c>
      <c r="I67" s="31">
        <f>I51-I64</f>
        <v/>
      </c>
      <c r="J67" s="31">
        <f>J51-J64</f>
        <v/>
      </c>
      <c r="K67" s="31">
        <f>K51-K64</f>
        <v/>
      </c>
      <c r="L67" s="31">
        <f>L51-L64</f>
        <v/>
      </c>
      <c r="M67" s="31">
        <f>M51-M64</f>
        <v/>
      </c>
      <c r="N67" s="31">
        <f>N51-N64</f>
        <v/>
      </c>
      <c r="O67" s="31">
        <f>O51-O64</f>
        <v/>
      </c>
      <c r="P67" s="31">
        <f>P51-P64</f>
        <v/>
      </c>
      <c r="Q67" s="31">
        <f>Q51-Q64</f>
        <v/>
      </c>
      <c r="R67" s="31">
        <f>R51-R64</f>
        <v/>
      </c>
      <c r="S67" s="31">
        <f>S51-S64</f>
        <v/>
      </c>
      <c r="T67" s="31">
        <f>T51-T64</f>
        <v/>
      </c>
      <c r="U67" s="31">
        <f>U51-U64</f>
        <v/>
      </c>
      <c r="V67" s="31">
        <f>V51-V64</f>
        <v/>
      </c>
      <c r="W67" s="31">
        <f>W51-W64</f>
        <v/>
      </c>
      <c r="X67" s="31">
        <f>X51-X64</f>
        <v/>
      </c>
      <c r="Y67" s="31">
        <f>Y51-Y64</f>
        <v/>
      </c>
      <c r="Z67" s="31">
        <f>Z51-Z64</f>
        <v/>
      </c>
      <c r="AA67" s="31">
        <f>AA51-AA64</f>
        <v/>
      </c>
      <c r="AB67" s="31">
        <f>AB51-AB64</f>
        <v/>
      </c>
      <c r="AC67" s="31">
        <f>AC51-AC64</f>
        <v/>
      </c>
      <c r="AD67" s="31">
        <f>AD51-AD64</f>
        <v/>
      </c>
      <c r="AE67" s="31">
        <f>AE51-AE64</f>
        <v/>
      </c>
      <c r="AF67" s="31">
        <f>AF51-AF64</f>
        <v/>
      </c>
      <c r="AG67" s="31">
        <f>AG51-AG64</f>
        <v/>
      </c>
      <c r="AH67" s="31">
        <f>AH51-AH64</f>
        <v/>
      </c>
      <c r="AI67" s="31">
        <f>AI51-AI64</f>
        <v/>
      </c>
      <c r="AJ67" s="31">
        <f>AJ51-AJ64</f>
        <v/>
      </c>
      <c r="AK67" s="31">
        <f>AK51-AK64</f>
        <v/>
      </c>
      <c r="AL67" s="31">
        <f>AL51-AL64</f>
        <v/>
      </c>
      <c r="AM67" s="31">
        <f>AM51-AM64</f>
        <v/>
      </c>
      <c r="AN67" s="31">
        <f>AN51-AN64</f>
        <v/>
      </c>
      <c r="AO67" s="31">
        <f>AO51-AO64</f>
        <v/>
      </c>
      <c r="AP67" s="31">
        <f>AP51-AP64</f>
        <v/>
      </c>
      <c r="AQ67" s="31">
        <f>AQ51-AQ64</f>
        <v/>
      </c>
      <c r="AR67" s="31">
        <f>AR51-AR64</f>
        <v/>
      </c>
      <c r="AS67" s="31">
        <f>AS51-AS64</f>
        <v/>
      </c>
      <c r="AT67" s="31">
        <f>AT51-AT64</f>
        <v/>
      </c>
      <c r="AU67" s="31">
        <f>AU51-AU64</f>
        <v/>
      </c>
      <c r="AV67" s="31">
        <f>AV51-AV64</f>
        <v/>
      </c>
      <c r="AW67" s="31">
        <f>AW51-AW64</f>
        <v/>
      </c>
      <c r="AX67" s="31">
        <f>AX51-AX64</f>
        <v/>
      </c>
      <c r="AY67" s="31">
        <f>AY51-AY64</f>
        <v/>
      </c>
      <c r="AZ67" s="31">
        <f>AZ51-AZ64</f>
        <v/>
      </c>
      <c r="BA67" s="31">
        <f>BA51-BA64</f>
        <v/>
      </c>
      <c r="BB67" s="31">
        <f>BB51-BB64</f>
        <v/>
      </c>
      <c r="BC67" s="31">
        <f>BC51-BC64</f>
        <v/>
      </c>
      <c r="BD67" s="31">
        <f>BD51-BD64</f>
        <v/>
      </c>
      <c r="BE67" s="31">
        <f>BE51-BE64</f>
        <v/>
      </c>
      <c r="BF67" s="31">
        <f>BF51-BF64</f>
        <v/>
      </c>
      <c r="BG67" s="31">
        <f>BG51-BG64</f>
        <v/>
      </c>
      <c r="BH67" s="31">
        <f>BH51-BH64</f>
        <v/>
      </c>
      <c r="BI67" s="31">
        <f>BI51-BI64</f>
        <v/>
      </c>
      <c r="BJ67" s="31">
        <f>BJ51-BJ64</f>
        <v/>
      </c>
      <c r="BK67" s="31">
        <f>BK51-BK64</f>
        <v/>
      </c>
      <c r="BL67" s="31">
        <f>BL51-BL64</f>
        <v/>
      </c>
      <c r="BM67" s="31">
        <f>BM51-BM64</f>
        <v/>
      </c>
      <c r="BN67" s="31">
        <f>BN51-BN64</f>
        <v/>
      </c>
      <c r="BO67" s="31">
        <f>BO51-BO64</f>
        <v/>
      </c>
      <c r="BP67" s="31">
        <f>BP51-BP64</f>
        <v/>
      </c>
      <c r="BQ67" s="31">
        <f>BQ51-BQ64</f>
        <v/>
      </c>
      <c r="BR67" s="31">
        <f>BR51-BR64</f>
        <v/>
      </c>
      <c r="BS67" s="31">
        <f>BS51-BS64</f>
        <v/>
      </c>
      <c r="BT67" s="31">
        <f>BT51-BT64</f>
        <v/>
      </c>
      <c r="BU67" s="31">
        <f>BU51-BU64</f>
        <v/>
      </c>
      <c r="BV67" s="31">
        <f>BV51-BV64</f>
        <v/>
      </c>
      <c r="BW67" s="31">
        <f>BW51-BW64</f>
        <v/>
      </c>
      <c r="BX67" s="31">
        <f>BX51-BX64</f>
        <v/>
      </c>
      <c r="BY67" s="31">
        <f>BY51-BY64</f>
        <v/>
      </c>
      <c r="BZ67" s="31">
        <f>BZ51-BZ64</f>
        <v/>
      </c>
      <c r="CA67" s="31">
        <f>CA51-CA64</f>
        <v/>
      </c>
      <c r="CB67" s="31">
        <f>CB51-CB64</f>
        <v/>
      </c>
      <c r="CC67" s="31">
        <f>CC51-CC64</f>
        <v/>
      </c>
      <c r="CD67" s="31">
        <f>CD51-CD64</f>
        <v/>
      </c>
      <c r="CE67" s="31">
        <f>CE51-CE64</f>
        <v/>
      </c>
      <c r="CF67" s="31">
        <f>CF51-CF64</f>
        <v/>
      </c>
      <c r="CG67" s="31">
        <f>CG51-CG64</f>
        <v/>
      </c>
      <c r="CH67" s="31">
        <f>CH51-CH64</f>
        <v/>
      </c>
    </row>
    <row r="68">
      <c r="A68" s="2" t="inlineStr">
        <is>
          <t>Caixa acumulado sem captação</t>
        </is>
      </c>
      <c r="C68" s="30">
        <f>0+C67</f>
        <v/>
      </c>
      <c r="D68" s="30">
        <f>C68+D67</f>
        <v/>
      </c>
      <c r="E68" s="30">
        <f>D68+E67</f>
        <v/>
      </c>
      <c r="F68" s="30">
        <f>E68+F67</f>
        <v/>
      </c>
      <c r="G68" s="30">
        <f>F68+G67</f>
        <v/>
      </c>
      <c r="H68" s="30">
        <f>G68+H67</f>
        <v/>
      </c>
      <c r="I68" s="30">
        <f>H68+I67</f>
        <v/>
      </c>
      <c r="J68" s="30">
        <f>I68+J67</f>
        <v/>
      </c>
      <c r="K68" s="30">
        <f>J68+K67</f>
        <v/>
      </c>
      <c r="L68" s="30">
        <f>K68+L67</f>
        <v/>
      </c>
      <c r="M68" s="30">
        <f>L68+M67</f>
        <v/>
      </c>
      <c r="N68" s="30">
        <f>M68+N67</f>
        <v/>
      </c>
      <c r="O68" s="30">
        <f>N68+O67</f>
        <v/>
      </c>
      <c r="P68" s="30">
        <f>O68+P67</f>
        <v/>
      </c>
      <c r="Q68" s="30">
        <f>P68+Q67</f>
        <v/>
      </c>
      <c r="R68" s="30">
        <f>Q68+R67</f>
        <v/>
      </c>
      <c r="S68" s="30">
        <f>R68+S67</f>
        <v/>
      </c>
      <c r="T68" s="30">
        <f>S68+T67</f>
        <v/>
      </c>
      <c r="U68" s="30">
        <f>T68+U67</f>
        <v/>
      </c>
      <c r="V68" s="30">
        <f>U68+V67</f>
        <v/>
      </c>
      <c r="W68" s="30">
        <f>V68+W67</f>
        <v/>
      </c>
      <c r="X68" s="30">
        <f>W68+X67</f>
        <v/>
      </c>
      <c r="Y68" s="30">
        <f>X68+Y67</f>
        <v/>
      </c>
      <c r="Z68" s="30">
        <f>Y68+Z67</f>
        <v/>
      </c>
      <c r="AA68" s="30">
        <f>Z68+AA67</f>
        <v/>
      </c>
      <c r="AB68" s="30">
        <f>AA68+AB67</f>
        <v/>
      </c>
      <c r="AC68" s="30">
        <f>AB68+AC67</f>
        <v/>
      </c>
      <c r="AD68" s="30">
        <f>AC68+AD67</f>
        <v/>
      </c>
      <c r="AE68" s="30">
        <f>AD68+AE67</f>
        <v/>
      </c>
      <c r="AF68" s="30">
        <f>AE68+AF67</f>
        <v/>
      </c>
      <c r="AG68" s="30">
        <f>AF68+AG67</f>
        <v/>
      </c>
      <c r="AH68" s="30">
        <f>AG68+AH67</f>
        <v/>
      </c>
      <c r="AI68" s="30">
        <f>AH68+AI67</f>
        <v/>
      </c>
      <c r="AJ68" s="30">
        <f>AI68+AJ67</f>
        <v/>
      </c>
      <c r="AK68" s="30">
        <f>AJ68+AK67</f>
        <v/>
      </c>
      <c r="AL68" s="30">
        <f>AK68+AL67</f>
        <v/>
      </c>
      <c r="AM68" s="30">
        <f>AL68+AM67</f>
        <v/>
      </c>
      <c r="AN68" s="30">
        <f>AM68+AN67</f>
        <v/>
      </c>
      <c r="AO68" s="30">
        <f>AN68+AO67</f>
        <v/>
      </c>
      <c r="AP68" s="30">
        <f>AO68+AP67</f>
        <v/>
      </c>
      <c r="AQ68" s="30">
        <f>AP68+AQ67</f>
        <v/>
      </c>
      <c r="AR68" s="30">
        <f>AQ68+AR67</f>
        <v/>
      </c>
      <c r="AS68" s="30">
        <f>AR68+AS67</f>
        <v/>
      </c>
      <c r="AT68" s="30">
        <f>AS68+AT67</f>
        <v/>
      </c>
      <c r="AU68" s="30">
        <f>AT68+AU67</f>
        <v/>
      </c>
      <c r="AV68" s="30">
        <f>AU68+AV67</f>
        <v/>
      </c>
      <c r="AW68" s="30">
        <f>AV68+AW67</f>
        <v/>
      </c>
      <c r="AX68" s="30">
        <f>AW68+AX67</f>
        <v/>
      </c>
      <c r="AY68" s="30">
        <f>AX68+AY67</f>
        <v/>
      </c>
      <c r="AZ68" s="30">
        <f>AY68+AZ67</f>
        <v/>
      </c>
      <c r="BA68" s="30">
        <f>AZ68+BA67</f>
        <v/>
      </c>
      <c r="BB68" s="30">
        <f>BA68+BB67</f>
        <v/>
      </c>
      <c r="BC68" s="30">
        <f>BB68+BC67</f>
        <v/>
      </c>
      <c r="BD68" s="30">
        <f>BC68+BD67</f>
        <v/>
      </c>
      <c r="BE68" s="30">
        <f>BD68+BE67</f>
        <v/>
      </c>
      <c r="BF68" s="30">
        <f>BE68+BF67</f>
        <v/>
      </c>
      <c r="BG68" s="30">
        <f>BF68+BG67</f>
        <v/>
      </c>
      <c r="BH68" s="30">
        <f>BG68+BH67</f>
        <v/>
      </c>
      <c r="BI68" s="30">
        <f>BH68+BI67</f>
        <v/>
      </c>
      <c r="BJ68" s="30">
        <f>BI68+BJ67</f>
        <v/>
      </c>
      <c r="BK68" s="30">
        <f>BJ68+BK67</f>
        <v/>
      </c>
      <c r="BL68" s="30">
        <f>BK68+BL67</f>
        <v/>
      </c>
      <c r="BM68" s="30">
        <f>BL68+BM67</f>
        <v/>
      </c>
      <c r="BN68" s="30">
        <f>BM68+BN67</f>
        <v/>
      </c>
      <c r="BO68" s="30">
        <f>BN68+BO67</f>
        <v/>
      </c>
      <c r="BP68" s="30">
        <f>BO68+BP67</f>
        <v/>
      </c>
      <c r="BQ68" s="30">
        <f>BP68+BQ67</f>
        <v/>
      </c>
      <c r="BR68" s="30">
        <f>BQ68+BR67</f>
        <v/>
      </c>
      <c r="BS68" s="30">
        <f>BR68+BS67</f>
        <v/>
      </c>
      <c r="BT68" s="30">
        <f>BS68+BT67</f>
        <v/>
      </c>
      <c r="BU68" s="30">
        <f>BT68+BU67</f>
        <v/>
      </c>
      <c r="BV68" s="30">
        <f>BU68+BV67</f>
        <v/>
      </c>
      <c r="BW68" s="30">
        <f>BV68+BW67</f>
        <v/>
      </c>
      <c r="BX68" s="30">
        <f>BW68+BX67</f>
        <v/>
      </c>
      <c r="BY68" s="30">
        <f>BX68+BY67</f>
        <v/>
      </c>
      <c r="BZ68" s="30">
        <f>BY68+BZ67</f>
        <v/>
      </c>
      <c r="CA68" s="30">
        <f>BZ68+CA67</f>
        <v/>
      </c>
      <c r="CB68" s="30">
        <f>CA68+CB67</f>
        <v/>
      </c>
      <c r="CC68" s="30">
        <f>CB68+CC67</f>
        <v/>
      </c>
      <c r="CD68" s="30">
        <f>CC68+CD67</f>
        <v/>
      </c>
      <c r="CE68" s="30">
        <f>CD68+CE67</f>
        <v/>
      </c>
      <c r="CF68" s="30">
        <f>CE68+CF67</f>
        <v/>
      </c>
      <c r="CG68" s="30">
        <f>CF68+CG67</f>
        <v/>
      </c>
      <c r="CH68" s="30">
        <f>CG68+CH67</f>
        <v/>
      </c>
    </row>
    <row r="69">
      <c r="A69" s="3" t="inlineStr">
        <is>
          <t>Mês de equilíbrio candidato (EBITDA não volta a ficar negativo)</t>
        </is>
      </c>
      <c r="C69" s="8">
        <f>IF(COUNTIF(C67:$CH$67,"&lt;0")=0,C2,"")</f>
        <v/>
      </c>
      <c r="D69" s="8">
        <f>IF(COUNTIF(D67:$CH$67,"&lt;0")=0,D2,"")</f>
        <v/>
      </c>
      <c r="E69" s="8">
        <f>IF(COUNTIF(E67:$CH$67,"&lt;0")=0,E2,"")</f>
        <v/>
      </c>
      <c r="F69" s="8">
        <f>IF(COUNTIF(F67:$CH$67,"&lt;0")=0,F2,"")</f>
        <v/>
      </c>
      <c r="G69" s="8">
        <f>IF(COUNTIF(G67:$CH$67,"&lt;0")=0,G2,"")</f>
        <v/>
      </c>
      <c r="H69" s="8">
        <f>IF(COUNTIF(H67:$CH$67,"&lt;0")=0,H2,"")</f>
        <v/>
      </c>
      <c r="I69" s="8">
        <f>IF(COUNTIF(I67:$CH$67,"&lt;0")=0,I2,"")</f>
        <v/>
      </c>
      <c r="J69" s="8">
        <f>IF(COUNTIF(J67:$CH$67,"&lt;0")=0,J2,"")</f>
        <v/>
      </c>
      <c r="K69" s="8">
        <f>IF(COUNTIF(K67:$CH$67,"&lt;0")=0,K2,"")</f>
        <v/>
      </c>
      <c r="L69" s="8">
        <f>IF(COUNTIF(L67:$CH$67,"&lt;0")=0,L2,"")</f>
        <v/>
      </c>
      <c r="M69" s="8">
        <f>IF(COUNTIF(M67:$CH$67,"&lt;0")=0,M2,"")</f>
        <v/>
      </c>
      <c r="N69" s="8">
        <f>IF(COUNTIF(N67:$CH$67,"&lt;0")=0,N2,"")</f>
        <v/>
      </c>
      <c r="O69" s="8">
        <f>IF(COUNTIF(O67:$CH$67,"&lt;0")=0,O2,"")</f>
        <v/>
      </c>
      <c r="P69" s="8">
        <f>IF(COUNTIF(P67:$CH$67,"&lt;0")=0,P2,"")</f>
        <v/>
      </c>
      <c r="Q69" s="8">
        <f>IF(COUNTIF(Q67:$CH$67,"&lt;0")=0,Q2,"")</f>
        <v/>
      </c>
      <c r="R69" s="8">
        <f>IF(COUNTIF(R67:$CH$67,"&lt;0")=0,R2,"")</f>
        <v/>
      </c>
      <c r="S69" s="8">
        <f>IF(COUNTIF(S67:$CH$67,"&lt;0")=0,S2,"")</f>
        <v/>
      </c>
      <c r="T69" s="8">
        <f>IF(COUNTIF(T67:$CH$67,"&lt;0")=0,T2,"")</f>
        <v/>
      </c>
      <c r="U69" s="8">
        <f>IF(COUNTIF(U67:$CH$67,"&lt;0")=0,U2,"")</f>
        <v/>
      </c>
      <c r="V69" s="8">
        <f>IF(COUNTIF(V67:$CH$67,"&lt;0")=0,V2,"")</f>
        <v/>
      </c>
      <c r="W69" s="8">
        <f>IF(COUNTIF(W67:$CH$67,"&lt;0")=0,W2,"")</f>
        <v/>
      </c>
      <c r="X69" s="8">
        <f>IF(COUNTIF(X67:$CH$67,"&lt;0")=0,X2,"")</f>
        <v/>
      </c>
      <c r="Y69" s="8">
        <f>IF(COUNTIF(Y67:$CH$67,"&lt;0")=0,Y2,"")</f>
        <v/>
      </c>
      <c r="Z69" s="8">
        <f>IF(COUNTIF(Z67:$CH$67,"&lt;0")=0,Z2,"")</f>
        <v/>
      </c>
      <c r="AA69" s="8">
        <f>IF(COUNTIF(AA67:$CH$67,"&lt;0")=0,AA2,"")</f>
        <v/>
      </c>
      <c r="AB69" s="8">
        <f>IF(COUNTIF(AB67:$CH$67,"&lt;0")=0,AB2,"")</f>
        <v/>
      </c>
      <c r="AC69" s="8">
        <f>IF(COUNTIF(AC67:$CH$67,"&lt;0")=0,AC2,"")</f>
        <v/>
      </c>
      <c r="AD69" s="8">
        <f>IF(COUNTIF(AD67:$CH$67,"&lt;0")=0,AD2,"")</f>
        <v/>
      </c>
      <c r="AE69" s="8">
        <f>IF(COUNTIF(AE67:$CH$67,"&lt;0")=0,AE2,"")</f>
        <v/>
      </c>
      <c r="AF69" s="8">
        <f>IF(COUNTIF(AF67:$CH$67,"&lt;0")=0,AF2,"")</f>
        <v/>
      </c>
      <c r="AG69" s="8">
        <f>IF(COUNTIF(AG67:$CH$67,"&lt;0")=0,AG2,"")</f>
        <v/>
      </c>
      <c r="AH69" s="8">
        <f>IF(COUNTIF(AH67:$CH$67,"&lt;0")=0,AH2,"")</f>
        <v/>
      </c>
      <c r="AI69" s="8">
        <f>IF(COUNTIF(AI67:$CH$67,"&lt;0")=0,AI2,"")</f>
        <v/>
      </c>
      <c r="AJ69" s="8">
        <f>IF(COUNTIF(AJ67:$CH$67,"&lt;0")=0,AJ2,"")</f>
        <v/>
      </c>
      <c r="AK69" s="8">
        <f>IF(COUNTIF(AK67:$CH$67,"&lt;0")=0,AK2,"")</f>
        <v/>
      </c>
      <c r="AL69" s="8">
        <f>IF(COUNTIF(AL67:$CH$67,"&lt;0")=0,AL2,"")</f>
        <v/>
      </c>
      <c r="AM69" s="8">
        <f>IF(COUNTIF(AM67:$CH$67,"&lt;0")=0,AM2,"")</f>
        <v/>
      </c>
      <c r="AN69" s="8">
        <f>IF(COUNTIF(AN67:$CH$67,"&lt;0")=0,AN2,"")</f>
        <v/>
      </c>
      <c r="AO69" s="8">
        <f>IF(COUNTIF(AO67:$CH$67,"&lt;0")=0,AO2,"")</f>
        <v/>
      </c>
      <c r="AP69" s="8">
        <f>IF(COUNTIF(AP67:$CH$67,"&lt;0")=0,AP2,"")</f>
        <v/>
      </c>
      <c r="AQ69" s="8">
        <f>IF(COUNTIF(AQ67:$CH$67,"&lt;0")=0,AQ2,"")</f>
        <v/>
      </c>
      <c r="AR69" s="8">
        <f>IF(COUNTIF(AR67:$CH$67,"&lt;0")=0,AR2,"")</f>
        <v/>
      </c>
      <c r="AS69" s="8">
        <f>IF(COUNTIF(AS67:$CH$67,"&lt;0")=0,AS2,"")</f>
        <v/>
      </c>
      <c r="AT69" s="8">
        <f>IF(COUNTIF(AT67:$CH$67,"&lt;0")=0,AT2,"")</f>
        <v/>
      </c>
      <c r="AU69" s="8">
        <f>IF(COUNTIF(AU67:$CH$67,"&lt;0")=0,AU2,"")</f>
        <v/>
      </c>
      <c r="AV69" s="8">
        <f>IF(COUNTIF(AV67:$CH$67,"&lt;0")=0,AV2,"")</f>
        <v/>
      </c>
      <c r="AW69" s="8">
        <f>IF(COUNTIF(AW67:$CH$67,"&lt;0")=0,AW2,"")</f>
        <v/>
      </c>
      <c r="AX69" s="8">
        <f>IF(COUNTIF(AX67:$CH$67,"&lt;0")=0,AX2,"")</f>
        <v/>
      </c>
      <c r="AY69" s="8">
        <f>IF(COUNTIF(AY67:$CH$67,"&lt;0")=0,AY2,"")</f>
        <v/>
      </c>
      <c r="AZ69" s="8">
        <f>IF(COUNTIF(AZ67:$CH$67,"&lt;0")=0,AZ2,"")</f>
        <v/>
      </c>
      <c r="BA69" s="8">
        <f>IF(COUNTIF(BA67:$CH$67,"&lt;0")=0,BA2,"")</f>
        <v/>
      </c>
      <c r="BB69" s="8">
        <f>IF(COUNTIF(BB67:$CH$67,"&lt;0")=0,BB2,"")</f>
        <v/>
      </c>
      <c r="BC69" s="8">
        <f>IF(COUNTIF(BC67:$CH$67,"&lt;0")=0,BC2,"")</f>
        <v/>
      </c>
      <c r="BD69" s="8">
        <f>IF(COUNTIF(BD67:$CH$67,"&lt;0")=0,BD2,"")</f>
        <v/>
      </c>
      <c r="BE69" s="8">
        <f>IF(COUNTIF(BE67:$CH$67,"&lt;0")=0,BE2,"")</f>
        <v/>
      </c>
      <c r="BF69" s="8">
        <f>IF(COUNTIF(BF67:$CH$67,"&lt;0")=0,BF2,"")</f>
        <v/>
      </c>
      <c r="BG69" s="8">
        <f>IF(COUNTIF(BG67:$CH$67,"&lt;0")=0,BG2,"")</f>
        <v/>
      </c>
      <c r="BH69" s="8">
        <f>IF(COUNTIF(BH67:$CH$67,"&lt;0")=0,BH2,"")</f>
        <v/>
      </c>
      <c r="BI69" s="8">
        <f>IF(COUNTIF(BI67:$CH$67,"&lt;0")=0,BI2,"")</f>
        <v/>
      </c>
      <c r="BJ69" s="8">
        <f>IF(COUNTIF(BJ67:$CH$67,"&lt;0")=0,BJ2,"")</f>
        <v/>
      </c>
      <c r="BK69" s="8">
        <f>IF(COUNTIF(BK67:$CH$67,"&lt;0")=0,BK2,"")</f>
        <v/>
      </c>
      <c r="BL69" s="8">
        <f>IF(COUNTIF(BL67:$CH$67,"&lt;0")=0,BL2,"")</f>
        <v/>
      </c>
      <c r="BM69" s="8">
        <f>IF(COUNTIF(BM67:$CH$67,"&lt;0")=0,BM2,"")</f>
        <v/>
      </c>
      <c r="BN69" s="8">
        <f>IF(COUNTIF(BN67:$CH$67,"&lt;0")=0,BN2,"")</f>
        <v/>
      </c>
      <c r="BO69" s="8">
        <f>IF(COUNTIF(BO67:$CH$67,"&lt;0")=0,BO2,"")</f>
        <v/>
      </c>
      <c r="BP69" s="8">
        <f>IF(COUNTIF(BP67:$CH$67,"&lt;0")=0,BP2,"")</f>
        <v/>
      </c>
      <c r="BQ69" s="8">
        <f>IF(COUNTIF(BQ67:$CH$67,"&lt;0")=0,BQ2,"")</f>
        <v/>
      </c>
      <c r="BR69" s="8">
        <f>IF(COUNTIF(BR67:$CH$67,"&lt;0")=0,BR2,"")</f>
        <v/>
      </c>
      <c r="BS69" s="8">
        <f>IF(COUNTIF(BS67:$CH$67,"&lt;0")=0,BS2,"")</f>
        <v/>
      </c>
      <c r="BT69" s="8">
        <f>IF(COUNTIF(BT67:$CH$67,"&lt;0")=0,BT2,"")</f>
        <v/>
      </c>
      <c r="BU69" s="8">
        <f>IF(COUNTIF(BU67:$CH$67,"&lt;0")=0,BU2,"")</f>
        <v/>
      </c>
      <c r="BV69" s="8">
        <f>IF(COUNTIF(BV67:$CH$67,"&lt;0")=0,BV2,"")</f>
        <v/>
      </c>
      <c r="BW69" s="8">
        <f>IF(COUNTIF(BW67:$CH$67,"&lt;0")=0,BW2,"")</f>
        <v/>
      </c>
      <c r="BX69" s="8">
        <f>IF(COUNTIF(BX67:$CH$67,"&lt;0")=0,BX2,"")</f>
        <v/>
      </c>
      <c r="BY69" s="8">
        <f>IF(COUNTIF(BY67:$CH$67,"&lt;0")=0,BY2,"")</f>
        <v/>
      </c>
      <c r="BZ69" s="8">
        <f>IF(COUNTIF(BZ67:$CH$67,"&lt;0")=0,BZ2,"")</f>
        <v/>
      </c>
      <c r="CA69" s="8">
        <f>IF(COUNTIF(CA67:$CH$67,"&lt;0")=0,CA2,"")</f>
        <v/>
      </c>
      <c r="CB69" s="8">
        <f>IF(COUNTIF(CB67:$CH$67,"&lt;0")=0,CB2,"")</f>
        <v/>
      </c>
      <c r="CC69" s="8">
        <f>IF(COUNTIF(CC67:$CH$67,"&lt;0")=0,CC2,"")</f>
        <v/>
      </c>
      <c r="CD69" s="8">
        <f>IF(COUNTIF(CD67:$CH$67,"&lt;0")=0,CD2,"")</f>
        <v/>
      </c>
      <c r="CE69" s="8">
        <f>IF(COUNTIF(CE67:$CH$67,"&lt;0")=0,CE2,"")</f>
        <v/>
      </c>
      <c r="CF69" s="8">
        <f>IF(COUNTIF(CF67:$CH$67,"&lt;0")=0,CF2,"")</f>
        <v/>
      </c>
      <c r="CG69" s="8">
        <f>IF(COUNTIF(CG67:$CH$67,"&lt;0")=0,CG2,"")</f>
        <v/>
      </c>
      <c r="CH69" s="8">
        <f>IF(COUNTIF(CH67:$CH$67,"&lt;0")=0,CH2,"")</f>
        <v/>
      </c>
    </row>
    <row r="70">
      <c r="A70" s="3" t="inlineStr">
        <is>
          <t>Mês em que a receita anualizada passa do critério H7</t>
        </is>
      </c>
      <c r="C70" s="8">
        <f>IF(AND(C41&gt;=Premissas!$F$100,0&lt;Premissas!$F$100),C2,"")</f>
        <v/>
      </c>
      <c r="D70" s="8">
        <f>IF(AND(D41&gt;=Premissas!$F$100,C41&lt;Premissas!$F$100),D2,"")</f>
        <v/>
      </c>
      <c r="E70" s="8">
        <f>IF(AND(E41&gt;=Premissas!$F$100,D41&lt;Premissas!$F$100),E2,"")</f>
        <v/>
      </c>
      <c r="F70" s="8">
        <f>IF(AND(F41&gt;=Premissas!$F$100,E41&lt;Premissas!$F$100),F2,"")</f>
        <v/>
      </c>
      <c r="G70" s="8">
        <f>IF(AND(G41&gt;=Premissas!$F$100,F41&lt;Premissas!$F$100),G2,"")</f>
        <v/>
      </c>
      <c r="H70" s="8">
        <f>IF(AND(H41&gt;=Premissas!$F$100,G41&lt;Premissas!$F$100),H2,"")</f>
        <v/>
      </c>
      <c r="I70" s="8">
        <f>IF(AND(I41&gt;=Premissas!$F$100,H41&lt;Premissas!$F$100),I2,"")</f>
        <v/>
      </c>
      <c r="J70" s="8">
        <f>IF(AND(J41&gt;=Premissas!$F$100,I41&lt;Premissas!$F$100),J2,"")</f>
        <v/>
      </c>
      <c r="K70" s="8">
        <f>IF(AND(K41&gt;=Premissas!$F$100,J41&lt;Premissas!$F$100),K2,"")</f>
        <v/>
      </c>
      <c r="L70" s="8">
        <f>IF(AND(L41&gt;=Premissas!$F$100,K41&lt;Premissas!$F$100),L2,"")</f>
        <v/>
      </c>
      <c r="M70" s="8">
        <f>IF(AND(M41&gt;=Premissas!$F$100,L41&lt;Premissas!$F$100),M2,"")</f>
        <v/>
      </c>
      <c r="N70" s="8">
        <f>IF(AND(N41&gt;=Premissas!$F$100,M41&lt;Premissas!$F$100),N2,"")</f>
        <v/>
      </c>
      <c r="O70" s="8">
        <f>IF(AND(O41&gt;=Premissas!$F$100,N41&lt;Premissas!$F$100),O2,"")</f>
        <v/>
      </c>
      <c r="P70" s="8">
        <f>IF(AND(P41&gt;=Premissas!$F$100,O41&lt;Premissas!$F$100),P2,"")</f>
        <v/>
      </c>
      <c r="Q70" s="8">
        <f>IF(AND(Q41&gt;=Premissas!$F$100,P41&lt;Premissas!$F$100),Q2,"")</f>
        <v/>
      </c>
      <c r="R70" s="8">
        <f>IF(AND(R41&gt;=Premissas!$F$100,Q41&lt;Premissas!$F$100),R2,"")</f>
        <v/>
      </c>
      <c r="S70" s="8">
        <f>IF(AND(S41&gt;=Premissas!$F$100,R41&lt;Premissas!$F$100),S2,"")</f>
        <v/>
      </c>
      <c r="T70" s="8">
        <f>IF(AND(T41&gt;=Premissas!$F$100,S41&lt;Premissas!$F$100),T2,"")</f>
        <v/>
      </c>
      <c r="U70" s="8">
        <f>IF(AND(U41&gt;=Premissas!$F$100,T41&lt;Premissas!$F$100),U2,"")</f>
        <v/>
      </c>
      <c r="V70" s="8">
        <f>IF(AND(V41&gt;=Premissas!$F$100,U41&lt;Premissas!$F$100),V2,"")</f>
        <v/>
      </c>
      <c r="W70" s="8">
        <f>IF(AND(W41&gt;=Premissas!$F$100,V41&lt;Premissas!$F$100),W2,"")</f>
        <v/>
      </c>
      <c r="X70" s="8">
        <f>IF(AND(X41&gt;=Premissas!$F$100,W41&lt;Premissas!$F$100),X2,"")</f>
        <v/>
      </c>
      <c r="Y70" s="8">
        <f>IF(AND(Y41&gt;=Premissas!$F$100,X41&lt;Premissas!$F$100),Y2,"")</f>
        <v/>
      </c>
      <c r="Z70" s="8">
        <f>IF(AND(Z41&gt;=Premissas!$F$100,Y41&lt;Premissas!$F$100),Z2,"")</f>
        <v/>
      </c>
      <c r="AA70" s="8">
        <f>IF(AND(AA41&gt;=Premissas!$F$100,Z41&lt;Premissas!$F$100),AA2,"")</f>
        <v/>
      </c>
      <c r="AB70" s="8">
        <f>IF(AND(AB41&gt;=Premissas!$F$100,AA41&lt;Premissas!$F$100),AB2,"")</f>
        <v/>
      </c>
      <c r="AC70" s="8">
        <f>IF(AND(AC41&gt;=Premissas!$F$100,AB41&lt;Premissas!$F$100),AC2,"")</f>
        <v/>
      </c>
      <c r="AD70" s="8">
        <f>IF(AND(AD41&gt;=Premissas!$F$100,AC41&lt;Premissas!$F$100),AD2,"")</f>
        <v/>
      </c>
      <c r="AE70" s="8">
        <f>IF(AND(AE41&gt;=Premissas!$F$100,AD41&lt;Premissas!$F$100),AE2,"")</f>
        <v/>
      </c>
      <c r="AF70" s="8">
        <f>IF(AND(AF41&gt;=Premissas!$F$100,AE41&lt;Premissas!$F$100),AF2,"")</f>
        <v/>
      </c>
      <c r="AG70" s="8">
        <f>IF(AND(AG41&gt;=Premissas!$F$100,AF41&lt;Premissas!$F$100),AG2,"")</f>
        <v/>
      </c>
      <c r="AH70" s="8">
        <f>IF(AND(AH41&gt;=Premissas!$F$100,AG41&lt;Premissas!$F$100),AH2,"")</f>
        <v/>
      </c>
      <c r="AI70" s="8">
        <f>IF(AND(AI41&gt;=Premissas!$F$100,AH41&lt;Premissas!$F$100),AI2,"")</f>
        <v/>
      </c>
      <c r="AJ70" s="8">
        <f>IF(AND(AJ41&gt;=Premissas!$F$100,AI41&lt;Premissas!$F$100),AJ2,"")</f>
        <v/>
      </c>
      <c r="AK70" s="8">
        <f>IF(AND(AK41&gt;=Premissas!$F$100,AJ41&lt;Premissas!$F$100),AK2,"")</f>
        <v/>
      </c>
      <c r="AL70" s="8">
        <f>IF(AND(AL41&gt;=Premissas!$F$100,AK41&lt;Premissas!$F$100),AL2,"")</f>
        <v/>
      </c>
      <c r="AM70" s="8">
        <f>IF(AND(AM41&gt;=Premissas!$F$100,AL41&lt;Premissas!$F$100),AM2,"")</f>
        <v/>
      </c>
      <c r="AN70" s="8">
        <f>IF(AND(AN41&gt;=Premissas!$F$100,AM41&lt;Premissas!$F$100),AN2,"")</f>
        <v/>
      </c>
      <c r="AO70" s="8">
        <f>IF(AND(AO41&gt;=Premissas!$F$100,AN41&lt;Premissas!$F$100),AO2,"")</f>
        <v/>
      </c>
      <c r="AP70" s="8">
        <f>IF(AND(AP41&gt;=Premissas!$F$100,AO41&lt;Premissas!$F$100),AP2,"")</f>
        <v/>
      </c>
      <c r="AQ70" s="8">
        <f>IF(AND(AQ41&gt;=Premissas!$F$100,AP41&lt;Premissas!$F$100),AQ2,"")</f>
        <v/>
      </c>
      <c r="AR70" s="8">
        <f>IF(AND(AR41&gt;=Premissas!$F$100,AQ41&lt;Premissas!$F$100),AR2,"")</f>
        <v/>
      </c>
      <c r="AS70" s="8">
        <f>IF(AND(AS41&gt;=Premissas!$F$100,AR41&lt;Premissas!$F$100),AS2,"")</f>
        <v/>
      </c>
      <c r="AT70" s="8">
        <f>IF(AND(AT41&gt;=Premissas!$F$100,AS41&lt;Premissas!$F$100),AT2,"")</f>
        <v/>
      </c>
      <c r="AU70" s="8">
        <f>IF(AND(AU41&gt;=Premissas!$F$100,AT41&lt;Premissas!$F$100),AU2,"")</f>
        <v/>
      </c>
      <c r="AV70" s="8">
        <f>IF(AND(AV41&gt;=Premissas!$F$100,AU41&lt;Premissas!$F$100),AV2,"")</f>
        <v/>
      </c>
      <c r="AW70" s="8">
        <f>IF(AND(AW41&gt;=Premissas!$F$100,AV41&lt;Premissas!$F$100),AW2,"")</f>
        <v/>
      </c>
      <c r="AX70" s="8">
        <f>IF(AND(AX41&gt;=Premissas!$F$100,AW41&lt;Premissas!$F$100),AX2,"")</f>
        <v/>
      </c>
      <c r="AY70" s="8">
        <f>IF(AND(AY41&gt;=Premissas!$F$100,AX41&lt;Premissas!$F$100),AY2,"")</f>
        <v/>
      </c>
      <c r="AZ70" s="8">
        <f>IF(AND(AZ41&gt;=Premissas!$F$100,AY41&lt;Premissas!$F$100),AZ2,"")</f>
        <v/>
      </c>
      <c r="BA70" s="8">
        <f>IF(AND(BA41&gt;=Premissas!$F$100,AZ41&lt;Premissas!$F$100),BA2,"")</f>
        <v/>
      </c>
      <c r="BB70" s="8">
        <f>IF(AND(BB41&gt;=Premissas!$F$100,BA41&lt;Premissas!$F$100),BB2,"")</f>
        <v/>
      </c>
      <c r="BC70" s="8">
        <f>IF(AND(BC41&gt;=Premissas!$F$100,BB41&lt;Premissas!$F$100),BC2,"")</f>
        <v/>
      </c>
      <c r="BD70" s="8">
        <f>IF(AND(BD41&gt;=Premissas!$F$100,BC41&lt;Premissas!$F$100),BD2,"")</f>
        <v/>
      </c>
      <c r="BE70" s="8">
        <f>IF(AND(BE41&gt;=Premissas!$F$100,BD41&lt;Premissas!$F$100),BE2,"")</f>
        <v/>
      </c>
      <c r="BF70" s="8">
        <f>IF(AND(BF41&gt;=Premissas!$F$100,BE41&lt;Premissas!$F$100),BF2,"")</f>
        <v/>
      </c>
      <c r="BG70" s="8">
        <f>IF(AND(BG41&gt;=Premissas!$F$100,BF41&lt;Premissas!$F$100),BG2,"")</f>
        <v/>
      </c>
      <c r="BH70" s="8">
        <f>IF(AND(BH41&gt;=Premissas!$F$100,BG41&lt;Premissas!$F$100),BH2,"")</f>
        <v/>
      </c>
      <c r="BI70" s="8">
        <f>IF(AND(BI41&gt;=Premissas!$F$100,BH41&lt;Premissas!$F$100),BI2,"")</f>
        <v/>
      </c>
      <c r="BJ70" s="8">
        <f>IF(AND(BJ41&gt;=Premissas!$F$100,BI41&lt;Premissas!$F$100),BJ2,"")</f>
        <v/>
      </c>
      <c r="BK70" s="8">
        <f>IF(AND(BK41&gt;=Premissas!$F$100,BJ41&lt;Premissas!$F$100),BK2,"")</f>
        <v/>
      </c>
      <c r="BL70" s="8">
        <f>IF(AND(BL41&gt;=Premissas!$F$100,BK41&lt;Premissas!$F$100),BL2,"")</f>
        <v/>
      </c>
      <c r="BM70" s="8">
        <f>IF(AND(BM41&gt;=Premissas!$F$100,BL41&lt;Premissas!$F$100),BM2,"")</f>
        <v/>
      </c>
      <c r="BN70" s="8">
        <f>IF(AND(BN41&gt;=Premissas!$F$100,BM41&lt;Premissas!$F$100),BN2,"")</f>
        <v/>
      </c>
      <c r="BO70" s="8">
        <f>IF(AND(BO41&gt;=Premissas!$F$100,BN41&lt;Premissas!$F$100),BO2,"")</f>
        <v/>
      </c>
      <c r="BP70" s="8">
        <f>IF(AND(BP41&gt;=Premissas!$F$100,BO41&lt;Premissas!$F$100),BP2,"")</f>
        <v/>
      </c>
      <c r="BQ70" s="8">
        <f>IF(AND(BQ41&gt;=Premissas!$F$100,BP41&lt;Premissas!$F$100),BQ2,"")</f>
        <v/>
      </c>
      <c r="BR70" s="8">
        <f>IF(AND(BR41&gt;=Premissas!$F$100,BQ41&lt;Premissas!$F$100),BR2,"")</f>
        <v/>
      </c>
      <c r="BS70" s="8">
        <f>IF(AND(BS41&gt;=Premissas!$F$100,BR41&lt;Premissas!$F$100),BS2,"")</f>
        <v/>
      </c>
      <c r="BT70" s="8">
        <f>IF(AND(BT41&gt;=Premissas!$F$100,BS41&lt;Premissas!$F$100),BT2,"")</f>
        <v/>
      </c>
      <c r="BU70" s="8">
        <f>IF(AND(BU41&gt;=Premissas!$F$100,BT41&lt;Premissas!$F$100),BU2,"")</f>
        <v/>
      </c>
      <c r="BV70" s="8">
        <f>IF(AND(BV41&gt;=Premissas!$F$100,BU41&lt;Premissas!$F$100),BV2,"")</f>
        <v/>
      </c>
      <c r="BW70" s="8">
        <f>IF(AND(BW41&gt;=Premissas!$F$100,BV41&lt;Premissas!$F$100),BW2,"")</f>
        <v/>
      </c>
      <c r="BX70" s="8">
        <f>IF(AND(BX41&gt;=Premissas!$F$100,BW41&lt;Premissas!$F$100),BX2,"")</f>
        <v/>
      </c>
      <c r="BY70" s="8">
        <f>IF(AND(BY41&gt;=Premissas!$F$100,BX41&lt;Premissas!$F$100),BY2,"")</f>
        <v/>
      </c>
      <c r="BZ70" s="8">
        <f>IF(AND(BZ41&gt;=Premissas!$F$100,BY41&lt;Premissas!$F$100),BZ2,"")</f>
        <v/>
      </c>
      <c r="CA70" s="8">
        <f>IF(AND(CA41&gt;=Premissas!$F$100,BZ41&lt;Premissas!$F$100),CA2,"")</f>
        <v/>
      </c>
      <c r="CB70" s="8">
        <f>IF(AND(CB41&gt;=Premissas!$F$100,CA41&lt;Premissas!$F$100),CB2,"")</f>
        <v/>
      </c>
      <c r="CC70" s="8">
        <f>IF(AND(CC41&gt;=Premissas!$F$100,CB41&lt;Premissas!$F$100),CC2,"")</f>
        <v/>
      </c>
      <c r="CD70" s="8">
        <f>IF(AND(CD41&gt;=Premissas!$F$100,CC41&lt;Premissas!$F$100),CD2,"")</f>
        <v/>
      </c>
      <c r="CE70" s="8">
        <f>IF(AND(CE41&gt;=Premissas!$F$100,CD41&lt;Premissas!$F$100),CE2,"")</f>
        <v/>
      </c>
      <c r="CF70" s="8">
        <f>IF(AND(CF41&gt;=Premissas!$F$100,CE41&lt;Premissas!$F$100),CF2,"")</f>
        <v/>
      </c>
      <c r="CG70" s="8">
        <f>IF(AND(CG41&gt;=Premissas!$F$100,CF41&lt;Premissas!$F$100),CG2,"")</f>
        <v/>
      </c>
      <c r="CH70" s="8">
        <f>IF(AND(CH41&gt;=Premissas!$F$100,CG41&lt;Premissas!$F$100),CH2,"")</f>
        <v/>
      </c>
    </row>
    <row r="71">
      <c r="A71" s="3" t="inlineStr">
        <is>
          <t>Pessoas no total (fundadores, equipe e especialistas)</t>
        </is>
      </c>
      <c r="C71" s="12">
        <f>Premissas!$F$35+INDEX(Premissas!$C$24:$I$24,1,C3)+INDEX(Premissas!$C$28:$I$28,1,C3)+INDEX(Premissas!$C$25:$I$25,1,C3)+C48</f>
        <v/>
      </c>
      <c r="D71" s="12">
        <f>Premissas!$F$35+INDEX(Premissas!$C$24:$I$24,1,D3)+INDEX(Premissas!$C$28:$I$28,1,D3)+INDEX(Premissas!$C$25:$I$25,1,D3)+D48</f>
        <v/>
      </c>
      <c r="E71" s="12">
        <f>Premissas!$F$35+INDEX(Premissas!$C$24:$I$24,1,E3)+INDEX(Premissas!$C$28:$I$28,1,E3)+INDEX(Premissas!$C$25:$I$25,1,E3)+E48</f>
        <v/>
      </c>
      <c r="F71" s="12">
        <f>Premissas!$F$35+INDEX(Premissas!$C$24:$I$24,1,F3)+INDEX(Premissas!$C$28:$I$28,1,F3)+INDEX(Premissas!$C$25:$I$25,1,F3)+F48</f>
        <v/>
      </c>
      <c r="G71" s="12">
        <f>Premissas!$F$35+INDEX(Premissas!$C$24:$I$24,1,G3)+INDEX(Premissas!$C$28:$I$28,1,G3)+INDEX(Premissas!$C$25:$I$25,1,G3)+G48</f>
        <v/>
      </c>
      <c r="H71" s="12">
        <f>Premissas!$F$35+INDEX(Premissas!$C$24:$I$24,1,H3)+INDEX(Premissas!$C$28:$I$28,1,H3)+INDEX(Premissas!$C$25:$I$25,1,H3)+H48</f>
        <v/>
      </c>
      <c r="I71" s="12">
        <f>Premissas!$F$35+INDEX(Premissas!$C$24:$I$24,1,I3)+INDEX(Premissas!$C$28:$I$28,1,I3)+INDEX(Premissas!$C$25:$I$25,1,I3)+I48</f>
        <v/>
      </c>
      <c r="J71" s="12">
        <f>Premissas!$F$35+INDEX(Premissas!$C$24:$I$24,1,J3)+INDEX(Premissas!$C$28:$I$28,1,J3)+INDEX(Premissas!$C$25:$I$25,1,J3)+J48</f>
        <v/>
      </c>
      <c r="K71" s="12">
        <f>Premissas!$F$35+INDEX(Premissas!$C$24:$I$24,1,K3)+INDEX(Premissas!$C$28:$I$28,1,K3)+INDEX(Premissas!$C$25:$I$25,1,K3)+K48</f>
        <v/>
      </c>
      <c r="L71" s="12">
        <f>Premissas!$F$35+INDEX(Premissas!$C$24:$I$24,1,L3)+INDEX(Premissas!$C$28:$I$28,1,L3)+INDEX(Premissas!$C$25:$I$25,1,L3)+L48</f>
        <v/>
      </c>
      <c r="M71" s="12">
        <f>Premissas!$F$35+INDEX(Premissas!$C$24:$I$24,1,M3)+INDEX(Premissas!$C$28:$I$28,1,M3)+INDEX(Premissas!$C$25:$I$25,1,M3)+M48</f>
        <v/>
      </c>
      <c r="N71" s="12">
        <f>Premissas!$F$35+INDEX(Premissas!$C$24:$I$24,1,N3)+INDEX(Premissas!$C$28:$I$28,1,N3)+INDEX(Premissas!$C$25:$I$25,1,N3)+N48</f>
        <v/>
      </c>
      <c r="O71" s="12">
        <f>Premissas!$F$35+INDEX(Premissas!$C$24:$I$24,1,O3)+INDEX(Premissas!$C$28:$I$28,1,O3)+INDEX(Premissas!$C$25:$I$25,1,O3)+O48</f>
        <v/>
      </c>
      <c r="P71" s="12">
        <f>Premissas!$F$35+INDEX(Premissas!$C$24:$I$24,1,P3)+INDEX(Premissas!$C$28:$I$28,1,P3)+INDEX(Premissas!$C$25:$I$25,1,P3)+P48</f>
        <v/>
      </c>
      <c r="Q71" s="12">
        <f>Premissas!$F$35+INDEX(Premissas!$C$24:$I$24,1,Q3)+INDEX(Premissas!$C$28:$I$28,1,Q3)+INDEX(Premissas!$C$25:$I$25,1,Q3)+Q48</f>
        <v/>
      </c>
      <c r="R71" s="12">
        <f>Premissas!$F$35+INDEX(Premissas!$C$24:$I$24,1,R3)+INDEX(Premissas!$C$28:$I$28,1,R3)+INDEX(Premissas!$C$25:$I$25,1,R3)+R48</f>
        <v/>
      </c>
      <c r="S71" s="12">
        <f>Premissas!$F$35+INDEX(Premissas!$C$24:$I$24,1,S3)+INDEX(Premissas!$C$28:$I$28,1,S3)+INDEX(Premissas!$C$25:$I$25,1,S3)+S48</f>
        <v/>
      </c>
      <c r="T71" s="12">
        <f>Premissas!$F$35+INDEX(Premissas!$C$24:$I$24,1,T3)+INDEX(Premissas!$C$28:$I$28,1,T3)+INDEX(Premissas!$C$25:$I$25,1,T3)+T48</f>
        <v/>
      </c>
      <c r="U71" s="12">
        <f>Premissas!$F$35+INDEX(Premissas!$C$24:$I$24,1,U3)+INDEX(Premissas!$C$28:$I$28,1,U3)+INDEX(Premissas!$C$25:$I$25,1,U3)+U48</f>
        <v/>
      </c>
      <c r="V71" s="12">
        <f>Premissas!$F$35+INDEX(Premissas!$C$24:$I$24,1,V3)+INDEX(Premissas!$C$28:$I$28,1,V3)+INDEX(Premissas!$C$25:$I$25,1,V3)+V48</f>
        <v/>
      </c>
      <c r="W71" s="12">
        <f>Premissas!$F$35+INDEX(Premissas!$C$24:$I$24,1,W3)+INDEX(Premissas!$C$28:$I$28,1,W3)+INDEX(Premissas!$C$25:$I$25,1,W3)+W48</f>
        <v/>
      </c>
      <c r="X71" s="12">
        <f>Premissas!$F$35+INDEX(Premissas!$C$24:$I$24,1,X3)+INDEX(Premissas!$C$28:$I$28,1,X3)+INDEX(Premissas!$C$25:$I$25,1,X3)+X48</f>
        <v/>
      </c>
      <c r="Y71" s="12">
        <f>Premissas!$F$35+INDEX(Premissas!$C$24:$I$24,1,Y3)+INDEX(Premissas!$C$28:$I$28,1,Y3)+INDEX(Premissas!$C$25:$I$25,1,Y3)+Y48</f>
        <v/>
      </c>
      <c r="Z71" s="12">
        <f>Premissas!$F$35+INDEX(Premissas!$C$24:$I$24,1,Z3)+INDEX(Premissas!$C$28:$I$28,1,Z3)+INDEX(Premissas!$C$25:$I$25,1,Z3)+Z48</f>
        <v/>
      </c>
      <c r="AA71" s="12">
        <f>Premissas!$F$35+INDEX(Premissas!$C$24:$I$24,1,AA3)+INDEX(Premissas!$C$28:$I$28,1,AA3)+INDEX(Premissas!$C$25:$I$25,1,AA3)+AA48</f>
        <v/>
      </c>
      <c r="AB71" s="12">
        <f>Premissas!$F$35+INDEX(Premissas!$C$24:$I$24,1,AB3)+INDEX(Premissas!$C$28:$I$28,1,AB3)+INDEX(Premissas!$C$25:$I$25,1,AB3)+AB48</f>
        <v/>
      </c>
      <c r="AC71" s="12">
        <f>Premissas!$F$35+INDEX(Premissas!$C$24:$I$24,1,AC3)+INDEX(Premissas!$C$28:$I$28,1,AC3)+INDEX(Premissas!$C$25:$I$25,1,AC3)+AC48</f>
        <v/>
      </c>
      <c r="AD71" s="12">
        <f>Premissas!$F$35+INDEX(Premissas!$C$24:$I$24,1,AD3)+INDEX(Premissas!$C$28:$I$28,1,AD3)+INDEX(Premissas!$C$25:$I$25,1,AD3)+AD48</f>
        <v/>
      </c>
      <c r="AE71" s="12">
        <f>Premissas!$F$35+INDEX(Premissas!$C$24:$I$24,1,AE3)+INDEX(Premissas!$C$28:$I$28,1,AE3)+INDEX(Premissas!$C$25:$I$25,1,AE3)+AE48</f>
        <v/>
      </c>
      <c r="AF71" s="12">
        <f>Premissas!$F$35+INDEX(Premissas!$C$24:$I$24,1,AF3)+INDEX(Premissas!$C$28:$I$28,1,AF3)+INDEX(Premissas!$C$25:$I$25,1,AF3)+AF48</f>
        <v/>
      </c>
      <c r="AG71" s="12">
        <f>Premissas!$F$35+INDEX(Premissas!$C$24:$I$24,1,AG3)+INDEX(Premissas!$C$28:$I$28,1,AG3)+INDEX(Premissas!$C$25:$I$25,1,AG3)+AG48</f>
        <v/>
      </c>
      <c r="AH71" s="12">
        <f>Premissas!$F$35+INDEX(Premissas!$C$24:$I$24,1,AH3)+INDEX(Premissas!$C$28:$I$28,1,AH3)+INDEX(Premissas!$C$25:$I$25,1,AH3)+AH48</f>
        <v/>
      </c>
      <c r="AI71" s="12">
        <f>Premissas!$F$35+INDEX(Premissas!$C$24:$I$24,1,AI3)+INDEX(Premissas!$C$28:$I$28,1,AI3)+INDEX(Premissas!$C$25:$I$25,1,AI3)+AI48</f>
        <v/>
      </c>
      <c r="AJ71" s="12">
        <f>Premissas!$F$35+INDEX(Premissas!$C$24:$I$24,1,AJ3)+INDEX(Premissas!$C$28:$I$28,1,AJ3)+INDEX(Premissas!$C$25:$I$25,1,AJ3)+AJ48</f>
        <v/>
      </c>
      <c r="AK71" s="12">
        <f>Premissas!$F$35+INDEX(Premissas!$C$24:$I$24,1,AK3)+INDEX(Premissas!$C$28:$I$28,1,AK3)+INDEX(Premissas!$C$25:$I$25,1,AK3)+AK48</f>
        <v/>
      </c>
      <c r="AL71" s="12">
        <f>Premissas!$F$35+INDEX(Premissas!$C$24:$I$24,1,AL3)+INDEX(Premissas!$C$28:$I$28,1,AL3)+INDEX(Premissas!$C$25:$I$25,1,AL3)+AL48</f>
        <v/>
      </c>
      <c r="AM71" s="12">
        <f>Premissas!$F$35+INDEX(Premissas!$C$24:$I$24,1,AM3)+INDEX(Premissas!$C$28:$I$28,1,AM3)+INDEX(Premissas!$C$25:$I$25,1,AM3)+AM48</f>
        <v/>
      </c>
      <c r="AN71" s="12">
        <f>Premissas!$F$35+INDEX(Premissas!$C$24:$I$24,1,AN3)+INDEX(Premissas!$C$28:$I$28,1,AN3)+INDEX(Premissas!$C$25:$I$25,1,AN3)+AN48</f>
        <v/>
      </c>
      <c r="AO71" s="12">
        <f>Premissas!$F$35+INDEX(Premissas!$C$24:$I$24,1,AO3)+INDEX(Premissas!$C$28:$I$28,1,AO3)+INDEX(Premissas!$C$25:$I$25,1,AO3)+AO48</f>
        <v/>
      </c>
      <c r="AP71" s="12">
        <f>Premissas!$F$35+INDEX(Premissas!$C$24:$I$24,1,AP3)+INDEX(Premissas!$C$28:$I$28,1,AP3)+INDEX(Premissas!$C$25:$I$25,1,AP3)+AP48</f>
        <v/>
      </c>
      <c r="AQ71" s="12">
        <f>Premissas!$F$35+INDEX(Premissas!$C$24:$I$24,1,AQ3)+INDEX(Premissas!$C$28:$I$28,1,AQ3)+INDEX(Premissas!$C$25:$I$25,1,AQ3)+AQ48</f>
        <v/>
      </c>
      <c r="AR71" s="12">
        <f>Premissas!$F$35+INDEX(Premissas!$C$24:$I$24,1,AR3)+INDEX(Premissas!$C$28:$I$28,1,AR3)+INDEX(Premissas!$C$25:$I$25,1,AR3)+AR48</f>
        <v/>
      </c>
      <c r="AS71" s="12">
        <f>Premissas!$F$35+INDEX(Premissas!$C$24:$I$24,1,AS3)+INDEX(Premissas!$C$28:$I$28,1,AS3)+INDEX(Premissas!$C$25:$I$25,1,AS3)+AS48</f>
        <v/>
      </c>
      <c r="AT71" s="12">
        <f>Premissas!$F$35+INDEX(Premissas!$C$24:$I$24,1,AT3)+INDEX(Premissas!$C$28:$I$28,1,AT3)+INDEX(Premissas!$C$25:$I$25,1,AT3)+AT48</f>
        <v/>
      </c>
      <c r="AU71" s="12">
        <f>Premissas!$F$35+INDEX(Premissas!$C$24:$I$24,1,AU3)+INDEX(Premissas!$C$28:$I$28,1,AU3)+INDEX(Premissas!$C$25:$I$25,1,AU3)+AU48</f>
        <v/>
      </c>
      <c r="AV71" s="12">
        <f>Premissas!$F$35+INDEX(Premissas!$C$24:$I$24,1,AV3)+INDEX(Premissas!$C$28:$I$28,1,AV3)+INDEX(Premissas!$C$25:$I$25,1,AV3)+AV48</f>
        <v/>
      </c>
      <c r="AW71" s="12">
        <f>Premissas!$F$35+INDEX(Premissas!$C$24:$I$24,1,AW3)+INDEX(Premissas!$C$28:$I$28,1,AW3)+INDEX(Premissas!$C$25:$I$25,1,AW3)+AW48</f>
        <v/>
      </c>
      <c r="AX71" s="12">
        <f>Premissas!$F$35+INDEX(Premissas!$C$24:$I$24,1,AX3)+INDEX(Premissas!$C$28:$I$28,1,AX3)+INDEX(Premissas!$C$25:$I$25,1,AX3)+AX48</f>
        <v/>
      </c>
      <c r="AY71" s="12">
        <f>Premissas!$F$35+INDEX(Premissas!$C$24:$I$24,1,AY3)+INDEX(Premissas!$C$28:$I$28,1,AY3)+INDEX(Premissas!$C$25:$I$25,1,AY3)+AY48</f>
        <v/>
      </c>
      <c r="AZ71" s="12">
        <f>Premissas!$F$35+INDEX(Premissas!$C$24:$I$24,1,AZ3)+INDEX(Premissas!$C$28:$I$28,1,AZ3)+INDEX(Premissas!$C$25:$I$25,1,AZ3)+AZ48</f>
        <v/>
      </c>
      <c r="BA71" s="12">
        <f>Premissas!$F$35+INDEX(Premissas!$C$24:$I$24,1,BA3)+INDEX(Premissas!$C$28:$I$28,1,BA3)+INDEX(Premissas!$C$25:$I$25,1,BA3)+BA48</f>
        <v/>
      </c>
      <c r="BB71" s="12">
        <f>Premissas!$F$35+INDEX(Premissas!$C$24:$I$24,1,BB3)+INDEX(Premissas!$C$28:$I$28,1,BB3)+INDEX(Premissas!$C$25:$I$25,1,BB3)+BB48</f>
        <v/>
      </c>
      <c r="BC71" s="12">
        <f>Premissas!$F$35+INDEX(Premissas!$C$24:$I$24,1,BC3)+INDEX(Premissas!$C$28:$I$28,1,BC3)+INDEX(Premissas!$C$25:$I$25,1,BC3)+BC48</f>
        <v/>
      </c>
      <c r="BD71" s="12">
        <f>Premissas!$F$35+INDEX(Premissas!$C$24:$I$24,1,BD3)+INDEX(Premissas!$C$28:$I$28,1,BD3)+INDEX(Premissas!$C$25:$I$25,1,BD3)+BD48</f>
        <v/>
      </c>
      <c r="BE71" s="12">
        <f>Premissas!$F$35+INDEX(Premissas!$C$24:$I$24,1,BE3)+INDEX(Premissas!$C$28:$I$28,1,BE3)+INDEX(Premissas!$C$25:$I$25,1,BE3)+BE48</f>
        <v/>
      </c>
      <c r="BF71" s="12">
        <f>Premissas!$F$35+INDEX(Premissas!$C$24:$I$24,1,BF3)+INDEX(Premissas!$C$28:$I$28,1,BF3)+INDEX(Premissas!$C$25:$I$25,1,BF3)+BF48</f>
        <v/>
      </c>
      <c r="BG71" s="12">
        <f>Premissas!$F$35+INDEX(Premissas!$C$24:$I$24,1,BG3)+INDEX(Premissas!$C$28:$I$28,1,BG3)+INDEX(Premissas!$C$25:$I$25,1,BG3)+BG48</f>
        <v/>
      </c>
      <c r="BH71" s="12">
        <f>Premissas!$F$35+INDEX(Premissas!$C$24:$I$24,1,BH3)+INDEX(Premissas!$C$28:$I$28,1,BH3)+INDEX(Premissas!$C$25:$I$25,1,BH3)+BH48</f>
        <v/>
      </c>
      <c r="BI71" s="12">
        <f>Premissas!$F$35+INDEX(Premissas!$C$24:$I$24,1,BI3)+INDEX(Premissas!$C$28:$I$28,1,BI3)+INDEX(Premissas!$C$25:$I$25,1,BI3)+BI48</f>
        <v/>
      </c>
      <c r="BJ71" s="12">
        <f>Premissas!$F$35+INDEX(Premissas!$C$24:$I$24,1,BJ3)+INDEX(Premissas!$C$28:$I$28,1,BJ3)+INDEX(Premissas!$C$25:$I$25,1,BJ3)+BJ48</f>
        <v/>
      </c>
      <c r="BK71" s="12">
        <f>Premissas!$F$35+INDEX(Premissas!$C$24:$I$24,1,BK3)+INDEX(Premissas!$C$28:$I$28,1,BK3)+INDEX(Premissas!$C$25:$I$25,1,BK3)+BK48</f>
        <v/>
      </c>
      <c r="BL71" s="12">
        <f>Premissas!$F$35+INDEX(Premissas!$C$24:$I$24,1,BL3)+INDEX(Premissas!$C$28:$I$28,1,BL3)+INDEX(Premissas!$C$25:$I$25,1,BL3)+BL48</f>
        <v/>
      </c>
      <c r="BM71" s="12">
        <f>Premissas!$F$35+INDEX(Premissas!$C$24:$I$24,1,BM3)+INDEX(Premissas!$C$28:$I$28,1,BM3)+INDEX(Premissas!$C$25:$I$25,1,BM3)+BM48</f>
        <v/>
      </c>
      <c r="BN71" s="12">
        <f>Premissas!$F$35+INDEX(Premissas!$C$24:$I$24,1,BN3)+INDEX(Premissas!$C$28:$I$28,1,BN3)+INDEX(Premissas!$C$25:$I$25,1,BN3)+BN48</f>
        <v/>
      </c>
      <c r="BO71" s="12">
        <f>Premissas!$F$35+INDEX(Premissas!$C$24:$I$24,1,BO3)+INDEX(Premissas!$C$28:$I$28,1,BO3)+INDEX(Premissas!$C$25:$I$25,1,BO3)+BO48</f>
        <v/>
      </c>
      <c r="BP71" s="12">
        <f>Premissas!$F$35+INDEX(Premissas!$C$24:$I$24,1,BP3)+INDEX(Premissas!$C$28:$I$28,1,BP3)+INDEX(Premissas!$C$25:$I$25,1,BP3)+BP48</f>
        <v/>
      </c>
      <c r="BQ71" s="12">
        <f>Premissas!$F$35+INDEX(Premissas!$C$24:$I$24,1,BQ3)+INDEX(Premissas!$C$28:$I$28,1,BQ3)+INDEX(Premissas!$C$25:$I$25,1,BQ3)+BQ48</f>
        <v/>
      </c>
      <c r="BR71" s="12">
        <f>Premissas!$F$35+INDEX(Premissas!$C$24:$I$24,1,BR3)+INDEX(Premissas!$C$28:$I$28,1,BR3)+INDEX(Premissas!$C$25:$I$25,1,BR3)+BR48</f>
        <v/>
      </c>
      <c r="BS71" s="12">
        <f>Premissas!$F$35+INDEX(Premissas!$C$24:$I$24,1,BS3)+INDEX(Premissas!$C$28:$I$28,1,BS3)+INDEX(Premissas!$C$25:$I$25,1,BS3)+BS48</f>
        <v/>
      </c>
      <c r="BT71" s="12">
        <f>Premissas!$F$35+INDEX(Premissas!$C$24:$I$24,1,BT3)+INDEX(Premissas!$C$28:$I$28,1,BT3)+INDEX(Premissas!$C$25:$I$25,1,BT3)+BT48</f>
        <v/>
      </c>
      <c r="BU71" s="12">
        <f>Premissas!$F$35+INDEX(Premissas!$C$24:$I$24,1,BU3)+INDEX(Premissas!$C$28:$I$28,1,BU3)+INDEX(Premissas!$C$25:$I$25,1,BU3)+BU48</f>
        <v/>
      </c>
      <c r="BV71" s="12">
        <f>Premissas!$F$35+INDEX(Premissas!$C$24:$I$24,1,BV3)+INDEX(Premissas!$C$28:$I$28,1,BV3)+INDEX(Premissas!$C$25:$I$25,1,BV3)+BV48</f>
        <v/>
      </c>
      <c r="BW71" s="12">
        <f>Premissas!$F$35+INDEX(Premissas!$C$24:$I$24,1,BW3)+INDEX(Premissas!$C$28:$I$28,1,BW3)+INDEX(Premissas!$C$25:$I$25,1,BW3)+BW48</f>
        <v/>
      </c>
      <c r="BX71" s="12">
        <f>Premissas!$F$35+INDEX(Premissas!$C$24:$I$24,1,BX3)+INDEX(Premissas!$C$28:$I$28,1,BX3)+INDEX(Premissas!$C$25:$I$25,1,BX3)+BX48</f>
        <v/>
      </c>
      <c r="BY71" s="12">
        <f>Premissas!$F$35+INDEX(Premissas!$C$24:$I$24,1,BY3)+INDEX(Premissas!$C$28:$I$28,1,BY3)+INDEX(Premissas!$C$25:$I$25,1,BY3)+BY48</f>
        <v/>
      </c>
      <c r="BZ71" s="12">
        <f>Premissas!$F$35+INDEX(Premissas!$C$24:$I$24,1,BZ3)+INDEX(Premissas!$C$28:$I$28,1,BZ3)+INDEX(Premissas!$C$25:$I$25,1,BZ3)+BZ48</f>
        <v/>
      </c>
      <c r="CA71" s="12">
        <f>Premissas!$F$35+INDEX(Premissas!$C$24:$I$24,1,CA3)+INDEX(Premissas!$C$28:$I$28,1,CA3)+INDEX(Premissas!$C$25:$I$25,1,CA3)+CA48</f>
        <v/>
      </c>
      <c r="CB71" s="12">
        <f>Premissas!$F$35+INDEX(Premissas!$C$24:$I$24,1,CB3)+INDEX(Premissas!$C$28:$I$28,1,CB3)+INDEX(Premissas!$C$25:$I$25,1,CB3)+CB48</f>
        <v/>
      </c>
      <c r="CC71" s="12">
        <f>Premissas!$F$35+INDEX(Premissas!$C$24:$I$24,1,CC3)+INDEX(Premissas!$C$28:$I$28,1,CC3)+INDEX(Premissas!$C$25:$I$25,1,CC3)+CC48</f>
        <v/>
      </c>
      <c r="CD71" s="12">
        <f>Premissas!$F$35+INDEX(Premissas!$C$24:$I$24,1,CD3)+INDEX(Premissas!$C$28:$I$28,1,CD3)+INDEX(Premissas!$C$25:$I$25,1,CD3)+CD48</f>
        <v/>
      </c>
      <c r="CE71" s="12">
        <f>Premissas!$F$35+INDEX(Premissas!$C$24:$I$24,1,CE3)+INDEX(Premissas!$C$28:$I$28,1,CE3)+INDEX(Premissas!$C$25:$I$25,1,CE3)+CE48</f>
        <v/>
      </c>
      <c r="CF71" s="12">
        <f>Premissas!$F$35+INDEX(Premissas!$C$24:$I$24,1,CF3)+INDEX(Premissas!$C$28:$I$28,1,CF3)+INDEX(Premissas!$C$25:$I$25,1,CF3)+CF48</f>
        <v/>
      </c>
      <c r="CG71" s="12">
        <f>Premissas!$F$35+INDEX(Premissas!$C$24:$I$24,1,CG3)+INDEX(Premissas!$C$28:$I$28,1,CG3)+INDEX(Premissas!$C$25:$I$25,1,CG3)+CG48</f>
        <v/>
      </c>
      <c r="CH71" s="12">
        <f>Premissas!$F$35+INDEX(Premissas!$C$24:$I$24,1,CH3)+INDEX(Premissas!$C$28:$I$28,1,CH3)+INDEX(Premissas!$C$25:$I$25,1,CH3)+CH48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Cenários e testes de estresse (valores gerados por sensibilidade_v2.py)</t>
        </is>
      </c>
    </row>
    <row r="3">
      <c r="A3" s="2" t="inlineStr">
        <is>
          <t>Modelo A: software por assinatura</t>
        </is>
      </c>
    </row>
    <row r="4">
      <c r="A4" s="6" t="inlineStr">
        <is>
          <t>Indicador</t>
        </is>
      </c>
      <c r="B4" s="7" t="inlineStr">
        <is>
          <t>Conservador</t>
        </is>
      </c>
      <c r="C4" s="7" t="inlineStr">
        <is>
          <t>Base</t>
        </is>
      </c>
      <c r="D4" s="7" t="inlineStr">
        <is>
          <t>Otimista</t>
        </is>
      </c>
    </row>
    <row r="5">
      <c r="A5" t="inlineStr">
        <is>
          <t>Receita recorrente anualizada no ano 5</t>
        </is>
      </c>
      <c r="B5" s="32" t="n">
        <v>9425293.13518155</v>
      </c>
      <c r="C5" s="32" t="n">
        <v>20911681.5708035</v>
      </c>
      <c r="D5" s="32" t="n">
        <v>50946260.6041192</v>
      </c>
    </row>
    <row r="6">
      <c r="A6" t="inlineStr">
        <is>
          <t>Receita recorrente anualizada no ano 7</t>
        </is>
      </c>
      <c r="B6" s="32" t="n">
        <v>16259057.8951243</v>
      </c>
      <c r="C6" s="32" t="n">
        <v>37026395.9254685</v>
      </c>
      <c r="D6" s="32" t="n">
        <v>97798177.42319649</v>
      </c>
    </row>
    <row r="7">
      <c r="A7" t="inlineStr">
        <is>
          <t>Mês de equilíbrio (EBITDA positivo daí em diante)</t>
        </is>
      </c>
      <c r="B7" s="33" t="inlineStr">
        <is>
          <t>não chega</t>
        </is>
      </c>
      <c r="C7" s="33" t="n">
        <v>65</v>
      </c>
      <c r="D7" s="33" t="n">
        <v>31</v>
      </c>
    </row>
    <row r="8">
      <c r="A8" t="inlineStr">
        <is>
          <t>Capital necessário (pior caixa acumulado)</t>
        </is>
      </c>
      <c r="B8" s="32" t="n">
        <v>44020986.4329842</v>
      </c>
      <c r="C8" s="32" t="n">
        <v>14551737.3952747</v>
      </c>
      <c r="D8" s="32" t="n">
        <v>4842978.20321126</v>
      </c>
    </row>
    <row r="9">
      <c r="A9" t="inlineStr">
        <is>
          <t>Margem bruta no ano 5</t>
        </is>
      </c>
      <c r="B9" s="34" t="n">
        <v>0.754294137062957</v>
      </c>
      <c r="C9" s="34" t="n">
        <v>0.8205052934320201</v>
      </c>
      <c r="D9" s="34" t="n">
        <v>0.857120850717292</v>
      </c>
    </row>
    <row r="10">
      <c r="A10" t="inlineStr">
        <is>
          <t>LTV/CAC do plano principal (Consultório / Agenda Cheia), mídia paga</t>
        </is>
      </c>
      <c r="B10" s="35" t="n">
        <v>1.23280714285714</v>
      </c>
      <c r="C10" s="35" t="n">
        <v>2.14617777777778</v>
      </c>
      <c r="D10" s="35" t="n">
        <v>4.48399166666667</v>
      </c>
    </row>
    <row r="11">
      <c r="A11" t="inlineStr">
        <is>
          <t>LTV/CAC ponderado pelo mix de novos clientes (mídia paga)</t>
        </is>
      </c>
      <c r="B11" s="35" t="n">
        <v>1.37568118253968</v>
      </c>
      <c r="C11" s="35" t="n">
        <v>2.59122368253968</v>
      </c>
      <c r="D11" s="35" t="n">
        <v>6.65219000757576</v>
      </c>
    </row>
    <row r="12">
      <c r="A12" t="inlineStr">
        <is>
          <t>Recuperação do CAC do plano principal (meses)</t>
        </is>
      </c>
      <c r="B12" s="36" t="n">
        <v>12.0608106070809</v>
      </c>
      <c r="C12" s="36" t="n">
        <v>8.78084760546286</v>
      </c>
      <c r="D12" s="36" t="n">
        <v>5.74185756748118</v>
      </c>
    </row>
    <row r="13">
      <c r="A13" t="inlineStr">
        <is>
          <t>Mês em que a receita anualizada chega a R$ 50 mi</t>
        </is>
      </c>
      <c r="B13" s="33" t="inlineStr">
        <is>
          <t>não chega</t>
        </is>
      </c>
      <c r="C13" s="33" t="inlineStr">
        <is>
          <t>não chega</t>
        </is>
      </c>
      <c r="D13" s="33" t="n">
        <v>60</v>
      </c>
    </row>
    <row r="14">
      <c r="A14" t="inlineStr">
        <is>
          <t>Participação no mercado nesse mês</t>
        </is>
      </c>
      <c r="B14" s="34" t="n"/>
      <c r="C14" s="34" t="n"/>
      <c r="D14" s="34" t="n">
        <v>0.0100310521910908</v>
      </c>
    </row>
    <row r="15">
      <c r="A15" t="inlineStr">
        <is>
          <t>Receita por pessoa no ano 5</t>
        </is>
      </c>
      <c r="B15" s="32" t="n">
        <v>167417.658371134</v>
      </c>
      <c r="C15" s="32" t="n">
        <v>334474.961211361</v>
      </c>
      <c r="D15" s="32" t="n">
        <v>618215.343992554</v>
      </c>
    </row>
    <row r="16">
      <c r="A16" t="inlineStr">
        <is>
          <t>Clientes ativos no ano 5</t>
        </is>
      </c>
      <c r="B16" s="37" t="n">
        <v>948.553580176207</v>
      </c>
      <c r="C16" s="37" t="n">
        <v>2126.49894963504</v>
      </c>
      <c r="D16" s="37" t="n">
        <v>4564.12874694633</v>
      </c>
    </row>
    <row r="18">
      <c r="A18" s="2" t="inlineStr">
        <is>
          <t>Modelo B: agência operada por agentes</t>
        </is>
      </c>
    </row>
    <row r="19">
      <c r="A19" s="6" t="inlineStr">
        <is>
          <t>Indicador</t>
        </is>
      </c>
      <c r="B19" s="7" t="inlineStr">
        <is>
          <t>Conservador</t>
        </is>
      </c>
      <c r="C19" s="7" t="inlineStr">
        <is>
          <t>Base</t>
        </is>
      </c>
      <c r="D19" s="7" t="inlineStr">
        <is>
          <t>Otimista</t>
        </is>
      </c>
    </row>
    <row r="20">
      <c r="A20" t="inlineStr">
        <is>
          <t>Receita recorrente anualizada no ano 5</t>
        </is>
      </c>
      <c r="B20" s="32" t="n">
        <v>14804180.7184473</v>
      </c>
      <c r="C20" s="32" t="n">
        <v>34605228.5960912</v>
      </c>
      <c r="D20" s="32" t="n">
        <v>77481259.6928158</v>
      </c>
    </row>
    <row r="21">
      <c r="A21" t="inlineStr">
        <is>
          <t>Receita recorrente anualizada no ano 7</t>
        </is>
      </c>
      <c r="B21" s="32" t="n">
        <v>25174222.3467315</v>
      </c>
      <c r="C21" s="32" t="n">
        <v>60631762.6956647</v>
      </c>
      <c r="D21" s="32" t="n">
        <v>150224284.237322</v>
      </c>
    </row>
    <row r="22">
      <c r="A22" t="inlineStr">
        <is>
          <t>Mês de equilíbrio (EBITDA positivo daí em diante)</t>
        </is>
      </c>
      <c r="B22" s="33" t="inlineStr">
        <is>
          <t>não chega</t>
        </is>
      </c>
      <c r="C22" s="33" t="n">
        <v>56</v>
      </c>
      <c r="D22" s="33" t="n">
        <v>29</v>
      </c>
    </row>
    <row r="23">
      <c r="A23" t="inlineStr">
        <is>
          <t>Capital necessário (pior caixa acumulado)</t>
        </is>
      </c>
      <c r="B23" s="32" t="n">
        <v>55143316.0510048</v>
      </c>
      <c r="C23" s="32" t="n">
        <v>12489561.4335821</v>
      </c>
      <c r="D23" s="32" t="n">
        <v>4327759.42482551</v>
      </c>
    </row>
    <row r="24">
      <c r="A24" t="inlineStr">
        <is>
          <t>Margem bruta no ano 5</t>
        </is>
      </c>
      <c r="B24" s="34" t="n">
        <v>0.402979636158557</v>
      </c>
      <c r="C24" s="34" t="n">
        <v>0.602800849409423</v>
      </c>
      <c r="D24" s="34" t="n">
        <v>0.718748570922122</v>
      </c>
    </row>
    <row r="25">
      <c r="A25" t="inlineStr">
        <is>
          <t>LTV/CAC do plano principal (Consultório / Agenda Cheia), mídia paga</t>
        </is>
      </c>
      <c r="B25" s="35" t="n">
        <v>1.10748717948718</v>
      </c>
      <c r="C25" s="35" t="n">
        <v>2.87906666666667</v>
      </c>
      <c r="D25" s="35" t="n">
        <v>7.18153333333333</v>
      </c>
    </row>
    <row r="26">
      <c r="A26" t="inlineStr">
        <is>
          <t>LTV/CAC ponderado pelo mix de novos clientes (mídia paga)</t>
        </is>
      </c>
      <c r="B26" s="35" t="n">
        <v>1.00794623233909</v>
      </c>
      <c r="C26" s="35" t="n">
        <v>2.65395487179487</v>
      </c>
      <c r="D26" s="35" t="n">
        <v>6.68894381447124</v>
      </c>
    </row>
    <row r="27">
      <c r="A27" t="inlineStr">
        <is>
          <t>Recuperação do CAC do plano principal (meses)</t>
        </is>
      </c>
      <c r="B27" s="36" t="n">
        <v>14.7654750381441</v>
      </c>
      <c r="C27" s="36" t="n">
        <v>7.29356408424628</v>
      </c>
      <c r="D27" s="36" t="n">
        <v>4.78684192890582</v>
      </c>
    </row>
    <row r="28">
      <c r="A28" t="inlineStr">
        <is>
          <t>Mês em que a receita anualizada chega a R$ 50 mi</t>
        </is>
      </c>
      <c r="B28" s="33" t="inlineStr">
        <is>
          <t>não chega</t>
        </is>
      </c>
      <c r="C28" s="33" t="n">
        <v>75</v>
      </c>
      <c r="D28" s="33" t="n">
        <v>49</v>
      </c>
    </row>
    <row r="29">
      <c r="A29" t="inlineStr">
        <is>
          <t>Participação no mercado nesse mês</t>
        </is>
      </c>
      <c r="B29" s="34" t="n"/>
      <c r="C29" s="34" t="n">
        <v>0.008253008431881681</v>
      </c>
      <c r="D29" s="34" t="n">
        <v>0.00562895939230752</v>
      </c>
    </row>
    <row r="30">
      <c r="A30" t="inlineStr">
        <is>
          <t>Receita por pessoa no ano 5</t>
        </is>
      </c>
      <c r="B30" s="32" t="n">
        <v>162593.255397265</v>
      </c>
      <c r="C30" s="32" t="n">
        <v>301399.11371929</v>
      </c>
      <c r="D30" s="32" t="n">
        <v>478291.894915521</v>
      </c>
    </row>
    <row r="31">
      <c r="A31" t="inlineStr">
        <is>
          <t>Clientes ativos no ano 5</t>
        </is>
      </c>
      <c r="B31" s="37" t="n">
        <v>792.8287312231849</v>
      </c>
      <c r="C31" s="37" t="n">
        <v>1855.9641785283</v>
      </c>
      <c r="D31" s="37" t="n">
        <v>3914.07897082428</v>
      </c>
    </row>
    <row r="33">
      <c r="A33" s="2" t="inlineStr">
        <is>
          <t>Testes de estresse do Modelo B (cenário base, uma aposta por vez)</t>
        </is>
      </c>
    </row>
    <row r="34" ht="60" customHeight="1">
      <c r="A34" s="6" t="inlineStr">
        <is>
          <t>Teste</t>
        </is>
      </c>
      <c r="B34" s="7" t="inlineStr">
        <is>
          <t>Receita recorrente anualizada no ano 5</t>
        </is>
      </c>
      <c r="C34" s="7" t="inlineStr">
        <is>
          <t>Receita recorrente anualizada no ano 7</t>
        </is>
      </c>
      <c r="D34" s="7" t="inlineStr">
        <is>
          <t>Mês de equilíbrio (EBITDA positivo daí em diante)</t>
        </is>
      </c>
      <c r="E34" s="7" t="inlineStr">
        <is>
          <t>Capital necessário (pior caixa acumulado)</t>
        </is>
      </c>
      <c r="F34" s="7" t="inlineStr">
        <is>
          <t>Margem bruta no ano 5</t>
        </is>
      </c>
      <c r="G34" s="7" t="inlineStr">
        <is>
          <t>LTV/CAC do plano principal (Consultório / Agenda Cheia), mídia paga</t>
        </is>
      </c>
      <c r="H34" s="7" t="inlineStr">
        <is>
          <t>LTV/CAC ponderado pelo mix de novos clientes (mídia paga)</t>
        </is>
      </c>
      <c r="I34" s="7" t="inlineStr">
        <is>
          <t>Recuperação do CAC do plano principal (meses)</t>
        </is>
      </c>
      <c r="J34" s="7" t="inlineStr">
        <is>
          <t>Mês em que a receita anualizada chega a R$ 50 mi</t>
        </is>
      </c>
      <c r="K34" s="7" t="inlineStr">
        <is>
          <t>Participação no mercado nesse mês</t>
        </is>
      </c>
      <c r="L34" s="7" t="inlineStr">
        <is>
          <t>Receita por pessoa no ano 5</t>
        </is>
      </c>
      <c r="M34" s="7" t="inlineStr">
        <is>
          <t>Clientes ativos no ano 5</t>
        </is>
      </c>
    </row>
    <row r="35">
      <c r="A35" t="inlineStr">
        <is>
          <t>B se as apostas se confirmarem (churn de agência, 40 a 70 contas por especialista, CAC R$ 5.500)</t>
        </is>
      </c>
      <c r="B35" s="32" t="n">
        <v>47196517.3421754</v>
      </c>
      <c r="C35" s="32" t="n">
        <v>88530926.7016255</v>
      </c>
      <c r="D35" s="33" t="n">
        <v>41</v>
      </c>
      <c r="E35" s="32" t="n">
        <v>7937541.84431522</v>
      </c>
      <c r="F35" s="34" t="n">
        <v>0.661087536710487</v>
      </c>
      <c r="G35" s="35" t="n">
        <v>6.06806060606061</v>
      </c>
      <c r="H35" s="35" t="n">
        <v>5.04638714791702</v>
      </c>
      <c r="I35" s="36" t="n">
        <v>5.6437462161247</v>
      </c>
      <c r="J35" s="33" t="n">
        <v>62</v>
      </c>
      <c r="K35" s="34" t="n">
        <v>0.0084514150221945</v>
      </c>
      <c r="L35" s="32" t="n">
        <v>394735.126807427</v>
      </c>
      <c r="M35" s="37" t="n">
        <v>2590.34523754594</v>
      </c>
    </row>
    <row r="36">
      <c r="A36" t="inlineStr">
        <is>
          <t>B com cobrança de R$ 30 por consulta (só com parecer jurídico favorável)</t>
        </is>
      </c>
      <c r="B36" s="32" t="n">
        <v>38907850.2102973</v>
      </c>
      <c r="C36" s="32" t="n">
        <v>68322313.917432</v>
      </c>
      <c r="D36" s="33" t="n">
        <v>51</v>
      </c>
      <c r="E36" s="32" t="n">
        <v>9358328.542410141</v>
      </c>
      <c r="F36" s="34" t="n">
        <v>0.643871915719431</v>
      </c>
      <c r="G36" s="35" t="n">
        <v>3.62398974358974</v>
      </c>
      <c r="H36" s="35" t="n">
        <v>3.21264717948718</v>
      </c>
      <c r="I36" s="36" t="n">
        <v>5.73547967728368</v>
      </c>
      <c r="J36" s="33" t="n">
        <v>69</v>
      </c>
      <c r="K36" s="34" t="n">
        <v>0.00721958567159208</v>
      </c>
      <c r="L36" s="32" t="n">
        <v>336158.470062527</v>
      </c>
      <c r="M36" s="37" t="n">
        <v>1855.9641785283</v>
      </c>
    </row>
    <row r="37">
      <c r="A37" t="inlineStr">
        <is>
          <t>B com as apostas confirmadas e cobrança por consulta (o base da v2)</t>
        </is>
      </c>
      <c r="B37" s="32" t="n">
        <v>52884367.7267087</v>
      </c>
      <c r="C37" s="32" t="n">
        <v>99344534.35000069</v>
      </c>
      <c r="D37" s="33" t="n">
        <v>39</v>
      </c>
      <c r="E37" s="32" t="n">
        <v>6532844.09032664</v>
      </c>
      <c r="F37" s="34" t="n">
        <v>0.695564310040968</v>
      </c>
      <c r="G37" s="35" t="n">
        <v>7.53533333333333</v>
      </c>
      <c r="H37" s="35" t="n">
        <v>5.98344086692528</v>
      </c>
      <c r="I37" s="36" t="n">
        <v>4.52068418500284</v>
      </c>
      <c r="J37" s="33" t="n">
        <v>59</v>
      </c>
      <c r="K37" s="34" t="n">
        <v>0.00763795704121761</v>
      </c>
      <c r="L37" s="32" t="n">
        <v>439438.142719752</v>
      </c>
      <c r="M37" s="37" t="n">
        <v>2590.34523754594</v>
      </c>
    </row>
    <row r="38">
      <c r="A38" t="inlineStr">
        <is>
          <t>B com o dobro de contas por especialista, sem mudar o resto</t>
        </is>
      </c>
      <c r="B38" s="32" t="n">
        <v>34605228.5960912</v>
      </c>
      <c r="C38" s="32" t="n">
        <v>60631762.6956647</v>
      </c>
      <c r="D38" s="33" t="n">
        <v>51</v>
      </c>
      <c r="E38" s="32" t="n">
        <v>9248513.847218631</v>
      </c>
      <c r="F38" s="34" t="n">
        <v>0.713534438129155</v>
      </c>
      <c r="G38" s="35" t="n">
        <v>3.39188717948718</v>
      </c>
      <c r="H38" s="35" t="n">
        <v>3.14113435897436</v>
      </c>
      <c r="I38" s="36" t="n">
        <v>6.14446100472966</v>
      </c>
      <c r="J38" s="33" t="n">
        <v>75</v>
      </c>
      <c r="K38" s="34" t="n">
        <v>0.008253008431881681</v>
      </c>
      <c r="L38" s="32" t="n">
        <v>408563.863203761</v>
      </c>
      <c r="M38" s="37" t="n">
        <v>1855.9641785283</v>
      </c>
    </row>
    <row r="39">
      <c r="A39" t="inlineStr">
        <is>
          <t>B com churn de agência com contrato, sem mudar o resto</t>
        </is>
      </c>
      <c r="B39" s="32" t="n">
        <v>43360492.6695094</v>
      </c>
      <c r="C39" s="32" t="n">
        <v>81127015.60933989</v>
      </c>
      <c r="D39" s="33" t="n">
        <v>51</v>
      </c>
      <c r="E39" s="32" t="n">
        <v>9925656.44506189</v>
      </c>
      <c r="F39" s="34" t="n">
        <v>0.603950941229627</v>
      </c>
      <c r="G39" s="35" t="n">
        <v>4.70716239316239</v>
      </c>
      <c r="H39" s="35" t="n">
        <v>3.9026570984571</v>
      </c>
      <c r="I39" s="36" t="n">
        <v>7.29356408424628</v>
      </c>
      <c r="J39" s="33" t="n">
        <v>65</v>
      </c>
      <c r="K39" s="34" t="n">
        <v>0.00854173631539736</v>
      </c>
      <c r="L39" s="32" t="n">
        <v>323042.425710392</v>
      </c>
      <c r="M39" s="37" t="n">
        <v>2379.72299699474</v>
      </c>
    </row>
    <row r="40">
      <c r="A40" t="inlineStr">
        <is>
          <t>Sem expansão para dentistas</t>
        </is>
      </c>
      <c r="B40" s="32" t="n">
        <v>20736220.1457016</v>
      </c>
      <c r="C40" s="32" t="n">
        <v>35830707.4494798</v>
      </c>
      <c r="D40" s="33" t="n">
        <v>81</v>
      </c>
      <c r="E40" s="32" t="n">
        <v>19276294.9469606</v>
      </c>
      <c r="F40" s="34" t="n">
        <v>0.603092179131503</v>
      </c>
      <c r="G40" s="35" t="n">
        <v>2.87906666666667</v>
      </c>
      <c r="H40" s="35" t="n">
        <v>2.65395487179487</v>
      </c>
      <c r="I40" s="36" t="n">
        <v>7.29356408424628</v>
      </c>
      <c r="J40" s="33" t="inlineStr">
        <is>
          <t>não chega</t>
        </is>
      </c>
      <c r="K40" s="34" t="n"/>
      <c r="L40" s="32" t="n">
        <v>230177.777294263</v>
      </c>
      <c r="M40" s="37" t="n">
        <v>1110.32025466001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Sensibilidade no cenário base: quanto cada premissa mexe no resultado (valores gerados por script)</t>
        </is>
      </c>
    </row>
    <row r="3">
      <c r="A3" s="2" t="inlineStr">
        <is>
          <t>Modelo A</t>
        </is>
      </c>
    </row>
    <row r="4">
      <c r="A4" s="6" t="inlineStr">
        <is>
          <t>Premissa (ordenada pelo impacto no capital e na receita)</t>
        </is>
      </c>
      <c r="B4" s="7" t="inlineStr">
        <is>
          <t>Valor baixo</t>
        </is>
      </c>
      <c r="C4" s="7" t="inlineStr">
        <is>
          <t>Valor alto</t>
        </is>
      </c>
      <c r="D4" s="7" t="inlineStr">
        <is>
          <t>ARR ano 7 (baixo)</t>
        </is>
      </c>
      <c r="E4" s="7" t="inlineStr">
        <is>
          <t>ARR ano 7 (alto)</t>
        </is>
      </c>
      <c r="F4" s="7" t="inlineStr">
        <is>
          <t>Diferença no ARR</t>
        </is>
      </c>
      <c r="G4" s="7" t="inlineStr">
        <is>
          <t>Capital necessário (baixo)</t>
        </is>
      </c>
      <c r="H4" s="7" t="inlineStr">
        <is>
          <t>Capital necessário (alto)</t>
        </is>
      </c>
      <c r="I4" s="7" t="inlineStr">
        <is>
          <t>LTV/CAC (baixo / alto)</t>
        </is>
      </c>
    </row>
    <row r="5">
      <c r="A5" t="inlineStr">
        <is>
          <t>CAC na mídia paga</t>
        </is>
      </c>
      <c r="B5" t="n">
        <v>6000</v>
      </c>
      <c r="C5" t="n">
        <v>3000</v>
      </c>
      <c r="D5" s="32" t="n">
        <v>31516384.9436169</v>
      </c>
      <c r="E5" s="32" t="n">
        <v>48046417.8891715</v>
      </c>
      <c r="F5" s="32" t="n">
        <v>16530032.9455546</v>
      </c>
      <c r="G5" s="32" t="n">
        <v>19630809.6348875</v>
      </c>
      <c r="H5" s="32" t="n">
        <v>9444707.377303859</v>
      </c>
      <c r="I5" t="inlineStr">
        <is>
          <t>1.6x / 3.2x</t>
        </is>
      </c>
    </row>
    <row r="6">
      <c r="A6" t="inlineStr">
        <is>
          <t>Preço do Consultório</t>
        </is>
      </c>
      <c r="B6" t="n">
        <v>497</v>
      </c>
      <c r="C6" t="n">
        <v>897</v>
      </c>
      <c r="D6" s="32" t="n">
        <v>33047651.2645659</v>
      </c>
      <c r="E6" s="32" t="n">
        <v>41005140.586371</v>
      </c>
      <c r="F6" s="32" t="n">
        <v>7957489.321805097</v>
      </c>
      <c r="G6" s="32" t="n">
        <v>19124212.1699428</v>
      </c>
      <c r="H6" s="32" t="n">
        <v>11626534.8279476</v>
      </c>
      <c r="I6" t="inlineStr">
        <is>
          <t>1.5x / 2.8x</t>
        </is>
      </c>
    </row>
    <row r="7">
      <c r="A7" t="inlineStr">
        <is>
          <t>Parcerias (multiplicador)</t>
        </is>
      </c>
      <c r="B7" t="n">
        <v>0.6</v>
      </c>
      <c r="C7" t="n">
        <v>1.3</v>
      </c>
      <c r="D7" s="32" t="n">
        <v>31031855.1262435</v>
      </c>
      <c r="E7" s="32" t="n">
        <v>41522301.5248872</v>
      </c>
      <c r="F7" s="32" t="n">
        <v>10490446.3986437</v>
      </c>
      <c r="G7" s="32" t="n">
        <v>19021796.9306925</v>
      </c>
      <c r="H7" s="32" t="n">
        <v>12358773.8997766</v>
      </c>
      <c r="I7" t="inlineStr">
        <is>
          <t>2.1x / 2.1x</t>
        </is>
      </c>
    </row>
    <row r="8">
      <c r="A8" t="inlineStr">
        <is>
          <t>Churn do Consultório</t>
        </is>
      </c>
      <c r="B8" t="n">
        <v>0.07000000000000001</v>
      </c>
      <c r="C8" t="n">
        <v>0.04</v>
      </c>
      <c r="D8" s="32" t="n">
        <v>34413703.9265124</v>
      </c>
      <c r="E8" s="32" t="n">
        <v>40791717.4045165</v>
      </c>
      <c r="F8" s="32" t="n">
        <v>6378013.478004105</v>
      </c>
      <c r="G8" s="32" t="n">
        <v>16213738.7172976</v>
      </c>
      <c r="H8" s="32" t="n">
        <v>12967525.0303691</v>
      </c>
      <c r="I8" t="inlineStr">
        <is>
          <t>1.7x / 2.9x</t>
        </is>
      </c>
    </row>
    <row r="9">
      <c r="A9" t="inlineStr">
        <is>
          <t>Indicação (% da base por mês)</t>
        </is>
      </c>
      <c r="B9" t="n">
        <v>0.005</v>
      </c>
      <c r="C9" t="n">
        <v>0.015</v>
      </c>
      <c r="D9" s="32" t="n">
        <v>34559954.9619224</v>
      </c>
      <c r="E9" s="32" t="n">
        <v>39821819.0122017</v>
      </c>
      <c r="F9" s="32" t="n">
        <v>5261864.050279297</v>
      </c>
      <c r="G9" s="32" t="n">
        <v>15737539.573298</v>
      </c>
      <c r="H9" s="32" t="n">
        <v>13450833.3068843</v>
      </c>
      <c r="I9" t="inlineStr">
        <is>
          <t>2.1x / 2.1x</t>
        </is>
      </c>
    </row>
    <row r="10">
      <c r="A10" t="inlineStr">
        <is>
          <t>Churn do Essencial</t>
        </is>
      </c>
      <c r="B10" t="n">
        <v>0.09</v>
      </c>
      <c r="C10" t="n">
        <v>0.055</v>
      </c>
      <c r="D10" s="32" t="n">
        <v>35924256.8320087</v>
      </c>
      <c r="E10" s="32" t="n">
        <v>38211598.9081684</v>
      </c>
      <c r="F10" s="32" t="n">
        <v>2287342.076159701</v>
      </c>
      <c r="G10" s="32" t="n">
        <v>15226252.7692951</v>
      </c>
      <c r="H10" s="32" t="n">
        <v>13933187.8205369</v>
      </c>
      <c r="I10" t="inlineStr">
        <is>
          <t>2.1x / 2.1x</t>
        </is>
      </c>
    </row>
    <row r="11">
      <c r="A11" t="inlineStr">
        <is>
          <t>Custo direto do Consultório</t>
        </is>
      </c>
      <c r="B11" t="n">
        <v>80</v>
      </c>
      <c r="C11" t="n">
        <v>30</v>
      </c>
      <c r="D11" s="32" t="n">
        <v>37026395.9254685</v>
      </c>
      <c r="E11" s="32" t="n">
        <v>37026395.9254685</v>
      </c>
      <c r="F11" s="32" t="n">
        <v>0</v>
      </c>
      <c r="G11" s="32" t="n">
        <v>15303495.8971482</v>
      </c>
      <c r="H11" s="32" t="n">
        <v>14066164.3139725</v>
      </c>
      <c r="I11" t="inlineStr">
        <is>
          <t>2.0x / 2.2x</t>
        </is>
      </c>
    </row>
    <row r="12">
      <c r="A12" t="inlineStr">
        <is>
          <t>Base: ARR ano 7 = R$ 37.026.396; capital necessário = R$ 14.551.737</t>
        </is>
      </c>
    </row>
    <row r="14">
      <c r="A14" s="2" t="inlineStr">
        <is>
          <t>Modelo B</t>
        </is>
      </c>
    </row>
    <row r="15">
      <c r="A15" s="6" t="inlineStr">
        <is>
          <t>Premissa (ordenada pelo impacto no capital e na receita)</t>
        </is>
      </c>
      <c r="B15" s="7" t="inlineStr">
        <is>
          <t>Valor baixo</t>
        </is>
      </c>
      <c r="C15" s="7" t="inlineStr">
        <is>
          <t>Valor alto</t>
        </is>
      </c>
      <c r="D15" s="7" t="inlineStr">
        <is>
          <t>ARR ano 7 (baixo)</t>
        </is>
      </c>
      <c r="E15" s="7" t="inlineStr">
        <is>
          <t>ARR ano 7 (alto)</t>
        </is>
      </c>
      <c r="F15" s="7" t="inlineStr">
        <is>
          <t>Diferença no ARR</t>
        </is>
      </c>
      <c r="G15" s="7" t="inlineStr">
        <is>
          <t>Capital necessário (baixo)</t>
        </is>
      </c>
      <c r="H15" s="7" t="inlineStr">
        <is>
          <t>Capital necessário (alto)</t>
        </is>
      </c>
      <c r="I15" s="7" t="inlineStr">
        <is>
          <t>LTV/CAC (baixo / alto)</t>
        </is>
      </c>
    </row>
    <row r="16">
      <c r="A16" t="inlineStr">
        <is>
          <t>Preço da Agenda Cheia</t>
        </is>
      </c>
      <c r="B16" t="n">
        <v>1290</v>
      </c>
      <c r="C16" t="n">
        <v>2290</v>
      </c>
      <c r="D16" s="32" t="n">
        <v>52851814.9301591</v>
      </c>
      <c r="E16" s="32" t="n">
        <v>68411710.4611703</v>
      </c>
      <c r="F16" s="32" t="n">
        <v>15559895.5310112</v>
      </c>
      <c r="G16" s="32" t="n">
        <v>19693977.4596017</v>
      </c>
      <c r="H16" s="32" t="n">
        <v>9143550.135030201</v>
      </c>
      <c r="I16" t="inlineStr">
        <is>
          <t>1.6x / 4.1x</t>
        </is>
      </c>
    </row>
    <row r="17">
      <c r="A17" t="inlineStr">
        <is>
          <t>CAC na mídia paga</t>
        </is>
      </c>
      <c r="B17" t="n">
        <v>9000</v>
      </c>
      <c r="C17" t="n">
        <v>5000</v>
      </c>
      <c r="D17" s="32" t="n">
        <v>52131039.1288989</v>
      </c>
      <c r="E17" s="32" t="n">
        <v>69812544.14777181</v>
      </c>
      <c r="F17" s="32" t="n">
        <v>17681505.01887291</v>
      </c>
      <c r="G17" s="32" t="n">
        <v>16346275.2079351</v>
      </c>
      <c r="H17" s="32" t="n">
        <v>9864382.972524291</v>
      </c>
      <c r="I17" t="inlineStr">
        <is>
          <t>2.1x / 3.7x</t>
        </is>
      </c>
    </row>
    <row r="18">
      <c r="A18" t="inlineStr">
        <is>
          <t>Churn da Agenda Cheia</t>
        </is>
      </c>
      <c r="B18" t="n">
        <v>0.065</v>
      </c>
      <c r="C18" t="n">
        <v>0.03</v>
      </c>
      <c r="D18" s="32" t="n">
        <v>55298075.5105228</v>
      </c>
      <c r="E18" s="32" t="n">
        <v>71845203.64442579</v>
      </c>
      <c r="F18" s="32" t="n">
        <v>16547128.133903</v>
      </c>
      <c r="G18" s="32" t="n">
        <v>13765012.5621523</v>
      </c>
      <c r="H18" s="32" t="n">
        <v>10810516.3357528</v>
      </c>
      <c r="I18" t="inlineStr">
        <is>
          <t>2.2x / 4.7x</t>
        </is>
      </c>
    </row>
    <row r="19">
      <c r="A19" t="inlineStr">
        <is>
          <t>Preço por consulta atribuída</t>
        </is>
      </c>
      <c r="B19" t="n">
        <v>0</v>
      </c>
      <c r="C19" t="n">
        <v>30</v>
      </c>
      <c r="D19" s="32" t="n">
        <v>60631762.6956647</v>
      </c>
      <c r="E19" s="32" t="n">
        <v>68322313.917432</v>
      </c>
      <c r="F19" s="32" t="n">
        <v>7690551.221767299</v>
      </c>
      <c r="G19" s="32" t="n">
        <v>12489561.4335821</v>
      </c>
      <c r="H19" s="32" t="n">
        <v>9358328.542410141</v>
      </c>
      <c r="I19" t="inlineStr">
        <is>
          <t>2.9x / 3.6x</t>
        </is>
      </c>
    </row>
    <row r="20">
      <c r="A20" t="inlineStr">
        <is>
          <t>Contas por especialista (Agenda Cheia)</t>
        </is>
      </c>
      <c r="B20" t="n">
        <v>20</v>
      </c>
      <c r="C20" t="n">
        <v>50</v>
      </c>
      <c r="D20" s="32" t="n">
        <v>60631762.6956647</v>
      </c>
      <c r="E20" s="32" t="n">
        <v>60631762.6956647</v>
      </c>
      <c r="F20" s="32" t="n">
        <v>0</v>
      </c>
      <c r="G20" s="32" t="n">
        <v>14820730.8900366</v>
      </c>
      <c r="H20" s="32" t="n">
        <v>11044277.0280397</v>
      </c>
      <c r="I20" t="inlineStr">
        <is>
          <t>2.4x / 3.3x</t>
        </is>
      </c>
    </row>
    <row r="21">
      <c r="A21" t="inlineStr">
        <is>
          <t>Churn da Presença</t>
        </is>
      </c>
      <c r="B21" t="n">
        <v>0.07000000000000001</v>
      </c>
      <c r="C21" t="n">
        <v>0.035</v>
      </c>
      <c r="D21" s="32" t="n">
        <v>56686721.8142317</v>
      </c>
      <c r="E21" s="32" t="n">
        <v>68817424.5369004</v>
      </c>
      <c r="F21" s="32" t="n">
        <v>12130702.7226687</v>
      </c>
      <c r="G21" s="32" t="n">
        <v>13400853.6297017</v>
      </c>
      <c r="H21" s="32" t="n">
        <v>11131735.8806012</v>
      </c>
      <c r="I21" t="inlineStr">
        <is>
          <t>2.9x / 2.9x</t>
        </is>
      </c>
    </row>
    <row r="22">
      <c r="A22" t="inlineStr">
        <is>
          <t>Custo dos agentes por conta (Agenda Cheia)</t>
        </is>
      </c>
      <c r="B22" t="n">
        <v>400</v>
      </c>
      <c r="C22" t="n">
        <v>150</v>
      </c>
      <c r="D22" s="32" t="n">
        <v>60631762.6956647</v>
      </c>
      <c r="E22" s="32" t="n">
        <v>60631762.6956647</v>
      </c>
      <c r="F22" s="32" t="n">
        <v>0</v>
      </c>
      <c r="G22" s="32" t="n">
        <v>15069944.9978893</v>
      </c>
      <c r="H22" s="32" t="n">
        <v>11708226.9358687</v>
      </c>
      <c r="I22" t="inlineStr">
        <is>
          <t>2.3x / 3.1x</t>
        </is>
      </c>
    </row>
    <row r="23">
      <c r="A23" t="inlineStr">
        <is>
          <t>Contas por especialista (Presença)</t>
        </is>
      </c>
      <c r="B23" t="n">
        <v>35</v>
      </c>
      <c r="C23" t="n">
        <v>90</v>
      </c>
      <c r="D23" s="32" t="n">
        <v>60631762.6956647</v>
      </c>
      <c r="E23" s="32" t="n">
        <v>60631762.6956647</v>
      </c>
      <c r="F23" s="32" t="n">
        <v>0</v>
      </c>
      <c r="G23" s="32" t="n">
        <v>13935982.9299362</v>
      </c>
      <c r="H23" s="32" t="n">
        <v>11155128.5101524</v>
      </c>
      <c r="I23" t="inlineStr">
        <is>
          <t>2.9x / 2.9x</t>
        </is>
      </c>
    </row>
    <row r="24">
      <c r="A24" t="inlineStr">
        <is>
          <t>Indicação (% da base por mês)</t>
        </is>
      </c>
      <c r="B24" t="n">
        <v>0.005</v>
      </c>
      <c r="C24" t="n">
        <v>0.015</v>
      </c>
      <c r="D24" s="32" t="n">
        <v>56314643.0824065</v>
      </c>
      <c r="E24" s="32" t="n">
        <v>65561170.5373595</v>
      </c>
      <c r="F24" s="32" t="n">
        <v>9246527.454953</v>
      </c>
      <c r="G24" s="32" t="n">
        <v>13286448.3101787</v>
      </c>
      <c r="H24" s="32" t="n">
        <v>11731195.0057815</v>
      </c>
      <c r="I24" t="inlineStr">
        <is>
          <t>2.9x / 2.9x</t>
        </is>
      </c>
    </row>
    <row r="25">
      <c r="A25" t="inlineStr">
        <is>
          <t>Base: ARR ano 7 = R$ 60.631.763; capital necessário = R$ 12.489.561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2026-10-20T13:57:18Z</dcterms:created>
  <dcterms:modified xmlns:dcterms="http://purl.org/dc/terms/" xmlns:xsi="http://www.w3.org/2001/XMLSchema-instance" xsi:type="dcterms:W3CDTF">2026-10-20T13:57:18Z</dcterms:modified>
</cp:coreProperties>
</file>